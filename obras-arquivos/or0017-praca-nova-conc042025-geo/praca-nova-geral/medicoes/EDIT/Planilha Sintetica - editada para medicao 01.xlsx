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obras-arquivos\or0017-praca-nova-conc042025-geo\praca-nova-geral\medicoes-edicao\"/>
    </mc:Choice>
  </mc:AlternateContent>
  <xr:revisionPtr revIDLastSave="0" documentId="13_ncr:1_{74EFC8ED-936C-4E13-B1E2-EC542910B9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70" i="1" l="1"/>
  <c r="K14" i="1"/>
  <c r="L8" i="1" l="1"/>
  <c r="K145" i="1"/>
  <c r="K144" i="1"/>
  <c r="K13" i="1"/>
  <c r="K269" i="1"/>
</calcChain>
</file>

<file path=xl/sharedStrings.xml><?xml version="1.0" encoding="utf-8"?>
<sst xmlns="http://schemas.openxmlformats.org/spreadsheetml/2006/main" count="1285" uniqueCount="577">
  <si>
    <r>
      <rPr>
        <b/>
        <sz val="8.5"/>
        <rFont val="Arial"/>
        <family val="2"/>
      </rPr>
      <t>Obra</t>
    </r>
  </si>
  <si>
    <r>
      <rPr>
        <b/>
        <sz val="8.5"/>
        <rFont val="Arial"/>
        <family val="2"/>
      </rPr>
      <t>Bancos</t>
    </r>
  </si>
  <si>
    <r>
      <rPr>
        <b/>
        <sz val="8.5"/>
        <rFont val="Arial"/>
        <family val="2"/>
      </rPr>
      <t>B.D.I.</t>
    </r>
  </si>
  <si>
    <r>
      <rPr>
        <b/>
        <sz val="8.5"/>
        <rFont val="Arial"/>
        <family val="2"/>
      </rPr>
      <t>Encargos</t>
    </r>
  </si>
  <si>
    <r>
      <rPr>
        <b/>
        <sz val="8"/>
        <rFont val="Arial"/>
        <family val="2"/>
      </rPr>
      <t>CONSTRUÇÃO DA PRAÇA NOVA, NO MUNICÍPIO DE COREMAS-PB</t>
    </r>
  </si>
  <si>
    <r>
      <rPr>
        <b/>
        <sz val="8"/>
        <rFont val="Arial"/>
        <family val="2"/>
      </rPr>
      <t>Não</t>
    </r>
  </si>
  <si>
    <r>
      <rPr>
        <b/>
        <sz val="8"/>
        <rFont val="Arial"/>
        <family val="2"/>
      </rPr>
      <t>Desonerado:</t>
    </r>
  </si>
  <si>
    <r>
      <rPr>
        <b/>
        <sz val="8"/>
        <rFont val="Arial"/>
        <family val="2"/>
      </rPr>
      <t>Horista:</t>
    </r>
  </si>
  <si>
    <r>
      <rPr>
        <b/>
        <sz val="8"/>
        <rFont val="Arial"/>
        <family val="2"/>
      </rPr>
      <t>Mensalista:</t>
    </r>
  </si>
  <si>
    <r>
      <rPr>
        <b/>
        <sz val="8.5"/>
        <rFont val="Arial"/>
        <family val="2"/>
      </rPr>
      <t>Orçamento Sintético</t>
    </r>
  </si>
  <si>
    <r>
      <rPr>
        <b/>
        <sz val="8.5"/>
        <rFont val="Arial"/>
        <family val="2"/>
      </rPr>
      <t>Item</t>
    </r>
  </si>
  <si>
    <r>
      <rPr>
        <b/>
        <sz val="8.5"/>
        <rFont val="Arial"/>
        <family val="2"/>
      </rPr>
      <t>Código</t>
    </r>
  </si>
  <si>
    <r>
      <rPr>
        <b/>
        <sz val="8.5"/>
        <rFont val="Arial"/>
        <family val="2"/>
      </rPr>
      <t>Banco</t>
    </r>
  </si>
  <si>
    <r>
      <rPr>
        <b/>
        <sz val="8.5"/>
        <rFont val="Arial"/>
        <family val="2"/>
      </rPr>
      <t>Descrição</t>
    </r>
  </si>
  <si>
    <r>
      <rPr>
        <b/>
        <sz val="8.5"/>
        <rFont val="Arial"/>
        <family val="2"/>
      </rPr>
      <t>Und</t>
    </r>
  </si>
  <si>
    <r>
      <rPr>
        <b/>
        <sz val="8.5"/>
        <rFont val="Arial"/>
        <family val="2"/>
      </rPr>
      <t>Quant.</t>
    </r>
  </si>
  <si>
    <r>
      <rPr>
        <b/>
        <sz val="8.5"/>
        <rFont val="Arial"/>
        <family val="2"/>
      </rPr>
      <t>Valor Unit</t>
    </r>
  </si>
  <si>
    <r>
      <rPr>
        <b/>
        <sz val="8.5"/>
        <rFont val="Arial"/>
        <family val="2"/>
      </rPr>
      <t xml:space="preserve">Valor Unit
</t>
    </r>
    <r>
      <rPr>
        <b/>
        <sz val="8.5"/>
        <rFont val="Arial"/>
        <family val="2"/>
      </rPr>
      <t>com BDI</t>
    </r>
  </si>
  <si>
    <r>
      <rPr>
        <b/>
        <sz val="8.5"/>
        <rFont val="Arial"/>
        <family val="2"/>
      </rPr>
      <t>Total</t>
    </r>
  </si>
  <si>
    <r>
      <rPr>
        <b/>
        <sz val="8"/>
        <rFont val="Arial"/>
        <family val="2"/>
      </rPr>
      <t>SERVIÇOS PRELIMINARES</t>
    </r>
  </si>
  <si>
    <r>
      <rPr>
        <sz val="8"/>
        <rFont val="Arial MT"/>
        <family val="2"/>
      </rPr>
      <t>1.1</t>
    </r>
  </si>
  <si>
    <r>
      <rPr>
        <sz val="8"/>
        <rFont val="Arial MT"/>
        <family val="2"/>
      </rPr>
      <t>SINAPI</t>
    </r>
  </si>
  <si>
    <r>
      <rPr>
        <sz val="8"/>
        <rFont val="Arial MT"/>
        <family val="2"/>
      </rPr>
      <t>FORNECIMENTO E INSTALAÇÃO DE PLACA DE OBRA COM CHAPA GALVANIZADA E ESTRUTURA DE MADEIRA. AF_03/2022_PS</t>
    </r>
  </si>
  <si>
    <r>
      <rPr>
        <sz val="8"/>
        <rFont val="Arial MT"/>
        <family val="2"/>
      </rPr>
      <t>m²</t>
    </r>
  </si>
  <si>
    <r>
      <rPr>
        <sz val="8"/>
        <rFont val="Arial MT"/>
        <family val="2"/>
      </rPr>
      <t>1.2</t>
    </r>
  </si>
  <si>
    <r>
      <rPr>
        <sz val="8"/>
        <rFont val="Arial MT"/>
        <family val="2"/>
      </rPr>
      <t>LOCAÇÃO CONVENCIONAL DE OBRA, UTILIZANDO GABARITO DE TÁBUAS CORRIDAS PONTALETADAS A CADA 2,00M - 2 UTILIZAÇÕES. AF_03/2024</t>
    </r>
  </si>
  <si>
    <r>
      <rPr>
        <sz val="8"/>
        <rFont val="Arial MT"/>
        <family val="2"/>
      </rPr>
      <t>M</t>
    </r>
  </si>
  <si>
    <r>
      <rPr>
        <sz val="8"/>
        <rFont val="Arial MT"/>
        <family val="2"/>
      </rPr>
      <t>1.3</t>
    </r>
  </si>
  <si>
    <r>
      <rPr>
        <sz val="8"/>
        <rFont val="Arial MT"/>
        <family val="2"/>
      </rPr>
      <t xml:space="preserve">LIMPEZA MECANIZADA DE CAMADA VEGETAL, VEGETAÇÃO E PEQUENAS ÁRVORES (DIÂMETRO DE TRONCO MENOR QUE 0,20 M), COM TRATOR
</t>
    </r>
    <r>
      <rPr>
        <sz val="8"/>
        <rFont val="Arial MT"/>
        <family val="2"/>
      </rPr>
      <t>DE ESTEIRAS. AF_03/2024</t>
    </r>
  </si>
  <si>
    <r>
      <rPr>
        <b/>
        <sz val="8"/>
        <rFont val="Arial"/>
        <family val="2"/>
      </rPr>
      <t>QUIOSQUE</t>
    </r>
  </si>
  <si>
    <r>
      <rPr>
        <b/>
        <sz val="8"/>
        <rFont val="Arial"/>
        <family val="2"/>
      </rPr>
      <t>2.1</t>
    </r>
  </si>
  <si>
    <r>
      <rPr>
        <sz val="8"/>
        <rFont val="Arial MT"/>
        <family val="2"/>
      </rPr>
      <t>2.1.1</t>
    </r>
  </si>
  <si>
    <r>
      <rPr>
        <b/>
        <sz val="8"/>
        <rFont val="Arial"/>
        <family val="2"/>
      </rPr>
      <t>2.2</t>
    </r>
  </si>
  <si>
    <r>
      <rPr>
        <sz val="8"/>
        <rFont val="Arial MT"/>
        <family val="2"/>
      </rPr>
      <t>2.2.1</t>
    </r>
  </si>
  <si>
    <r>
      <rPr>
        <sz val="8"/>
        <rFont val="Arial MT"/>
        <family val="2"/>
      </rPr>
      <t>ESCAVAÇÃO MANUAL DE VALA. AF_09/2024</t>
    </r>
  </si>
  <si>
    <r>
      <rPr>
        <sz val="8"/>
        <rFont val="Arial MT"/>
        <family val="2"/>
      </rPr>
      <t>m³</t>
    </r>
  </si>
  <si>
    <r>
      <rPr>
        <sz val="8"/>
        <rFont val="Arial MT"/>
        <family val="2"/>
      </rPr>
      <t>2.2.2</t>
    </r>
  </si>
  <si>
    <r>
      <rPr>
        <sz val="8"/>
        <rFont val="Arial MT"/>
        <family val="2"/>
      </rPr>
      <t>REATERRO MANUAL DE VALAS, COM PLACA VIBRATÓRIA. AF_08/2023</t>
    </r>
  </si>
  <si>
    <r>
      <rPr>
        <b/>
        <sz val="8"/>
        <rFont val="Arial"/>
        <family val="2"/>
      </rPr>
      <t>2.3</t>
    </r>
  </si>
  <si>
    <r>
      <rPr>
        <sz val="8"/>
        <rFont val="Arial MT"/>
        <family val="2"/>
      </rPr>
      <t>2.3.1</t>
    </r>
  </si>
  <si>
    <r>
      <rPr>
        <sz val="8"/>
        <rFont val="Arial MT"/>
        <family val="2"/>
      </rPr>
      <t>LASTRO DE CONCRETO MAGRO, APLICADO EM BLOCOS DE COROAMENTO OU SAPATAS, ESPESSURA DE 5 CM. AF_01/2024</t>
    </r>
  </si>
  <si>
    <r>
      <rPr>
        <sz val="8"/>
        <rFont val="Arial MT"/>
        <family val="2"/>
      </rPr>
      <t>2.3.2</t>
    </r>
  </si>
  <si>
    <r>
      <rPr>
        <sz val="8"/>
        <rFont val="Arial MT"/>
        <family val="2"/>
      </rPr>
      <t xml:space="preserve">PREPARO DE FUNDO DE VALA COM LARGURA MENOR QUE 1,5 M
</t>
    </r>
    <r>
      <rPr>
        <sz val="8"/>
        <rFont val="Arial MT"/>
        <family val="2"/>
      </rPr>
      <t>(ACERTO DO SOLO NATURAL). AF_08/2020</t>
    </r>
  </si>
  <si>
    <r>
      <rPr>
        <sz val="8"/>
        <rFont val="Arial MT"/>
        <family val="2"/>
      </rPr>
      <t>2.3.3</t>
    </r>
  </si>
  <si>
    <r>
      <rPr>
        <sz val="8"/>
        <rFont val="Arial MT"/>
        <family val="2"/>
      </rPr>
      <t xml:space="preserve">CONCRETO FCK = 25MPA, TRAÇO 1:2,3:2,7 (EM MASSA SECA DE CIMENTO/ AREIA MÉDIA/ BRITA 1) - PREPARO MECÂNICO COM
</t>
    </r>
    <r>
      <rPr>
        <sz val="8"/>
        <rFont val="Arial MT"/>
        <family val="2"/>
      </rPr>
      <t>BETONEIRA 600 L. AF_05/2021</t>
    </r>
  </si>
  <si>
    <r>
      <rPr>
        <sz val="8"/>
        <rFont val="Arial MT"/>
        <family val="2"/>
      </rPr>
      <t>2.3.4</t>
    </r>
  </si>
  <si>
    <r>
      <rPr>
        <sz val="8"/>
        <rFont val="Arial MT"/>
        <family val="2"/>
      </rPr>
      <t xml:space="preserve">LANÇAMENTO COM USO DE BALDES, ADENSAMENTO E ACABAMENTO DE
</t>
    </r>
    <r>
      <rPr>
        <sz val="8"/>
        <rFont val="Arial MT"/>
        <family val="2"/>
      </rPr>
      <t>CONCRETO EM ESTRUTURAS. AF_02/2022</t>
    </r>
  </si>
  <si>
    <r>
      <rPr>
        <sz val="8"/>
        <rFont val="Arial MT"/>
        <family val="2"/>
      </rPr>
      <t>2.3.5</t>
    </r>
  </si>
  <si>
    <r>
      <rPr>
        <sz val="8"/>
        <rFont val="Arial MT"/>
        <family val="2"/>
      </rPr>
      <t>FABRICAÇÃO, MONTAGEM E DESMONTAGEM DE FÔRMA PARA SAPATA CORRIDA, EM MADEIRA SERRADA, E=25 MM, 4 UTILIZAÇÕES. AF_01/2024</t>
    </r>
  </si>
  <si>
    <r>
      <rPr>
        <sz val="8"/>
        <rFont val="Arial MT"/>
        <family val="2"/>
      </rPr>
      <t>2.3.6</t>
    </r>
  </si>
  <si>
    <r>
      <rPr>
        <sz val="8"/>
        <rFont val="Arial MT"/>
        <family val="2"/>
      </rPr>
      <t xml:space="preserve">FABRICAÇÃO, MONTAGEM E DESMONTAGEM DE FÔRMA PARA VIGA BALDRAME, EM CHAPA DE MADEIRA COMPENSADA RESINADA, E=17 MM,
</t>
    </r>
    <r>
      <rPr>
        <sz val="8"/>
        <rFont val="Arial MT"/>
        <family val="2"/>
      </rPr>
      <t>4 UTILIZAÇÕES. AF_01/2024</t>
    </r>
  </si>
  <si>
    <r>
      <rPr>
        <sz val="8"/>
        <rFont val="Arial MT"/>
        <family val="2"/>
      </rPr>
      <t>2.3.7</t>
    </r>
  </si>
  <si>
    <r>
      <rPr>
        <sz val="8"/>
        <rFont val="Arial MT"/>
        <family val="2"/>
      </rPr>
      <t>ARMAÇÃO DE SAPATA ISOLADA, VIGA BALDRAME E SAPATA CORRIDA UTILIZANDO AÇO CA-50 DE 6,3 MM - MONTAGEM. AF_01/2024</t>
    </r>
  </si>
  <si>
    <r>
      <rPr>
        <sz val="8"/>
        <rFont val="Arial MT"/>
        <family val="2"/>
      </rPr>
      <t>KG</t>
    </r>
  </si>
  <si>
    <r>
      <rPr>
        <sz val="8"/>
        <rFont val="Arial MT"/>
        <family val="2"/>
      </rPr>
      <t>2.3.8</t>
    </r>
  </si>
  <si>
    <r>
      <rPr>
        <sz val="8"/>
        <rFont val="Arial MT"/>
        <family val="2"/>
      </rPr>
      <t>ARMAÇÃO DE SAPATA ISOLADA, VIGA BALDRAME E SAPATA CORRIDA UTILIZANDO AÇO CA-60 DE 5 MM - MONTAGEM. AF_01/2024</t>
    </r>
  </si>
  <si>
    <r>
      <rPr>
        <sz val="8"/>
        <rFont val="Arial MT"/>
        <family val="2"/>
      </rPr>
      <t>2.3.9</t>
    </r>
  </si>
  <si>
    <r>
      <rPr>
        <sz val="8"/>
        <rFont val="Arial MT"/>
        <family val="2"/>
      </rPr>
      <t>ARMAÇÃO DE SAPATA ISOLADA, VIGA BALDRAME E SAPATA CORRIDA UTILIZANDO AÇO CA-50 DE 8 MM - MONTAGEM. AF_01/2024</t>
    </r>
  </si>
  <si>
    <r>
      <rPr>
        <sz val="8"/>
        <rFont val="Arial MT"/>
        <family val="2"/>
      </rPr>
      <t xml:space="preserve">IMPERMEABILIZAÇÃO DE SUPERFÍCIE COM EMULSÃO ASFÁLTICA, 2
</t>
    </r>
    <r>
      <rPr>
        <sz val="8"/>
        <rFont val="Arial MT"/>
        <family val="2"/>
      </rPr>
      <t>DEMÃOS. AF_09/2023</t>
    </r>
  </si>
  <si>
    <r>
      <rPr>
        <b/>
        <sz val="8"/>
        <rFont val="Arial"/>
        <family val="2"/>
      </rPr>
      <t>2.4</t>
    </r>
  </si>
  <si>
    <r>
      <rPr>
        <sz val="8"/>
        <rFont val="Arial MT"/>
        <family val="2"/>
      </rPr>
      <t>2.4.1</t>
    </r>
  </si>
  <si>
    <r>
      <rPr>
        <sz val="8"/>
        <rFont val="Arial MT"/>
        <family val="2"/>
      </rPr>
      <t>MONTAGEM E DESMONTAGEM DE FÔRMA DE PILARES RETANGULARES E ESTRUTURAS SIMILARES, PÉ-DIREITO DUPLO, EM CHAPA DE MADEIRA COMPENSADA RESINADA, 8 UTILIZAÇÕES. AF_09/2020</t>
    </r>
  </si>
  <si>
    <r>
      <rPr>
        <sz val="8"/>
        <rFont val="Arial MT"/>
        <family val="2"/>
      </rPr>
      <t>2.4.2</t>
    </r>
  </si>
  <si>
    <r>
      <rPr>
        <sz val="8"/>
        <rFont val="Arial MT"/>
        <family val="2"/>
      </rPr>
      <t xml:space="preserve">MONTAGEM E DESMONTAGEM DE FÔRMA DE VIGA, ESCORAMENTO METÁLICO, PÉ-DIREITO SIMPLES, EM CHAPA DE MADEIRA PLASTIFICADA,
</t>
    </r>
    <r>
      <rPr>
        <sz val="8"/>
        <rFont val="Arial MT"/>
        <family val="2"/>
      </rPr>
      <t>14 UTILIZAÇÕES. AF_09/2020</t>
    </r>
  </si>
  <si>
    <r>
      <rPr>
        <sz val="8"/>
        <rFont val="Arial MT"/>
        <family val="2"/>
      </rPr>
      <t>2.4.3</t>
    </r>
  </si>
  <si>
    <r>
      <rPr>
        <sz val="8"/>
        <rFont val="Arial MT"/>
        <family val="2"/>
      </rPr>
      <t>MONTAGEM E DESMONTAGEM DE FÔRMA DE LAJE MACIÇA, PÉ-DIREITO SIMPLES, EM MADEIRA SERRADA, 4 UTILIZAÇÕES. AF_09/2020</t>
    </r>
  </si>
  <si>
    <r>
      <rPr>
        <sz val="8"/>
        <rFont val="Arial MT"/>
        <family val="2"/>
      </rPr>
      <t>2.4.4</t>
    </r>
  </si>
  <si>
    <r>
      <rPr>
        <sz val="8"/>
        <rFont val="Arial MT"/>
        <family val="2"/>
      </rPr>
      <t xml:space="preserve">ARMAÇÃO DE PILAR OU VIGA DE ESTRUTURA CONVENCIONAL DE
</t>
    </r>
    <r>
      <rPr>
        <sz val="8"/>
        <rFont val="Arial MT"/>
        <family val="2"/>
      </rPr>
      <t>CONCRETO ARMADO UTILIZANDO AÇO CA-60 DE 5,0 MM - MONTAGEM. AF_06/2022</t>
    </r>
  </si>
  <si>
    <r>
      <rPr>
        <sz val="8"/>
        <rFont val="Arial MT"/>
        <family val="2"/>
      </rPr>
      <t>2.4.5</t>
    </r>
  </si>
  <si>
    <r>
      <rPr>
        <sz val="8"/>
        <rFont val="Arial MT"/>
        <family val="2"/>
      </rPr>
      <t xml:space="preserve">ARMAÇÃO DE PILAR OU VIGA DE ESTRUTURA DE CONCRETO ARMADO EMBUTIDA EM ALVENARIA DE VEDAÇÃO UTILIZANDO AÇO CA-50 DE 10,0
</t>
    </r>
    <r>
      <rPr>
        <sz val="8"/>
        <rFont val="Arial MT"/>
        <family val="2"/>
      </rPr>
      <t>MM - MONTAGEM. AF_06/2022</t>
    </r>
  </si>
  <si>
    <r>
      <rPr>
        <sz val="8"/>
        <rFont val="Arial MT"/>
        <family val="2"/>
      </rPr>
      <t>2.4.6</t>
    </r>
  </si>
  <si>
    <r>
      <rPr>
        <sz val="8"/>
        <rFont val="Arial MT"/>
        <family val="2"/>
      </rPr>
      <t xml:space="preserve">ARMAÇÃO DE PILAR OU VIGA DE ESTRUTURA CONVENCIONAL DE
</t>
    </r>
    <r>
      <rPr>
        <sz val="8"/>
        <rFont val="Arial MT"/>
        <family val="2"/>
      </rPr>
      <t>CONCRETO ARMADO UTILIZANDO AÇO CA-50 DE 8,0 MM - MONTAGEM. AF_06/2022</t>
    </r>
  </si>
  <si>
    <r>
      <rPr>
        <sz val="8"/>
        <rFont val="Arial MT"/>
        <family val="2"/>
      </rPr>
      <t>2.4.7</t>
    </r>
  </si>
  <si>
    <r>
      <rPr>
        <sz val="8"/>
        <rFont val="Arial MT"/>
        <family val="2"/>
      </rPr>
      <t xml:space="preserve">CONCRETO FCK = 25MPA, TRAÇO 1:2,3:2,7 (EM MASSA SECA DE
</t>
    </r>
    <r>
      <rPr>
        <sz val="8"/>
        <rFont val="Arial MT"/>
        <family val="2"/>
      </rPr>
      <t>CIMENTO/ AREIA MÉDIA/ BRITA 1) - PREPARO MECÂNICO COM BETONEIRA 600 L. AF_05/2021</t>
    </r>
  </si>
  <si>
    <r>
      <rPr>
        <sz val="8"/>
        <rFont val="Arial MT"/>
        <family val="2"/>
      </rPr>
      <t>2.4.8</t>
    </r>
  </si>
  <si>
    <r>
      <rPr>
        <sz val="8"/>
        <rFont val="Arial MT"/>
        <family val="2"/>
      </rPr>
      <t>2.4.9</t>
    </r>
  </si>
  <si>
    <r>
      <rPr>
        <sz val="8"/>
        <rFont val="Arial MT"/>
        <family val="2"/>
      </rPr>
      <t>ARMAÇÃO DE LAJE DE ESTRUTURA CONVENCIONAL DE CONCRETO ARMADO UTILIZANDO AÇO CA-60 DE 5,0 MM - MONTAGEM. AF_06/2022</t>
    </r>
  </si>
  <si>
    <r>
      <rPr>
        <sz val="8"/>
        <rFont val="Arial MT"/>
        <family val="2"/>
      </rPr>
      <t>ARMAÇÃO DE LAJE DE ESTRUTURA CONVENCIONAL DE CONCRETO ARMADO UTILIZANDO AÇO CA-50 DE 6,3 MM - MONTAGEM. AF_06/2022</t>
    </r>
  </si>
  <si>
    <r>
      <rPr>
        <b/>
        <sz val="8"/>
        <rFont val="Arial"/>
        <family val="2"/>
      </rPr>
      <t>2.5</t>
    </r>
  </si>
  <si>
    <r>
      <rPr>
        <sz val="8"/>
        <rFont val="Arial MT"/>
        <family val="2"/>
      </rPr>
      <t>2.5.1</t>
    </r>
  </si>
  <si>
    <r>
      <rPr>
        <sz val="8"/>
        <rFont val="Arial MT"/>
        <family val="2"/>
      </rPr>
      <t>ALVENARIA DE VEDAÇÃO DE BLOCOS CERÂMICOS FURADOS NA HORIZONTAL DE 9X19X29 CM (ESPESSURA 9 CM) E ARGAMASSA DE ASSENTAMENTO COM PREPARO EM BETONEIRA. AF_12/2021</t>
    </r>
  </si>
  <si>
    <r>
      <rPr>
        <sz val="8"/>
        <rFont val="Arial MT"/>
        <family val="2"/>
      </rPr>
      <t>2.5.2</t>
    </r>
  </si>
  <si>
    <r>
      <rPr>
        <sz val="8"/>
        <rFont val="Arial MT"/>
        <family val="2"/>
      </rPr>
      <t xml:space="preserve">VERGA MOLDADA IN LOCO EM CONCRETO, ESPESSURA DE *15* CM.
</t>
    </r>
    <r>
      <rPr>
        <sz val="8"/>
        <rFont val="Arial MT"/>
        <family val="2"/>
      </rPr>
      <t>AF_03/2024</t>
    </r>
  </si>
  <si>
    <r>
      <rPr>
        <sz val="8"/>
        <rFont val="Arial MT"/>
        <family val="2"/>
      </rPr>
      <t>2.5.3</t>
    </r>
  </si>
  <si>
    <r>
      <rPr>
        <sz val="8"/>
        <rFont val="Arial MT"/>
        <family val="2"/>
      </rPr>
      <t xml:space="preserve">CONTRAVERGA MOLDADA IN LOCO EM CONCRETO, ESPESSURA DE *15*
</t>
    </r>
    <r>
      <rPr>
        <sz val="8"/>
        <rFont val="Arial MT"/>
        <family val="2"/>
      </rPr>
      <t>CM. AF_03/2024</t>
    </r>
  </si>
  <si>
    <r>
      <rPr>
        <b/>
        <sz val="8"/>
        <rFont val="Arial"/>
        <family val="2"/>
      </rPr>
      <t>2.6</t>
    </r>
  </si>
  <si>
    <r>
      <rPr>
        <sz val="8"/>
        <rFont val="Arial MT"/>
        <family val="2"/>
      </rPr>
      <t>2.6.1</t>
    </r>
  </si>
  <si>
    <r>
      <rPr>
        <sz val="8"/>
        <rFont val="Arial MT"/>
        <family val="2"/>
      </rPr>
      <t xml:space="preserve">CHAPISCO APLICADO EM ALVENARIAS E ESTRUTURAS DE CONCRETO INTERNAS, COM COLHER DE PEDREIRO. ARGAMASSA TRAÇO 1:3 COM
</t>
    </r>
    <r>
      <rPr>
        <sz val="8"/>
        <rFont val="Arial MT"/>
        <family val="2"/>
      </rPr>
      <t>PREPARO MANUAL. AF_10/2022</t>
    </r>
  </si>
  <si>
    <r>
      <rPr>
        <sz val="8"/>
        <rFont val="Arial MT"/>
        <family val="2"/>
      </rPr>
      <t>2.6.2</t>
    </r>
  </si>
  <si>
    <r>
      <rPr>
        <sz val="8"/>
        <rFont val="Arial MT"/>
        <family val="2"/>
      </rPr>
      <t>EMBOÇO, EM ARGAMASSA TRAÇO 1:2:8, PREPARO MECÂNICO, APLICADO MANUALMENTE EM PAREDES INTERNAS, PARA AMBIENTES COM ÁREA MENOR QUE 5M², E = 10MM, COM TALISCAS. AF_03/2024</t>
    </r>
  </si>
  <si>
    <r>
      <rPr>
        <sz val="8"/>
        <rFont val="Arial MT"/>
        <family val="2"/>
      </rPr>
      <t>2.6.3</t>
    </r>
  </si>
  <si>
    <r>
      <rPr>
        <sz val="8"/>
        <rFont val="Arial MT"/>
        <family val="2"/>
      </rPr>
      <t>MASSA ÚNICA, EM ARGAMASSA TRAÇO 1:2:8, PREPARO MECÂNICO, APLICADA MANUALMENTE EM PAREDES INTERNAS DE AMBIENTES COM ÁREA ENTRE 5M² E 10M², E = 17,5MM, COM TALISCAS. AF_03/2024</t>
    </r>
  </si>
  <si>
    <r>
      <rPr>
        <sz val="8"/>
        <rFont val="Arial MT"/>
        <family val="2"/>
      </rPr>
      <t>2.6.4</t>
    </r>
  </si>
  <si>
    <r>
      <rPr>
        <sz val="8"/>
        <rFont val="Arial MT"/>
        <family val="2"/>
      </rPr>
      <t>compo</t>
    </r>
  </si>
  <si>
    <r>
      <rPr>
        <sz val="8"/>
        <rFont val="Arial MT"/>
        <family val="2"/>
      </rPr>
      <t>Próprio</t>
    </r>
  </si>
  <si>
    <r>
      <rPr>
        <sz val="8"/>
        <rFont val="Arial MT"/>
        <family val="2"/>
      </rPr>
      <t>REVESTIMENTO CERÂMICO BRILHANTE RIVIERA 67X67CM  RETIFICADO- FORNECIMENTO E INSTALAÇÃO (ADAPTADO SINAPI  87256)</t>
    </r>
  </si>
  <si>
    <r>
      <rPr>
        <sz val="8"/>
        <rFont val="Arial MT"/>
        <family val="2"/>
      </rPr>
      <t>2.6.5</t>
    </r>
  </si>
  <si>
    <r>
      <rPr>
        <sz val="8"/>
        <rFont val="Arial MT"/>
        <family val="2"/>
      </rPr>
      <t xml:space="preserve">CHAPISCO APLICADO EM ALVENARIA (COM PRESENÇA DE VÃOS) E ESTRUTURAS DE CONCRETO DE FACHADA, COM EQUIPAMENTO DE PROJEÇÃO. ARGAMASSA TRAÇO 1:3 COM PREPARO EM BETONEIRA 400
</t>
    </r>
    <r>
      <rPr>
        <sz val="8"/>
        <rFont val="Arial MT"/>
        <family val="2"/>
      </rPr>
      <t>L. AF_10/2022</t>
    </r>
  </si>
  <si>
    <r>
      <rPr>
        <sz val="8"/>
        <rFont val="Arial MT"/>
        <family val="2"/>
      </rPr>
      <t>2.6.6</t>
    </r>
  </si>
  <si>
    <r>
      <rPr>
        <sz val="8"/>
        <rFont val="Arial MT"/>
        <family val="2"/>
      </rPr>
      <t xml:space="preserve">EMBOÇO OU MASSA ÚNICA EM ARGAMASSA TRAÇO 1:2:8, PREPARO MANUAL, APLICADA MANUALMENTE EM PANOS DE FACHADA COM PRESENÇA DE VÃOS, ESPESSURA DE 25 MM, ACESSO POR ANDAIME.
</t>
    </r>
    <r>
      <rPr>
        <sz val="8"/>
        <rFont val="Arial MT"/>
        <family val="2"/>
      </rPr>
      <t>AF_08/2022</t>
    </r>
  </si>
  <si>
    <r>
      <rPr>
        <sz val="8"/>
        <rFont val="Arial MT"/>
        <family val="2"/>
      </rPr>
      <t>2.6.7</t>
    </r>
  </si>
  <si>
    <r>
      <rPr>
        <sz val="8"/>
        <rFont val="Arial MT"/>
        <family val="2"/>
      </rPr>
      <t>REVESTIMENTO CERÂMICO IVY MADEIRA MRE 67X67CM TIPO A - FORNECIMENTO E  INSTALAÇÃO (ADAPTADO SINAPI 87256)</t>
    </r>
  </si>
  <si>
    <r>
      <rPr>
        <sz val="8"/>
        <rFont val="Arial MT"/>
        <family val="2"/>
      </rPr>
      <t>2.6.8</t>
    </r>
  </si>
  <si>
    <r>
      <rPr>
        <sz val="8"/>
        <rFont val="Arial MT"/>
        <family val="2"/>
      </rPr>
      <t>2.6.9</t>
    </r>
  </si>
  <si>
    <r>
      <rPr>
        <sz val="8"/>
        <rFont val="Arial MT"/>
        <family val="2"/>
      </rPr>
      <t xml:space="preserve">IMPERMEABILIZAÇÃO DE SUPERFÍCIE COM ARGAMASSA POLIMÉRICA /
</t>
    </r>
    <r>
      <rPr>
        <sz val="8"/>
        <rFont val="Arial MT"/>
        <family val="2"/>
      </rPr>
      <t>MEMBRANA ACRÍLICA, 3 DEMÃOS. AF_09/2023</t>
    </r>
  </si>
  <si>
    <r>
      <rPr>
        <b/>
        <sz val="8"/>
        <rFont val="Arial"/>
        <family val="2"/>
      </rPr>
      <t>2.7</t>
    </r>
  </si>
  <si>
    <r>
      <rPr>
        <sz val="8"/>
        <rFont val="Arial MT"/>
        <family val="2"/>
      </rPr>
      <t>2.7.1</t>
    </r>
  </si>
  <si>
    <r>
      <rPr>
        <sz val="8"/>
        <rFont val="Arial MT"/>
        <family val="2"/>
      </rPr>
      <t>FORRO EM RÉGUAS DE PVC, LISO, PARA AMBIENTES COMERCIAIS, INCLUSIVE ESTRUTURA BIDIRECIONAL DE FIXAÇÃO. AF_08/2023_PS</t>
    </r>
  </si>
  <si>
    <r>
      <rPr>
        <sz val="8"/>
        <rFont val="Arial MT"/>
        <family val="2"/>
      </rPr>
      <t>2.7.2</t>
    </r>
  </si>
  <si>
    <r>
      <rPr>
        <sz val="8"/>
        <rFont val="Arial MT"/>
        <family val="2"/>
      </rPr>
      <t xml:space="preserve">ACABAMENTOS PARA FORRO (RODA-FORRO EM PERFIL METÁLICO E
</t>
    </r>
    <r>
      <rPr>
        <sz val="8"/>
        <rFont val="Arial MT"/>
        <family val="2"/>
      </rPr>
      <t>PLÁSTICO). AF_08/2023</t>
    </r>
  </si>
  <si>
    <r>
      <rPr>
        <b/>
        <sz val="8"/>
        <rFont val="Arial"/>
        <family val="2"/>
      </rPr>
      <t>2.8</t>
    </r>
  </si>
  <si>
    <r>
      <rPr>
        <sz val="8"/>
        <rFont val="Arial MT"/>
        <family val="2"/>
      </rPr>
      <t>2.8.1</t>
    </r>
  </si>
  <si>
    <r>
      <rPr>
        <sz val="8"/>
        <rFont val="Arial MT"/>
        <family val="2"/>
      </rPr>
      <t>LASTRO DE CONCRETO MAGRO, APLICADO EM PISOS, LAJES SOBRE SOLO OU RADIERS, ESPESSURA DE 5 CM. AF_01/2024</t>
    </r>
  </si>
  <si>
    <r>
      <rPr>
        <sz val="8"/>
        <rFont val="Arial MT"/>
        <family val="2"/>
      </rPr>
      <t>2.8.2</t>
    </r>
  </si>
  <si>
    <r>
      <rPr>
        <sz val="8"/>
        <rFont val="Arial MT"/>
        <family val="2"/>
      </rPr>
      <t>CONTRAPISO EM ARGAMASSA TRAÇO 1:4 (CIMENTO E AREIA), PREPARO MANUAL, APLICADO EM ÁREAS SECAS SOBRE LAJE, ADERIDO, ACABAMENTO NÃO REFORÇADO, ESPESSURA 2CM. AF_07/2021</t>
    </r>
  </si>
  <si>
    <r>
      <rPr>
        <sz val="8"/>
        <rFont val="Arial MT"/>
        <family val="2"/>
      </rPr>
      <t>2.8.3</t>
    </r>
  </si>
  <si>
    <r>
      <rPr>
        <b/>
        <sz val="8"/>
        <rFont val="Arial"/>
        <family val="2"/>
      </rPr>
      <t>2.9</t>
    </r>
  </si>
  <si>
    <r>
      <rPr>
        <b/>
        <sz val="8"/>
        <rFont val="Arial"/>
        <family val="2"/>
      </rPr>
      <t>2.9.1</t>
    </r>
  </si>
  <si>
    <r>
      <rPr>
        <sz val="8"/>
        <rFont val="Arial MT"/>
        <family val="2"/>
      </rPr>
      <t>2.9.1.1</t>
    </r>
  </si>
  <si>
    <r>
      <rPr>
        <sz val="8"/>
        <rFont val="Arial MT"/>
        <family val="2"/>
      </rPr>
      <t xml:space="preserve">CAIXA D´ÁGUA EM POLIETILENO, 1000 LITROS - FORNECIMENTO E
</t>
    </r>
    <r>
      <rPr>
        <sz val="8"/>
        <rFont val="Arial MT"/>
        <family val="2"/>
      </rPr>
      <t>INSTALAÇÃO. AF_06/2021</t>
    </r>
  </si>
  <si>
    <r>
      <rPr>
        <sz val="8"/>
        <rFont val="Arial MT"/>
        <family val="2"/>
      </rPr>
      <t>UN</t>
    </r>
  </si>
  <si>
    <r>
      <rPr>
        <sz val="8"/>
        <rFont val="Arial MT"/>
        <family val="2"/>
      </rPr>
      <t>2.9.1.2</t>
    </r>
  </si>
  <si>
    <r>
      <rPr>
        <sz val="8"/>
        <rFont val="Arial MT"/>
        <family val="2"/>
      </rPr>
      <t xml:space="preserve">TORNEIRA DE BOIA PARA CAIXA D'ÁGUA, ROSCÁVEL, 1/2" -
</t>
    </r>
    <r>
      <rPr>
        <sz val="8"/>
        <rFont val="Arial MT"/>
        <family val="2"/>
      </rPr>
      <t>FORNECIMENTO E INSTALAÇÃO. AF_08/2021</t>
    </r>
  </si>
  <si>
    <r>
      <rPr>
        <sz val="8"/>
        <rFont val="Arial MT"/>
        <family val="2"/>
      </rPr>
      <t>2.9.1.3</t>
    </r>
  </si>
  <si>
    <r>
      <rPr>
        <sz val="8"/>
        <rFont val="Arial MT"/>
        <family val="2"/>
      </rPr>
      <t xml:space="preserve">VASO SANITÁRIO SIFONADO COM CAIXA ACOPLADA LOUÇA BRANCA -
</t>
    </r>
    <r>
      <rPr>
        <sz val="8"/>
        <rFont val="Arial MT"/>
        <family val="2"/>
      </rPr>
      <t>FORNECIMENTO E INSTALAÇÃO. AF_01/2020</t>
    </r>
  </si>
  <si>
    <r>
      <rPr>
        <sz val="8"/>
        <rFont val="Arial MT"/>
        <family val="2"/>
      </rPr>
      <t>2.9.1.4</t>
    </r>
  </si>
  <si>
    <r>
      <rPr>
        <sz val="8"/>
        <rFont val="Arial MT"/>
        <family val="2"/>
      </rPr>
      <t>DUCHA HIGIENICA PLASTICA COM REGISTRO METALICO 1/2"</t>
    </r>
  </si>
  <si>
    <r>
      <rPr>
        <sz val="8"/>
        <rFont val="Arial MT"/>
        <family val="2"/>
      </rPr>
      <t>2.9.1.5</t>
    </r>
  </si>
  <si>
    <r>
      <rPr>
        <sz val="8"/>
        <rFont val="Arial MT"/>
        <family val="2"/>
      </rPr>
      <t>LAVATORIO / CUBA DE SOBREPOR, RETANGULAR, DE LOUCA BRANCA, COM LADRAO, DIMENSOES *52 X 45* CM (L X C)</t>
    </r>
  </si>
  <si>
    <r>
      <rPr>
        <sz val="8"/>
        <rFont val="Arial MT"/>
        <family val="2"/>
      </rPr>
      <t>2.9.1.6</t>
    </r>
  </si>
  <si>
    <r>
      <rPr>
        <sz val="8"/>
        <rFont val="Arial MT"/>
        <family val="2"/>
      </rPr>
      <t>SIFAO EM METAL CROMADO PARA PIA OU LAVATORIO, 1 X 1.1/2"</t>
    </r>
  </si>
  <si>
    <r>
      <rPr>
        <sz val="8"/>
        <rFont val="Arial MT"/>
        <family val="2"/>
      </rPr>
      <t>2.9.1.7</t>
    </r>
  </si>
  <si>
    <r>
      <rPr>
        <sz val="8"/>
        <rFont val="Arial MT"/>
        <family val="2"/>
      </rPr>
      <t xml:space="preserve">ENGATE FLEXÍVEL EM INOX, 1/2 X 30CM - FORNECIMENTO E
</t>
    </r>
    <r>
      <rPr>
        <sz val="8"/>
        <rFont val="Arial MT"/>
        <family val="2"/>
      </rPr>
      <t>INSTALAÇÃO. AF_01/2020</t>
    </r>
  </si>
  <si>
    <r>
      <rPr>
        <sz val="8"/>
        <rFont val="Arial MT"/>
        <family val="2"/>
      </rPr>
      <t>2.9.1.8</t>
    </r>
  </si>
  <si>
    <r>
      <rPr>
        <sz val="8"/>
        <rFont val="Arial MT"/>
        <family val="2"/>
      </rPr>
      <t xml:space="preserve">CUBA DE EMBUTIR DE AÇO INOXIDÁVEL MÉDIA, INCLUSO VÁLVULA TIPO AMERICANA E SIFÃO TIPO GARRAFA EM METAL CROMADO -
</t>
    </r>
    <r>
      <rPr>
        <sz val="8"/>
        <rFont val="Arial MT"/>
        <family val="2"/>
      </rPr>
      <t>FORNECIMENTO E INSTALAÇÃO. AF_01/2020</t>
    </r>
  </si>
  <si>
    <r>
      <rPr>
        <sz val="8"/>
        <rFont val="Arial MT"/>
        <family val="2"/>
      </rPr>
      <t>2.9.1.9</t>
    </r>
  </si>
  <si>
    <r>
      <rPr>
        <sz val="8"/>
        <rFont val="Arial MT"/>
        <family val="2"/>
      </rPr>
      <t xml:space="preserve">TORNEIRA CROMADA LONGA, DE PAREDE, 1/2" OU 3/4", PARA PIA DE COZINHA, PADRÃO POPULAR - FORNECIMENTO E INSTALAÇÃO.
</t>
    </r>
    <r>
      <rPr>
        <sz val="8"/>
        <rFont val="Arial MT"/>
        <family val="2"/>
      </rPr>
      <t>AF_01/2020</t>
    </r>
  </si>
  <si>
    <r>
      <rPr>
        <sz val="8"/>
        <rFont val="Arial MT"/>
        <family val="2"/>
      </rPr>
      <t>2.9.1.10</t>
    </r>
  </si>
  <si>
    <r>
      <rPr>
        <sz val="8"/>
        <rFont val="Arial MT"/>
        <family val="2"/>
      </rPr>
      <t>TORNEIRA METALICA CROMADA, RETA, DE PAREDE, PARA COZINHA, COM AREJADOR, PADRAO POPULAR, 1/2" OU 3/4"</t>
    </r>
  </si>
  <si>
    <r>
      <rPr>
        <sz val="8"/>
        <rFont val="Arial MT"/>
        <family val="2"/>
      </rPr>
      <t>2.9.1.11</t>
    </r>
  </si>
  <si>
    <r>
      <rPr>
        <sz val="8"/>
        <rFont val="Arial MT"/>
        <family val="2"/>
      </rPr>
      <t xml:space="preserve">REGISTRO DE GAVETA BRUTO, LATÃO, ROSCÁVEL, 3/4", COM ACABAMENTO E CANOPLA CROMADOS - FORNECIMENTO E INSTALAÇÃO.
</t>
    </r>
    <r>
      <rPr>
        <sz val="8"/>
        <rFont val="Arial MT"/>
        <family val="2"/>
      </rPr>
      <t>AF_08/2021</t>
    </r>
  </si>
  <si>
    <r>
      <rPr>
        <sz val="8"/>
        <rFont val="Arial MT"/>
        <family val="2"/>
      </rPr>
      <t>2.9.1.12</t>
    </r>
  </si>
  <si>
    <r>
      <rPr>
        <sz val="8"/>
        <rFont val="Arial MT"/>
        <family val="2"/>
      </rPr>
      <t xml:space="preserve">REGISTRO DE ESFERA, PVC, SOLDÁVEL, COM VOLANTE, DN 50 MM -
</t>
    </r>
    <r>
      <rPr>
        <sz val="8"/>
        <rFont val="Arial MT"/>
        <family val="2"/>
      </rPr>
      <t>FORNECIMENTO E INSTALAÇÃO. AF_08/2021</t>
    </r>
  </si>
  <si>
    <r>
      <rPr>
        <sz val="8"/>
        <rFont val="Arial MT"/>
        <family val="2"/>
      </rPr>
      <t>2.9.1.13</t>
    </r>
  </si>
  <si>
    <r>
      <rPr>
        <sz val="8"/>
        <rFont val="Arial MT"/>
        <family val="2"/>
      </rPr>
      <t xml:space="preserve">REGISTRO DE ESFERA, PVC, SOLDÁVEL, COM VOLANTE, DN 25 MM -
</t>
    </r>
    <r>
      <rPr>
        <sz val="8"/>
        <rFont val="Arial MT"/>
        <family val="2"/>
      </rPr>
      <t>FORNECIMENTO E INSTALAÇÃO. AF_08/2021</t>
    </r>
  </si>
  <si>
    <r>
      <rPr>
        <sz val="8"/>
        <rFont val="Arial MT"/>
        <family val="2"/>
      </rPr>
      <t>2.9.1.14</t>
    </r>
  </si>
  <si>
    <r>
      <rPr>
        <sz val="8"/>
        <rFont val="Arial MT"/>
        <family val="2"/>
      </rPr>
      <t>ADAPTADOR CURTO COM BOLSA E ROSCA PARA REGISTRO, PVC, SOLDÁVEL, DN 25 MM X 3/4", INSTALADO EM RESERVAÇÃO PREDIAL DE ÁGUA - FORNECIMENTO E INSTALAÇÃO. AF_04/2024</t>
    </r>
  </si>
  <si>
    <r>
      <rPr>
        <sz val="8"/>
        <rFont val="Arial MT"/>
        <family val="2"/>
      </rPr>
      <t>2.9.1.15</t>
    </r>
  </si>
  <si>
    <r>
      <rPr>
        <sz val="8"/>
        <rFont val="Arial MT"/>
        <family val="2"/>
      </rPr>
      <t xml:space="preserve">BUCHA DE REDUÇÃO, LONGA, PVC, SOLDÁVEL, DN 50 X 25 MM,
</t>
    </r>
    <r>
      <rPr>
        <sz val="8"/>
        <rFont val="Arial MT"/>
        <family val="2"/>
      </rPr>
      <t>INSTALADO EM PRUMADA DE ÁGUA - FORNECIMENTO E INSTALAÇÃO. AF_06/2022</t>
    </r>
  </si>
  <si>
    <r>
      <rPr>
        <sz val="8"/>
        <rFont val="Arial MT"/>
        <family val="2"/>
      </rPr>
      <t>2.9.1.16</t>
    </r>
  </si>
  <si>
    <r>
      <rPr>
        <sz val="8"/>
        <rFont val="Arial MT"/>
        <family val="2"/>
      </rPr>
      <t>CURVA 90 GRAUS, PVC, SOLDÁVEL, DN 25MM, INSTALADO EM RAMAL OU SUB-RAMAL DE ÁGUA - FORNECIMENTO E INSTALAÇÃO. AF_06/2022</t>
    </r>
  </si>
  <si>
    <r>
      <rPr>
        <sz val="8"/>
        <rFont val="Arial MT"/>
        <family val="2"/>
      </rPr>
      <t>2.9.1.17</t>
    </r>
  </si>
  <si>
    <r>
      <rPr>
        <sz val="8"/>
        <rFont val="Arial MT"/>
        <family val="2"/>
      </rPr>
      <t>CURVA 90 GRAUS, PVC, SOLDÁVEL, DN 50MM, INSTALADO EM RAMAL DE DISTRIBUIÇÃO DE ÁGUA - FORNECIMENTO E INSTALAÇÃO. AF_06/2022</t>
    </r>
  </si>
  <si>
    <r>
      <rPr>
        <sz val="8"/>
        <rFont val="Arial MT"/>
        <family val="2"/>
      </rPr>
      <t>2.9.1.18</t>
    </r>
  </si>
  <si>
    <r>
      <rPr>
        <sz val="8"/>
        <rFont val="Arial MT"/>
        <family val="2"/>
      </rPr>
      <t>JOELHO 45 GRAUS, PVC, SOLDÁVEL, DN 25MM, INSTALADO EM RAMAL OU SUB-RAMAL DE ÁGUA - FORNECIMENTO E INSTALAÇÃO. AF_06/2022</t>
    </r>
  </si>
  <si>
    <r>
      <rPr>
        <sz val="8"/>
        <rFont val="Arial MT"/>
        <family val="2"/>
      </rPr>
      <t>2.9.1.19</t>
    </r>
  </si>
  <si>
    <r>
      <rPr>
        <sz val="8"/>
        <rFont val="Arial MT"/>
        <family val="2"/>
      </rPr>
      <t xml:space="preserve">JOELHO 90 GRAUS, PVC, SOLDÁVEL, DN 25MM, INSTALADO EM RAMAL DE DISTRIBUIÇÃO DE ÁGUA - FORNECIMENTO E INSTALAÇÃO.
</t>
    </r>
    <r>
      <rPr>
        <sz val="8"/>
        <rFont val="Arial MT"/>
        <family val="2"/>
      </rPr>
      <t>AF_06/2022</t>
    </r>
  </si>
  <si>
    <r>
      <rPr>
        <sz val="8"/>
        <rFont val="Arial MT"/>
        <family val="2"/>
      </rPr>
      <t>2.9.1.20</t>
    </r>
  </si>
  <si>
    <r>
      <rPr>
        <sz val="8"/>
        <rFont val="Arial MT"/>
        <family val="2"/>
      </rPr>
      <t>JOELHO 90 GRAUS, PVC, SERIE NORMAL, ESGOTO PREDIAL, DN 50 MM, JUNTA ELÁSTICA, FORNECIDO E INSTALADO EM RAMAL DE DESCARGA OU RAMAL DE ESGOTO SANITÁRIO. AF_08/2022</t>
    </r>
  </si>
  <si>
    <r>
      <rPr>
        <sz val="8"/>
        <rFont val="Arial MT"/>
        <family val="2"/>
      </rPr>
      <t>2.9.1.21</t>
    </r>
  </si>
  <si>
    <r>
      <rPr>
        <sz val="8"/>
        <rFont val="Arial MT"/>
        <family val="2"/>
      </rPr>
      <t xml:space="preserve">TE DE REDUÇÃO, PVC, SOLDÁVEL, 90 GRAUS, DN 50 MM X 25 MM,
</t>
    </r>
    <r>
      <rPr>
        <sz val="8"/>
        <rFont val="Arial MT"/>
        <family val="2"/>
      </rPr>
      <t>INSTALADO EM RESERVAÇÃO PREDIAL DE ÁGUA - FORNECIMENTO E INSTALAÇÃO. AF_04/2024</t>
    </r>
  </si>
  <si>
    <r>
      <rPr>
        <sz val="8"/>
        <rFont val="Arial MT"/>
        <family val="2"/>
      </rPr>
      <t>2.9.1.22</t>
    </r>
  </si>
  <si>
    <r>
      <rPr>
        <sz val="8"/>
        <rFont val="Arial MT"/>
        <family val="2"/>
      </rPr>
      <t xml:space="preserve">TE, PVC, SOLDÁVEL, DN 25MM, INSTALADO EM PRUMADA DE ÁGUA -
</t>
    </r>
    <r>
      <rPr>
        <sz val="8"/>
        <rFont val="Arial MT"/>
        <family val="2"/>
      </rPr>
      <t>FORNECIMENTO E INSTALAÇÃO. AF_06/2022</t>
    </r>
  </si>
  <si>
    <r>
      <rPr>
        <sz val="8"/>
        <rFont val="Arial MT"/>
        <family val="2"/>
      </rPr>
      <t>2.9.1.23</t>
    </r>
  </si>
  <si>
    <r>
      <rPr>
        <sz val="8"/>
        <rFont val="Arial MT"/>
        <family val="2"/>
      </rPr>
      <t>TÊ, PVC, SOLDÁVEL, DN 50 MM INSTALADO EM RESERVAÇÃO PREDIAL DE ÁGUA - FORNECIMENTO E INSTALAÇÃO. AF_04/2024</t>
    </r>
  </si>
  <si>
    <r>
      <rPr>
        <sz val="8"/>
        <rFont val="Arial MT"/>
        <family val="2"/>
      </rPr>
      <t>2.9.1.24</t>
    </r>
  </si>
  <si>
    <r>
      <rPr>
        <sz val="8"/>
        <rFont val="Arial MT"/>
        <family val="2"/>
      </rPr>
      <t xml:space="preserve">TUBO, PVC, SOLDÁVEL, DE 25MM, INSTALADO EM PRUMADA DE ÁGUA -
</t>
    </r>
    <r>
      <rPr>
        <sz val="8"/>
        <rFont val="Arial MT"/>
        <family val="2"/>
      </rPr>
      <t>FORNECIMENTO E INSTALAÇÃO. AF_06/2022</t>
    </r>
  </si>
  <si>
    <r>
      <rPr>
        <sz val="8"/>
        <rFont val="Arial MT"/>
        <family val="2"/>
      </rPr>
      <t>2.9.1.25</t>
    </r>
  </si>
  <si>
    <r>
      <rPr>
        <sz val="8"/>
        <rFont val="Arial MT"/>
        <family val="2"/>
      </rPr>
      <t xml:space="preserve">TUBO, PVC, SOLDÁVEL, DE 50MM, INSTALADO EM PRUMADA DE ÁGUA -
</t>
    </r>
    <r>
      <rPr>
        <sz val="8"/>
        <rFont val="Arial MT"/>
        <family val="2"/>
      </rPr>
      <t>FORNECIMENTO E INSTALAÇÃO. AF_06/2022</t>
    </r>
  </si>
  <si>
    <r>
      <rPr>
        <b/>
        <sz val="8"/>
        <rFont val="Arial"/>
        <family val="2"/>
      </rPr>
      <t>2.9.2</t>
    </r>
  </si>
  <si>
    <r>
      <rPr>
        <sz val="8"/>
        <rFont val="Arial MT"/>
        <family val="2"/>
      </rPr>
      <t>2.9.2.1</t>
    </r>
  </si>
  <si>
    <r>
      <rPr>
        <sz val="8"/>
        <rFont val="Arial MT"/>
        <family val="2"/>
      </rPr>
      <t xml:space="preserve">CURVA 90 GRAUS PARA ELETRODUTO, PVC, ROSCÁVEL, DN 25 MM (3/4"),
</t>
    </r>
    <r>
      <rPr>
        <sz val="8"/>
        <rFont val="Arial MT"/>
        <family val="2"/>
      </rPr>
      <t>PARA CIRCUITOS TERMINAIS, INSTALADA EM PAREDE - FORNECIMENTO E INSTALAÇÃO. AF_03/2023</t>
    </r>
  </si>
  <si>
    <r>
      <rPr>
        <sz val="8"/>
        <rFont val="Arial MT"/>
        <family val="2"/>
      </rPr>
      <t>2.9.2.2</t>
    </r>
  </si>
  <si>
    <r>
      <rPr>
        <sz val="8"/>
        <rFont val="Arial MT"/>
        <family val="2"/>
      </rPr>
      <t xml:space="preserve">LUVA PARA ELETRODUTO, PVC, ROSCÁVEL, DN 25 MM (3/4"), PARA CIRCUITOS TERMINAIS, INSTALADA EM PAREDE - FORNECIMENTO E
</t>
    </r>
    <r>
      <rPr>
        <sz val="8"/>
        <rFont val="Arial MT"/>
        <family val="2"/>
      </rPr>
      <t>INSTALAÇÃO. AF_03/2023</t>
    </r>
  </si>
  <si>
    <r>
      <rPr>
        <sz val="8"/>
        <rFont val="Arial MT"/>
        <family val="2"/>
      </rPr>
      <t>2.9.2.3</t>
    </r>
  </si>
  <si>
    <r>
      <rPr>
        <sz val="8"/>
        <rFont val="Arial MT"/>
        <family val="2"/>
      </rPr>
      <t xml:space="preserve">DISPOSITIVO DPS CLASSE II, 1 POLO, TENSAO MAXIMA DE 275 V,
</t>
    </r>
    <r>
      <rPr>
        <sz val="8"/>
        <rFont val="Arial MT"/>
        <family val="2"/>
      </rPr>
      <t>CORRENTE MAXIMA DE *30* KA (TIPO AC)</t>
    </r>
  </si>
  <si>
    <r>
      <rPr>
        <sz val="8"/>
        <rFont val="Arial MT"/>
        <family val="2"/>
      </rPr>
      <t>2.9.2.4</t>
    </r>
  </si>
  <si>
    <r>
      <rPr>
        <sz val="8"/>
        <rFont val="Arial MT"/>
        <family val="2"/>
      </rPr>
      <t xml:space="preserve">IDR INTERRUPTOR DIFERENCIAL RESIDUAL BIPOLAR IN=40A, 30mA
</t>
    </r>
    <r>
      <rPr>
        <sz val="8"/>
        <rFont val="Arial MT"/>
        <family val="2"/>
      </rPr>
      <t>(ADAPTADO ORSE  13782)</t>
    </r>
  </si>
  <si>
    <r>
      <rPr>
        <sz val="8"/>
        <rFont val="Arial MT"/>
        <family val="2"/>
      </rPr>
      <t>UND</t>
    </r>
  </si>
  <si>
    <r>
      <rPr>
        <sz val="8"/>
        <rFont val="Arial MT"/>
        <family val="2"/>
      </rPr>
      <t>2.9.2.5</t>
    </r>
  </si>
  <si>
    <r>
      <rPr>
        <sz val="8"/>
        <rFont val="Arial MT"/>
        <family val="2"/>
      </rPr>
      <t xml:space="preserve">DISJUNTOR MONOPOLAR TIPO DIN, CORRENTE NOMINAL DE 10A -
</t>
    </r>
    <r>
      <rPr>
        <sz val="8"/>
        <rFont val="Arial MT"/>
        <family val="2"/>
      </rPr>
      <t>FORNECIMENTO E INSTALAÇÃO. AF_10/2020</t>
    </r>
  </si>
  <si>
    <r>
      <rPr>
        <sz val="8"/>
        <rFont val="Arial MT"/>
        <family val="2"/>
      </rPr>
      <t>2.9.2.6</t>
    </r>
  </si>
  <si>
    <r>
      <rPr>
        <sz val="8"/>
        <rFont val="Arial MT"/>
        <family val="2"/>
      </rPr>
      <t xml:space="preserve">DISJUNTOR MONOPOLAR TIPO DIN, CORRENTE NOMINAL DE 16A -
</t>
    </r>
    <r>
      <rPr>
        <sz val="8"/>
        <rFont val="Arial MT"/>
        <family val="2"/>
      </rPr>
      <t>FORNECIMENTO E INSTALAÇÃO. AF_10/2020</t>
    </r>
  </si>
  <si>
    <r>
      <rPr>
        <sz val="8"/>
        <rFont val="Arial MT"/>
        <family val="2"/>
      </rPr>
      <t>2.9.2.7</t>
    </r>
  </si>
  <si>
    <r>
      <rPr>
        <sz val="8"/>
        <rFont val="Arial MT"/>
        <family val="2"/>
      </rPr>
      <t xml:space="preserve">DISJUNTOR MONOPOLAR TIPO DIN, CORRENTE NOMINAL DE 32A -
</t>
    </r>
    <r>
      <rPr>
        <sz val="8"/>
        <rFont val="Arial MT"/>
        <family val="2"/>
      </rPr>
      <t>FORNECIMENTO E INSTALAÇÃO. AF_10/2020</t>
    </r>
  </si>
  <si>
    <r>
      <rPr>
        <sz val="8"/>
        <rFont val="Arial MT"/>
        <family val="2"/>
      </rPr>
      <t>2.9.2.8</t>
    </r>
  </si>
  <si>
    <r>
      <rPr>
        <sz val="8"/>
        <rFont val="Arial MT"/>
        <family val="2"/>
      </rPr>
      <t>INTERRUPTOR SIMPLES (1 MÓDULO), 10A/250V, INCLUINDO SUPORTE E PLACA - FORNECIMENTO E INSTALAÇÃO. AF_03/2023</t>
    </r>
  </si>
  <si>
    <r>
      <rPr>
        <sz val="8"/>
        <rFont val="Arial MT"/>
        <family val="2"/>
      </rPr>
      <t>2.9.2.9</t>
    </r>
  </si>
  <si>
    <r>
      <rPr>
        <sz val="8"/>
        <rFont val="Arial MT"/>
        <family val="2"/>
      </rPr>
      <t>INTERRUPTOR SIMPLES (3 MÓDULOS), 10A/250V, INCLUINDO SUPORTE E PLACA - FORNECIMENTO E INSTALAÇÃO. AF_03/2023</t>
    </r>
  </si>
  <si>
    <r>
      <rPr>
        <sz val="8"/>
        <rFont val="Arial MT"/>
        <family val="2"/>
      </rPr>
      <t>2.9.2.10</t>
    </r>
  </si>
  <si>
    <r>
      <rPr>
        <sz val="8"/>
        <rFont val="Arial MT"/>
        <family val="2"/>
      </rPr>
      <t xml:space="preserve">QUADRO DE DISTRIBUIÇÃO DE ENERGIA EM PVC, DE EMBUTIR, SEM
</t>
    </r>
    <r>
      <rPr>
        <sz val="8"/>
        <rFont val="Arial MT"/>
        <family val="2"/>
      </rPr>
      <t>BARRAMENTO, PARA 6 DISJUNTORES - FORNECIMENTO E INSTALAÇÃO. AF_10/2020</t>
    </r>
  </si>
  <si>
    <r>
      <rPr>
        <sz val="8"/>
        <rFont val="Arial MT"/>
        <family val="2"/>
      </rPr>
      <t>2.9.2.11</t>
    </r>
  </si>
  <si>
    <r>
      <rPr>
        <sz val="8"/>
        <rFont val="Arial MT"/>
        <family val="2"/>
      </rPr>
      <t xml:space="preserve">CAIXA ENTERRADA ELÉTRICA RETANGULAR, EM ALVENARIA COM TIJOLOS CERÂMICOS MACIÇOS, FUNDO COM BRITA, DIMENSÕES
</t>
    </r>
    <r>
      <rPr>
        <sz val="8"/>
        <rFont val="Arial MT"/>
        <family val="2"/>
      </rPr>
      <t>INTERNAS: 0,3X0,3X0,3 M. AF_12/2020</t>
    </r>
  </si>
  <si>
    <r>
      <rPr>
        <sz val="8"/>
        <rFont val="Arial MT"/>
        <family val="2"/>
      </rPr>
      <t>2.9.2.12</t>
    </r>
  </si>
  <si>
    <r>
      <rPr>
        <sz val="8"/>
        <rFont val="Arial MT"/>
        <family val="2"/>
      </rPr>
      <t xml:space="preserve">HASTE DE ATERRAMENTO, DIÂMETRO 5/8", COM 3 METROS -
</t>
    </r>
    <r>
      <rPr>
        <sz val="8"/>
        <rFont val="Arial MT"/>
        <family val="2"/>
      </rPr>
      <t>FORNECIMENTO E INSTALAÇÃO. AF_08/2023</t>
    </r>
  </si>
  <si>
    <r>
      <rPr>
        <sz val="8"/>
        <rFont val="Arial MT"/>
        <family val="2"/>
      </rPr>
      <t>2.9.2.13</t>
    </r>
  </si>
  <si>
    <r>
      <rPr>
        <sz val="8"/>
        <rFont val="Arial MT"/>
        <family val="2"/>
      </rPr>
      <t xml:space="preserve">CONECTOR TIPO CUNHA- FORNECIMENTO E INSTALAÇÃO (ADAPTADO
</t>
    </r>
    <r>
      <rPr>
        <sz val="8"/>
        <rFont val="Arial MT"/>
        <family val="2"/>
      </rPr>
      <t>SINAPI 101551)</t>
    </r>
  </si>
  <si>
    <r>
      <rPr>
        <sz val="8"/>
        <rFont val="Arial MT"/>
        <family val="2"/>
      </rPr>
      <t>2.9.2.14</t>
    </r>
  </si>
  <si>
    <r>
      <rPr>
        <sz val="8"/>
        <rFont val="Arial MT"/>
        <family val="2"/>
      </rPr>
      <t>TOMADA BAIXA DE EMBUTIR (1 MÓDULO), 2P+T 10 A, SEM SUPORTE E SEM PLACA - FORNECIMENTO E INSTALAÇÃO. AF_03/2023</t>
    </r>
  </si>
  <si>
    <r>
      <rPr>
        <sz val="8"/>
        <rFont val="Arial MT"/>
        <family val="2"/>
      </rPr>
      <t>2.9.2.15</t>
    </r>
  </si>
  <si>
    <r>
      <rPr>
        <sz val="8"/>
        <rFont val="Arial MT"/>
        <family val="2"/>
      </rPr>
      <t>TOMADA MÉDIA DE EMBUTIR (2 MÓDULOS), 2P+T 10 A, INCLUINDO SUPORTE E PLACA - FORNECIMENTO E INSTALAÇÃO. AF_03/2023</t>
    </r>
  </si>
  <si>
    <r>
      <rPr>
        <sz val="8"/>
        <rFont val="Arial MT"/>
        <family val="2"/>
      </rPr>
      <t>2.9.2.16</t>
    </r>
  </si>
  <si>
    <r>
      <rPr>
        <sz val="8"/>
        <rFont val="Arial MT"/>
        <family val="2"/>
      </rPr>
      <t xml:space="preserve">CABO DE COBRE FLEXÍVEL ISOLADO, 6 MM², ANTI-CHAMA 0,6/1,0 KV, PARA CIRCUITOS TERMINAIS - FORNECIMENTO E INSTALAÇÃO.
</t>
    </r>
    <r>
      <rPr>
        <sz val="8"/>
        <rFont val="Arial MT"/>
        <family val="2"/>
      </rPr>
      <t>AF_03/2023</t>
    </r>
  </si>
  <si>
    <r>
      <rPr>
        <sz val="8"/>
        <rFont val="Arial MT"/>
        <family val="2"/>
      </rPr>
      <t>2.9.2.17</t>
    </r>
  </si>
  <si>
    <r>
      <rPr>
        <sz val="8"/>
        <rFont val="Arial MT"/>
        <family val="2"/>
      </rPr>
      <t xml:space="preserve">CABO DE COBRE FLEXÍVEL ISOLADO, 1,5 MM², ANTI-CHAMA 450/750 V, PARA CIRCUITOS TERMINAIS - FORNECIMENTO E INSTALAÇÃO.
</t>
    </r>
    <r>
      <rPr>
        <sz val="8"/>
        <rFont val="Arial MT"/>
        <family val="2"/>
      </rPr>
      <t>AF_03/2023</t>
    </r>
  </si>
  <si>
    <r>
      <rPr>
        <sz val="8"/>
        <rFont val="Arial MT"/>
        <family val="2"/>
      </rPr>
      <t>2.9.2.18</t>
    </r>
  </si>
  <si>
    <r>
      <rPr>
        <sz val="8"/>
        <rFont val="Arial MT"/>
        <family val="2"/>
      </rPr>
      <t xml:space="preserve">CABO DE COBRE FLEXÍVEL ISOLADO, 2,5 MM², ANTI-CHAMA 450/750 V, PARA CIRCUITOS TERMINAIS - FORNECIMENTO E INSTALAÇÃO.
</t>
    </r>
    <r>
      <rPr>
        <sz val="8"/>
        <rFont val="Arial MT"/>
        <family val="2"/>
      </rPr>
      <t>AF_03/2023</t>
    </r>
  </si>
  <si>
    <r>
      <rPr>
        <sz val="8"/>
        <rFont val="Arial MT"/>
        <family val="2"/>
      </rPr>
      <t>2.9.2.19</t>
    </r>
  </si>
  <si>
    <r>
      <rPr>
        <sz val="8"/>
        <rFont val="Arial MT"/>
        <family val="2"/>
      </rPr>
      <t>ELETRODUTO DE PVC RÍGIDO ROSCÁVEL 40MM  (ADAPTADO ORSE 355)</t>
    </r>
  </si>
  <si>
    <r>
      <rPr>
        <sz val="8"/>
        <rFont val="Arial MT"/>
        <family val="2"/>
      </rPr>
      <t>2.9.2.20</t>
    </r>
  </si>
  <si>
    <r>
      <rPr>
        <sz val="8"/>
        <rFont val="Arial MT"/>
        <family val="2"/>
      </rPr>
      <t xml:space="preserve">ELETRODUTO RÍGIDO SOLDÁVEL, PVC, DN 25 MM (3/4"), APARENTE -
</t>
    </r>
    <r>
      <rPr>
        <sz val="8"/>
        <rFont val="Arial MT"/>
        <family val="2"/>
      </rPr>
      <t>FORNECIMENTO E INSTALAÇÃO. AF_10/2022</t>
    </r>
  </si>
  <si>
    <r>
      <rPr>
        <sz val="8"/>
        <rFont val="Arial MT"/>
        <family val="2"/>
      </rPr>
      <t>2.9.2.21</t>
    </r>
  </si>
  <si>
    <r>
      <rPr>
        <sz val="8"/>
        <rFont val="Arial MT"/>
        <family val="2"/>
      </rPr>
      <t xml:space="preserve">ELETRODUTO FLEXÍVEL CORRUGADO, PVC, DN 25 MM (3/4"), PARA
</t>
    </r>
    <r>
      <rPr>
        <sz val="8"/>
        <rFont val="Arial MT"/>
        <family val="2"/>
      </rPr>
      <t>CIRCUITOS TERMINAIS, INSTALADO EM PAREDE - FORNECIMENTO E INSTALAÇÃO. AF_03/2023</t>
    </r>
  </si>
  <si>
    <r>
      <rPr>
        <sz val="8"/>
        <rFont val="Arial MT"/>
        <family val="2"/>
      </rPr>
      <t>2.9.3.1</t>
    </r>
  </si>
  <si>
    <r>
      <rPr>
        <sz val="8"/>
        <rFont val="Arial MT"/>
        <family val="2"/>
      </rPr>
      <t>SUMIDOURO CIRCULAR, EM CONCRETO PRÉ-MOLDADO, DIÂMETRO INTERNO = 1,88 M, ALTURA INTERNA = 2,00 M, ÁREA DE INFILTRAÇÃO: 13,1 M² (PARA 5 CONTRIBUINTES). AF_12/2020</t>
    </r>
  </si>
  <si>
    <r>
      <rPr>
        <sz val="8"/>
        <rFont val="Arial MT"/>
        <family val="2"/>
      </rPr>
      <t>2.9.3.2</t>
    </r>
  </si>
  <si>
    <r>
      <rPr>
        <sz val="8"/>
        <rFont val="Arial MT"/>
        <family val="2"/>
      </rPr>
      <t xml:space="preserve">CAP, PVC OCRE, JUNTA ELÁSTICA, DN 150 MM, PARA COLETOR PREDIAL
</t>
    </r>
    <r>
      <rPr>
        <sz val="8"/>
        <rFont val="Arial MT"/>
        <family val="2"/>
      </rPr>
      <t>DE ESGOTO. AF_06/2022</t>
    </r>
  </si>
  <si>
    <r>
      <rPr>
        <sz val="8"/>
        <rFont val="Arial MT"/>
        <family val="2"/>
      </rPr>
      <t>2.9.3.3</t>
    </r>
  </si>
  <si>
    <r>
      <rPr>
        <sz val="8"/>
        <rFont val="Arial MT"/>
        <family val="2"/>
      </rPr>
      <t>CURVA LONGA, 45 GRAUS, PVC OCRE, JUNTA ELÁSTICA, DN 150 MM, PARA COLETOR PREDIAL DE ESGOTO. AF_06/2022</t>
    </r>
  </si>
  <si>
    <r>
      <rPr>
        <sz val="8"/>
        <rFont val="Arial MT"/>
        <family val="2"/>
      </rPr>
      <t>2.9.3.4</t>
    </r>
  </si>
  <si>
    <r>
      <rPr>
        <sz val="8"/>
        <rFont val="Arial MT"/>
        <family val="2"/>
      </rPr>
      <t>CURVA CURTA 90 GRAUS, PVC, SERIE NORMAL, ESGOTO PREDIAL, DN 50 MM, JUNTA ELÁSTICA, FORNECIDO E INSTALADO EM RAMAL DE DESCARGA OU RAMAL DE ESGOTO SANITÁRIO. AF_08/2022</t>
    </r>
  </si>
  <si>
    <r>
      <rPr>
        <sz val="8"/>
        <rFont val="Arial MT"/>
        <family val="2"/>
      </rPr>
      <t>2.9.3.5</t>
    </r>
  </si>
  <si>
    <r>
      <rPr>
        <sz val="8"/>
        <rFont val="Arial MT"/>
        <family val="2"/>
      </rPr>
      <t>JOELHO 45 GRAUS, PVC, SERIE NORMAL, ESGOTO PREDIAL, DN 40 MM, JUNTA SOLDÁVEL, FORNECIDO E INSTALADO EM RAMAL DE DESCARGA OU RAMAL DE ESGOTO SANITÁRIO. AF_08/2022</t>
    </r>
  </si>
  <si>
    <r>
      <rPr>
        <sz val="8"/>
        <rFont val="Arial MT"/>
        <family val="2"/>
      </rPr>
      <t>2.9.3.6</t>
    </r>
  </si>
  <si>
    <r>
      <rPr>
        <sz val="8"/>
        <rFont val="Arial MT"/>
        <family val="2"/>
      </rPr>
      <t>JOELHO 45 GRAUS, PVC, SERIE NORMAL, ESGOTO PREDIAL, DN 50 MM, JUNTA ELÁSTICA, FORNECIDO E INSTALADO EM RAMAL DE DESCARGA OU RAMAL DE ESGOTO SANITÁRIO. AF_08/2022</t>
    </r>
  </si>
  <si>
    <r>
      <rPr>
        <sz val="8"/>
        <rFont val="Arial MT"/>
        <family val="2"/>
      </rPr>
      <t>2.9.3.7</t>
    </r>
  </si>
  <si>
    <r>
      <rPr>
        <sz val="8"/>
        <rFont val="Arial MT"/>
        <family val="2"/>
      </rPr>
      <t>JOELHO 90 GRAUS, PVC, SERIE NORMAL, ESGOTO PREDIAL, DN 40 MM, JUNTA SOLDÁVEL, FORNECIDO E INSTALADO EM RAMAL DE DESCARGA OU RAMAL DE ESGOTO SANITÁRIO. AF_08/2022</t>
    </r>
  </si>
  <si>
    <r>
      <rPr>
        <sz val="8"/>
        <rFont val="Arial MT"/>
        <family val="2"/>
      </rPr>
      <t>2.9.3.8</t>
    </r>
  </si>
  <si>
    <r>
      <rPr>
        <sz val="8"/>
        <rFont val="Arial MT"/>
        <family val="2"/>
      </rPr>
      <t>2.9.3.9</t>
    </r>
  </si>
  <si>
    <r>
      <rPr>
        <sz val="8"/>
        <rFont val="Arial MT"/>
        <family val="2"/>
      </rPr>
      <t>JOELHO 90 GRAUS, PVC, SERIE NORMAL, ESGOTO PREDIAL, DN 100 MM, JUNTA ELÁSTICA, FORNECIDO E INSTALADO EM RAMAL DE DESCARGA OU RAMAL DE ESGOTO SANITÁRIO. AF_08/2022</t>
    </r>
  </si>
  <si>
    <r>
      <rPr>
        <sz val="8"/>
        <rFont val="Arial MT"/>
        <family val="2"/>
      </rPr>
      <t>2.9.3.10</t>
    </r>
  </si>
  <si>
    <r>
      <rPr>
        <sz val="8"/>
        <rFont val="Arial MT"/>
        <family val="2"/>
      </rPr>
      <t>JUNÇÃO SIMPLES, PVC, SERIE NORMAL, ESGOTO PREDIAL, DN 50 X 50 MM, JUNTA ELÁSTICA, FORNECIDO E INSTALADO EM RAMAL DE DESCARGA OU RAMAL DE ESGOTO SANITÁRIO. AF_08/2022</t>
    </r>
  </si>
  <si>
    <r>
      <rPr>
        <sz val="8"/>
        <rFont val="Arial MT"/>
        <family val="2"/>
      </rPr>
      <t>2.9.3.11</t>
    </r>
  </si>
  <si>
    <r>
      <rPr>
        <sz val="8"/>
        <rFont val="Arial MT"/>
        <family val="2"/>
      </rPr>
      <t>JUNÇÃO DE REDUÇÃO INVERTIDA, PVC, SÉRIE NORMAL, ESGOTO PREDIAL, DN 100 X 50 MM, JUNTA ELÁSTICA, FORNECIDO E INSTALADO EM PRUMADA DE ESGOTO SANITÁRIO OU VENTILAÇÃO. AF_08/2022</t>
    </r>
  </si>
  <si>
    <r>
      <rPr>
        <sz val="8"/>
        <rFont val="Arial MT"/>
        <family val="2"/>
      </rPr>
      <t>2.9.3.12</t>
    </r>
  </si>
  <si>
    <r>
      <rPr>
        <sz val="8"/>
        <rFont val="Arial MT"/>
        <family val="2"/>
      </rPr>
      <t>TERMINAL DE VENTILAÇÃO, PVC, SÉRIE NORMAL, ESGOTO PREDIAL, DN 50 MM, JUNTA SOLDÁVEL, FORNECIDO E INSTALADO EM PRUMADA DE ESGOTO SANITÁRIO OU VENTILAÇÃO. AF_08/2022</t>
    </r>
  </si>
  <si>
    <r>
      <rPr>
        <sz val="8"/>
        <rFont val="Arial MT"/>
        <family val="2"/>
      </rPr>
      <t>2.9.3.13</t>
    </r>
  </si>
  <si>
    <r>
      <rPr>
        <sz val="8"/>
        <rFont val="Arial MT"/>
        <family val="2"/>
      </rPr>
      <t>TE, PVC, SERIE NORMAL, ESGOTO PREDIAL, DN 100 X 100 MM, JUNTA ELÁSTICA, FORNECIDO E INSTALADO EM RAMAL DE DESCARGA OU RAMAL DE ESGOTO SANITÁRIO. AF_08/2022</t>
    </r>
  </si>
  <si>
    <r>
      <rPr>
        <sz val="8"/>
        <rFont val="Arial MT"/>
        <family val="2"/>
      </rPr>
      <t>2.9.3.14</t>
    </r>
  </si>
  <si>
    <r>
      <rPr>
        <sz val="8"/>
        <rFont val="Arial MT"/>
        <family val="2"/>
      </rPr>
      <t>TE, PVC, SERIE R, 150 X 150 MM, PARA ESGOTO PREDIAL</t>
    </r>
  </si>
  <si>
    <r>
      <rPr>
        <sz val="8"/>
        <rFont val="Arial MT"/>
        <family val="2"/>
      </rPr>
      <t>2.9.3.15</t>
    </r>
  </si>
  <si>
    <r>
      <rPr>
        <sz val="8"/>
        <rFont val="Arial MT"/>
        <family val="2"/>
      </rPr>
      <t>CAIXA SIFONADA, COM GRELHA REDONDA, PVC, DN 150 X 150 X 50 MM, JUNTA SOLDÁVEL, FORNECIDA E INSTALADA EM RAMAL DE DESCARGA OU EM RAMAL DE ESGOTO SANITÁRIO. AF_08/2022</t>
    </r>
  </si>
  <si>
    <r>
      <rPr>
        <sz val="8"/>
        <rFont val="Arial MT"/>
        <family val="2"/>
      </rPr>
      <t>2.9.3.16</t>
    </r>
  </si>
  <si>
    <r>
      <rPr>
        <sz val="8"/>
        <rFont val="Arial MT"/>
        <family val="2"/>
      </rPr>
      <t xml:space="preserve">ANEL DE VEDACAO, PVC FLEXIVEL, 100 MM, PARA SAIDA DE BACIA /
</t>
    </r>
    <r>
      <rPr>
        <sz val="8"/>
        <rFont val="Arial MT"/>
        <family val="2"/>
      </rPr>
      <t>VASO SANITARIO</t>
    </r>
  </si>
  <si>
    <r>
      <rPr>
        <sz val="8"/>
        <rFont val="Arial MT"/>
        <family val="2"/>
      </rPr>
      <t>2.9.3.17</t>
    </r>
  </si>
  <si>
    <r>
      <rPr>
        <sz val="8"/>
        <rFont val="Arial MT"/>
        <family val="2"/>
      </rPr>
      <t xml:space="preserve">TUBO PVC, SERIE NORMAL, ESGOTO PREDIAL, DN 40 MM, FORNECIDO E
</t>
    </r>
    <r>
      <rPr>
        <sz val="8"/>
        <rFont val="Arial MT"/>
        <family val="2"/>
      </rPr>
      <t>INSTALADO EM RAMAL DE DESCARGA OU RAMAL DE ESGOTO SANITÁRIO. AF_08/2022</t>
    </r>
  </si>
  <si>
    <r>
      <rPr>
        <sz val="8"/>
        <rFont val="Arial MT"/>
        <family val="2"/>
      </rPr>
      <t>2.9.3.18</t>
    </r>
  </si>
  <si>
    <r>
      <rPr>
        <sz val="8"/>
        <rFont val="Arial MT"/>
        <family val="2"/>
      </rPr>
      <t xml:space="preserve">TUBO PVC, SERIE NORMAL, ESGOTO PREDIAL, DN 50 MM, FORNECIDO E INSTALADO EM RAMAL DE DESCARGA OU RAMAL DE ESGOTO
</t>
    </r>
    <r>
      <rPr>
        <sz val="8"/>
        <rFont val="Arial MT"/>
        <family val="2"/>
      </rPr>
      <t>SANITÁRIO. AF_08/2022</t>
    </r>
  </si>
  <si>
    <r>
      <rPr>
        <sz val="8"/>
        <rFont val="Arial MT"/>
        <family val="2"/>
      </rPr>
      <t>2.9.3.19</t>
    </r>
  </si>
  <si>
    <r>
      <rPr>
        <sz val="8"/>
        <rFont val="Arial MT"/>
        <family val="2"/>
      </rPr>
      <t xml:space="preserve">TUBO PVC, SERIE NORMAL, ESGOTO PREDIAL, DN 75 MM, FORNECIDO E INSTALADO EM RAMAL DE DESCARGA OU RAMAL DE ESGOTO
</t>
    </r>
    <r>
      <rPr>
        <sz val="8"/>
        <rFont val="Arial MT"/>
        <family val="2"/>
      </rPr>
      <t>SANITÁRIO. AF_08/2022</t>
    </r>
  </si>
  <si>
    <r>
      <rPr>
        <sz val="8"/>
        <rFont val="Arial MT"/>
        <family val="2"/>
      </rPr>
      <t>2.9.3.20</t>
    </r>
  </si>
  <si>
    <r>
      <rPr>
        <sz val="8"/>
        <rFont val="Arial MT"/>
        <family val="2"/>
      </rPr>
      <t xml:space="preserve">TUBO PVC, SERIE NORMAL, ESGOTO PREDIAL, DN 100 MM, FORNECIDO E INSTALADO EM RAMAL DE DESCARGA OU RAMAL DE ESGOTO
</t>
    </r>
    <r>
      <rPr>
        <sz val="8"/>
        <rFont val="Arial MT"/>
        <family val="2"/>
      </rPr>
      <t>SANITÁRIO. AF_08/2022</t>
    </r>
  </si>
  <si>
    <r>
      <rPr>
        <sz val="8"/>
        <rFont val="Arial MT"/>
        <family val="2"/>
      </rPr>
      <t>2.9.3.21</t>
    </r>
  </si>
  <si>
    <r>
      <rPr>
        <sz val="8"/>
        <rFont val="Arial MT"/>
        <family val="2"/>
      </rPr>
      <t xml:space="preserve">TUBO PVC, SERIE NORMAL, ESGOTO PREDIAL, DN 150MM, FORNECIDO E INSTALADO EM  RAMAL DE DESCARGA OU RANAL DE ESGOTO
</t>
    </r>
    <r>
      <rPr>
        <sz val="8"/>
        <rFont val="Arial MT"/>
        <family val="2"/>
      </rPr>
      <t>SANITÁRIO (ADAPTADO SINAPI 89714)</t>
    </r>
  </si>
  <si>
    <r>
      <rPr>
        <sz val="8"/>
        <rFont val="Arial MT"/>
        <family val="2"/>
      </rPr>
      <t>2.10.1</t>
    </r>
  </si>
  <si>
    <r>
      <rPr>
        <sz val="8"/>
        <rFont val="Arial MT"/>
        <family val="2"/>
      </rPr>
      <t>TELHAMENTO COM TELHA CERÂMICA CAPA-CANAL, TIPO COLONIAL, COM MAIS DE 2 ÁGUAS, INCLUSO TRANSPORTE VERTICAL. AF_07/2019</t>
    </r>
  </si>
  <si>
    <r>
      <rPr>
        <sz val="8"/>
        <rFont val="Arial MT"/>
        <family val="2"/>
      </rPr>
      <t>2.10.2</t>
    </r>
  </si>
  <si>
    <r>
      <rPr>
        <sz val="8"/>
        <rFont val="Arial MT"/>
        <family val="2"/>
      </rPr>
      <t xml:space="preserve">TRAMA DE MADEIRA COMPOSTA POR RIPAS, CAIBROS E TERÇAS PARA TELHADOS DE MAIS QUE 2 ÁGUAS PARA TELHA DE ENCAIXE DE CERÂMICA OU DE CONCRETO, INCLUSO TRANSPORTE VERTICAL.
</t>
    </r>
    <r>
      <rPr>
        <sz val="8"/>
        <rFont val="Arial MT"/>
        <family val="2"/>
      </rPr>
      <t>AF_07/2019</t>
    </r>
  </si>
  <si>
    <r>
      <rPr>
        <sz val="8"/>
        <rFont val="Arial MT"/>
        <family val="2"/>
      </rPr>
      <t>2.10.3</t>
    </r>
  </si>
  <si>
    <r>
      <rPr>
        <sz val="8"/>
        <rFont val="Arial MT"/>
        <family val="2"/>
      </rPr>
      <t xml:space="preserve">FABRICAÇÃO E INSTALAÇÃO DE MEIA TESOURA DE MADEIRA NÃO APARELHADA, COM VÃO DE 3 M, PARA TELHA CERÂMICA OU DE
</t>
    </r>
    <r>
      <rPr>
        <sz val="8"/>
        <rFont val="Arial MT"/>
        <family val="2"/>
      </rPr>
      <t>CONCRETO, INCLUSO IÇAMENTO. AF_07/2019</t>
    </r>
  </si>
  <si>
    <r>
      <rPr>
        <sz val="8"/>
        <rFont val="Arial MT"/>
        <family val="2"/>
      </rPr>
      <t>2.10.4</t>
    </r>
  </si>
  <si>
    <r>
      <rPr>
        <sz val="8"/>
        <rFont val="Arial MT"/>
        <family val="2"/>
      </rPr>
      <t xml:space="preserve">FABRICAÇÃO E INSTALAÇÃO DE MEIA TESOURA DE MADEIRA NÃO APARELHADA, COM VÃO DE 4 M, PARA TELHA CERÂMICA OU DE
</t>
    </r>
    <r>
      <rPr>
        <sz val="8"/>
        <rFont val="Arial MT"/>
        <family val="2"/>
      </rPr>
      <t>CONCRETO, INCLUSO IÇAMENTO. AF_07/2019</t>
    </r>
  </si>
  <si>
    <r>
      <rPr>
        <sz val="8"/>
        <rFont val="Arial MT"/>
        <family val="2"/>
      </rPr>
      <t>2.10.5</t>
    </r>
  </si>
  <si>
    <r>
      <rPr>
        <sz val="8"/>
        <rFont val="Arial MT"/>
        <family val="2"/>
      </rPr>
      <t>PINTURA IMUNIZANTE PARA MADEIRA, 1 DEMÃO. AF_01/2021</t>
    </r>
  </si>
  <si>
    <r>
      <rPr>
        <sz val="8"/>
        <rFont val="Arial MT"/>
        <family val="2"/>
      </rPr>
      <t>2.10.6</t>
    </r>
  </si>
  <si>
    <r>
      <rPr>
        <sz val="8"/>
        <rFont val="Arial MT"/>
        <family val="2"/>
      </rPr>
      <t>CUMEEIRA E ESPIGÃO PARA TELHA CERÂMICA EMBOÇADA COM ARGAMASSA TRAÇO 1:2:9 (CIMENTO, CAL E AREIA), PARA TELHADOS COM MAIS DE 2 ÁGUAS, INCLUSO TRANSPORTE VERTICAL. AF_07/2019</t>
    </r>
  </si>
  <si>
    <r>
      <rPr>
        <b/>
        <sz val="8"/>
        <rFont val="Arial"/>
        <family val="2"/>
      </rPr>
      <t>2.11</t>
    </r>
  </si>
  <si>
    <r>
      <rPr>
        <sz val="8"/>
        <rFont val="Arial MT"/>
        <family val="2"/>
      </rPr>
      <t>2.11.1</t>
    </r>
  </si>
  <si>
    <r>
      <rPr>
        <sz val="8"/>
        <rFont val="Arial MT"/>
        <family val="2"/>
      </rPr>
      <t xml:space="preserve">PORTA DE MADEIRA PARA PINTURA, SEMI-OCA (LEVE OU MÉDIA), 80X210CM, ESPESSURA DE 3,5CM, INCLUSO DOBRADIÇAS -
</t>
    </r>
    <r>
      <rPr>
        <sz val="8"/>
        <rFont val="Arial MT"/>
        <family val="2"/>
      </rPr>
      <t>FORNECIMENTO E INSTALAÇÃO. AF_12/2019</t>
    </r>
  </si>
  <si>
    <r>
      <rPr>
        <sz val="8"/>
        <rFont val="Arial MT"/>
        <family val="2"/>
      </rPr>
      <t>2.11.2</t>
    </r>
  </si>
  <si>
    <r>
      <rPr>
        <sz val="8"/>
        <rFont val="Arial MT"/>
        <family val="2"/>
      </rPr>
      <t xml:space="preserve">ALVENARIA DE VEDAÇÃO COM ELEMENTO VAZADO DE CERÂMICA
</t>
    </r>
    <r>
      <rPr>
        <sz val="8"/>
        <rFont val="Arial MT"/>
        <family val="2"/>
      </rPr>
      <t>(COBOGÓ) DE 7X20X20CM E ARGAMASSA DE ASSENTAMENTO COM PREPARO EM BETONEIRA. AF_05/2020</t>
    </r>
  </si>
  <si>
    <r>
      <rPr>
        <sz val="8"/>
        <rFont val="Arial MT"/>
        <family val="2"/>
      </rPr>
      <t>2.11.3</t>
    </r>
  </si>
  <si>
    <r>
      <rPr>
        <sz val="8"/>
        <rFont val="Arial MT"/>
        <family val="2"/>
      </rPr>
      <t xml:space="preserve">FECHADURA DE EMBUTIR COM CILINDRO, EXTERNA, COMPLETA, ACABAMENTO PADRÃO MÉDIO, INCLUSO EXECUÇÃO DE FURO -
</t>
    </r>
    <r>
      <rPr>
        <sz val="8"/>
        <rFont val="Arial MT"/>
        <family val="2"/>
      </rPr>
      <t>FORNECIMENTO E INSTALAÇÃO. AF_12/2019</t>
    </r>
  </si>
  <si>
    <r>
      <rPr>
        <b/>
        <sz val="8"/>
        <rFont val="Arial"/>
        <family val="2"/>
      </rPr>
      <t>3.1</t>
    </r>
  </si>
  <si>
    <r>
      <rPr>
        <sz val="8"/>
        <rFont val="Arial MT"/>
        <family val="2"/>
      </rPr>
      <t>3.1.1</t>
    </r>
  </si>
  <si>
    <r>
      <rPr>
        <b/>
        <sz val="8"/>
        <rFont val="Arial"/>
        <family val="2"/>
      </rPr>
      <t>3.2</t>
    </r>
  </si>
  <si>
    <r>
      <rPr>
        <sz val="8"/>
        <rFont val="Arial MT"/>
        <family val="2"/>
      </rPr>
      <t>3.2.1</t>
    </r>
  </si>
  <si>
    <r>
      <rPr>
        <sz val="8"/>
        <rFont val="Arial MT"/>
        <family val="2"/>
      </rPr>
      <t>3.2.2</t>
    </r>
  </si>
  <si>
    <r>
      <rPr>
        <b/>
        <sz val="8"/>
        <rFont val="Arial"/>
        <family val="2"/>
      </rPr>
      <t>3.3</t>
    </r>
  </si>
  <si>
    <r>
      <rPr>
        <sz val="8"/>
        <rFont val="Arial MT"/>
        <family val="2"/>
      </rPr>
      <t>3.3.1</t>
    </r>
  </si>
  <si>
    <r>
      <rPr>
        <sz val="8"/>
        <rFont val="Arial MT"/>
        <family val="2"/>
      </rPr>
      <t>3.3.2</t>
    </r>
  </si>
  <si>
    <r>
      <rPr>
        <sz val="8"/>
        <rFont val="Arial MT"/>
        <family val="2"/>
      </rPr>
      <t>3.3.3</t>
    </r>
  </si>
  <si>
    <r>
      <rPr>
        <sz val="8"/>
        <rFont val="Arial MT"/>
        <family val="2"/>
      </rPr>
      <t>3.3.4</t>
    </r>
  </si>
  <si>
    <r>
      <rPr>
        <sz val="8"/>
        <rFont val="Arial MT"/>
        <family val="2"/>
      </rPr>
      <t>3.3.5</t>
    </r>
  </si>
  <si>
    <r>
      <rPr>
        <sz val="8"/>
        <rFont val="Arial MT"/>
        <family val="2"/>
      </rPr>
      <t>3.3.6</t>
    </r>
  </si>
  <si>
    <r>
      <rPr>
        <sz val="8"/>
        <rFont val="Arial MT"/>
        <family val="2"/>
      </rPr>
      <t xml:space="preserve">FABRICAÇÃO, MONTAGEM E DESMONTAGEM DE FÔRMA PARA VIGA
</t>
    </r>
    <r>
      <rPr>
        <sz val="8"/>
        <rFont val="Arial MT"/>
        <family val="2"/>
      </rPr>
      <t>BALDRAME, EM CHAPA DE MADEIRA COMPENSADA RESINADA, E=17 MM, 4 UTILIZAÇÕES. AF_01/2024</t>
    </r>
  </si>
  <si>
    <r>
      <rPr>
        <sz val="8"/>
        <rFont val="Arial MT"/>
        <family val="2"/>
      </rPr>
      <t>3.3.7</t>
    </r>
  </si>
  <si>
    <r>
      <rPr>
        <sz val="8"/>
        <rFont val="Arial MT"/>
        <family val="2"/>
      </rPr>
      <t>3.3.8</t>
    </r>
  </si>
  <si>
    <r>
      <rPr>
        <sz val="8"/>
        <rFont val="Arial MT"/>
        <family val="2"/>
      </rPr>
      <t>3.3.9</t>
    </r>
  </si>
  <si>
    <r>
      <rPr>
        <b/>
        <sz val="8"/>
        <rFont val="Arial"/>
        <family val="2"/>
      </rPr>
      <t>3.4</t>
    </r>
  </si>
  <si>
    <r>
      <rPr>
        <sz val="8"/>
        <rFont val="Arial MT"/>
        <family val="2"/>
      </rPr>
      <t>3.4.1</t>
    </r>
  </si>
  <si>
    <r>
      <rPr>
        <sz val="8"/>
        <rFont val="Arial MT"/>
        <family val="2"/>
      </rPr>
      <t>3.4.2</t>
    </r>
  </si>
  <si>
    <r>
      <rPr>
        <sz val="8"/>
        <rFont val="Arial MT"/>
        <family val="2"/>
      </rPr>
      <t>3.4.3</t>
    </r>
  </si>
  <si>
    <r>
      <rPr>
        <sz val="8"/>
        <rFont val="Arial MT"/>
        <family val="2"/>
      </rPr>
      <t>3.4.4</t>
    </r>
  </si>
  <si>
    <r>
      <rPr>
        <sz val="8"/>
        <rFont val="Arial MT"/>
        <family val="2"/>
      </rPr>
      <t>3.4.5</t>
    </r>
  </si>
  <si>
    <r>
      <rPr>
        <sz val="8"/>
        <rFont val="Arial MT"/>
        <family val="2"/>
      </rPr>
      <t>3.4.6</t>
    </r>
  </si>
  <si>
    <r>
      <rPr>
        <sz val="8"/>
        <rFont val="Arial MT"/>
        <family val="2"/>
      </rPr>
      <t>3.4.7</t>
    </r>
  </si>
  <si>
    <r>
      <rPr>
        <sz val="8"/>
        <rFont val="Arial MT"/>
        <family val="2"/>
      </rPr>
      <t>3.4.8</t>
    </r>
  </si>
  <si>
    <r>
      <rPr>
        <sz val="8"/>
        <rFont val="Arial MT"/>
        <family val="2"/>
      </rPr>
      <t>3.4.9</t>
    </r>
  </si>
  <si>
    <r>
      <rPr>
        <sz val="8"/>
        <rFont val="Arial MT"/>
        <family val="2"/>
      </rPr>
      <t>ARMAÇÃO DE LAJE DE ESTRUTURA CONVENCIONAL DE CONCRETO ARMADO UTILIZANDO AÇO CA-50 DE 8,0 MM - MONTAGEM. AF_06/2022</t>
    </r>
  </si>
  <si>
    <r>
      <rPr>
        <b/>
        <sz val="8"/>
        <rFont val="Arial"/>
        <family val="2"/>
      </rPr>
      <t>3.5</t>
    </r>
  </si>
  <si>
    <r>
      <rPr>
        <sz val="8"/>
        <rFont val="Arial MT"/>
        <family val="2"/>
      </rPr>
      <t>3.5.1</t>
    </r>
  </si>
  <si>
    <r>
      <rPr>
        <sz val="8"/>
        <rFont val="Arial MT"/>
        <family val="2"/>
      </rPr>
      <t>3.5.2</t>
    </r>
  </si>
  <si>
    <r>
      <rPr>
        <sz val="8"/>
        <rFont val="Arial MT"/>
        <family val="2"/>
      </rPr>
      <t>3.5.3</t>
    </r>
  </si>
  <si>
    <r>
      <rPr>
        <sz val="8"/>
        <rFont val="Arial MT"/>
        <family val="2"/>
      </rPr>
      <t>3.6.1</t>
    </r>
  </si>
  <si>
    <r>
      <rPr>
        <sz val="8"/>
        <rFont val="Arial MT"/>
        <family val="2"/>
      </rPr>
      <t>3.6.2</t>
    </r>
  </si>
  <si>
    <r>
      <rPr>
        <sz val="8"/>
        <rFont val="Arial MT"/>
        <family val="2"/>
      </rPr>
      <t>3.6.3</t>
    </r>
  </si>
  <si>
    <r>
      <rPr>
        <sz val="8"/>
        <rFont val="Arial MT"/>
        <family val="2"/>
      </rPr>
      <t>3.6.4</t>
    </r>
  </si>
  <si>
    <r>
      <rPr>
        <sz val="8"/>
        <rFont val="Arial MT"/>
        <family val="2"/>
      </rPr>
      <t>3.6.5</t>
    </r>
  </si>
  <si>
    <r>
      <rPr>
        <sz val="8"/>
        <rFont val="Arial MT"/>
        <family val="2"/>
      </rPr>
      <t>3.6.6</t>
    </r>
  </si>
  <si>
    <r>
      <rPr>
        <sz val="8"/>
        <rFont val="Arial MT"/>
        <family val="2"/>
      </rPr>
      <t xml:space="preserve">EMASSAMENTO COM MASSA LÁTEX, APLICAÇÃO EM PAREDE, DUAS
</t>
    </r>
    <r>
      <rPr>
        <sz val="8"/>
        <rFont val="Arial MT"/>
        <family val="2"/>
      </rPr>
      <t>DEMÃOS, LIXAMENTO MANUAL. AF_04/2023</t>
    </r>
  </si>
  <si>
    <r>
      <rPr>
        <sz val="8"/>
        <rFont val="Arial MT"/>
        <family val="2"/>
      </rPr>
      <t>3.6.7</t>
    </r>
  </si>
  <si>
    <r>
      <rPr>
        <sz val="8"/>
        <rFont val="Arial MT"/>
        <family val="2"/>
      </rPr>
      <t xml:space="preserve">PINTURA LÁTEX ACRÍLICA PREMIUM, APLICAÇÃO MANUAL EM PAREDES,
</t>
    </r>
    <r>
      <rPr>
        <sz val="8"/>
        <rFont val="Arial MT"/>
        <family val="2"/>
      </rPr>
      <t>DUAS DEMÃOS. AF_04/2023</t>
    </r>
  </si>
  <si>
    <r>
      <rPr>
        <b/>
        <sz val="8"/>
        <rFont val="Arial"/>
        <family val="2"/>
      </rPr>
      <t>3.7</t>
    </r>
  </si>
  <si>
    <r>
      <rPr>
        <sz val="8"/>
        <rFont val="Arial MT"/>
        <family val="2"/>
      </rPr>
      <t>3.7.1</t>
    </r>
  </si>
  <si>
    <r>
      <rPr>
        <sz val="8"/>
        <rFont val="Arial MT"/>
        <family val="2"/>
      </rPr>
      <t xml:space="preserve">FUNDO SELADOR ACRÍLICO, APLICAÇÃO MANUAL EM PAREDE, UMA
</t>
    </r>
    <r>
      <rPr>
        <sz val="8"/>
        <rFont val="Arial MT"/>
        <family val="2"/>
      </rPr>
      <t>DEMÃO. AF_04/2023</t>
    </r>
  </si>
  <si>
    <r>
      <rPr>
        <sz val="8"/>
        <rFont val="Arial MT"/>
        <family val="2"/>
      </rPr>
      <t>3.7.2</t>
    </r>
  </si>
  <si>
    <r>
      <rPr>
        <sz val="8"/>
        <rFont val="Arial MT"/>
        <family val="2"/>
      </rPr>
      <t>3.7.3</t>
    </r>
  </si>
  <si>
    <r>
      <rPr>
        <sz val="8"/>
        <rFont val="Arial MT"/>
        <family val="2"/>
      </rPr>
      <t>3.7.4</t>
    </r>
  </si>
  <si>
    <r>
      <rPr>
        <b/>
        <sz val="8"/>
        <rFont val="Arial"/>
        <family val="2"/>
      </rPr>
      <t>3.8</t>
    </r>
  </si>
  <si>
    <r>
      <rPr>
        <sz val="8"/>
        <rFont val="Arial MT"/>
        <family val="2"/>
      </rPr>
      <t>3.8.1</t>
    </r>
  </si>
  <si>
    <r>
      <rPr>
        <sz val="8"/>
        <rFont val="Arial MT"/>
        <family val="2"/>
      </rPr>
      <t>3.8.2</t>
    </r>
  </si>
  <si>
    <r>
      <rPr>
        <sz val="8"/>
        <rFont val="Arial MT"/>
        <family val="2"/>
      </rPr>
      <t>3.8.3</t>
    </r>
  </si>
  <si>
    <r>
      <rPr>
        <b/>
        <sz val="8"/>
        <rFont val="Arial"/>
        <family val="2"/>
      </rPr>
      <t>3.9</t>
    </r>
  </si>
  <si>
    <r>
      <rPr>
        <b/>
        <sz val="8"/>
        <rFont val="Arial"/>
        <family val="2"/>
      </rPr>
      <t>3.9.1</t>
    </r>
  </si>
  <si>
    <r>
      <rPr>
        <sz val="8"/>
        <rFont val="Arial MT"/>
        <family val="2"/>
      </rPr>
      <t>3.9.1.1</t>
    </r>
  </si>
  <si>
    <r>
      <rPr>
        <sz val="8"/>
        <rFont val="Arial MT"/>
        <family val="2"/>
      </rPr>
      <t>CAIXA D´ÁGUA EM POLIÉSTER REFORÇADO COM FIBRA DE VIDRO, 500 LITROS - FORNECIMENTO E INSTALAÇÃO. AF_06/2021</t>
    </r>
  </si>
  <si>
    <r>
      <rPr>
        <sz val="8"/>
        <rFont val="Arial MT"/>
        <family val="2"/>
      </rPr>
      <t>3.9.1.2</t>
    </r>
  </si>
  <si>
    <r>
      <rPr>
        <sz val="8"/>
        <rFont val="Arial MT"/>
        <family val="2"/>
      </rPr>
      <t xml:space="preserve">TORNEIRA METALICA CROMADA PARA JARDIM / TANQUE, COM BICO PLASTICO, CANO LONGO, DE PAREDE, PADRAO POPULAR / USO GERAL,
</t>
    </r>
    <r>
      <rPr>
        <sz val="8"/>
        <rFont val="Arial MT"/>
        <family val="2"/>
      </rPr>
      <t>1/2" OU 3/4"</t>
    </r>
  </si>
  <si>
    <r>
      <rPr>
        <sz val="8"/>
        <rFont val="Arial MT"/>
        <family val="2"/>
      </rPr>
      <t>3.9.1.3</t>
    </r>
  </si>
  <si>
    <r>
      <rPr>
        <sz val="8"/>
        <rFont val="Arial MT"/>
        <family val="2"/>
      </rPr>
      <t>3.9.1.4</t>
    </r>
  </si>
  <si>
    <r>
      <rPr>
        <sz val="8"/>
        <rFont val="Arial MT"/>
        <family val="2"/>
      </rPr>
      <t>3.9.1.5</t>
    </r>
  </si>
  <si>
    <r>
      <rPr>
        <sz val="8"/>
        <rFont val="Arial MT"/>
        <family val="2"/>
      </rPr>
      <t>3.9.1.6</t>
    </r>
  </si>
  <si>
    <r>
      <rPr>
        <sz val="8"/>
        <rFont val="Arial MT"/>
        <family val="2"/>
      </rPr>
      <t>3.9.1.7</t>
    </r>
  </si>
  <si>
    <r>
      <rPr>
        <sz val="8"/>
        <rFont val="Arial MT"/>
        <family val="2"/>
      </rPr>
      <t>3.9.1.8</t>
    </r>
  </si>
  <si>
    <r>
      <rPr>
        <sz val="8"/>
        <rFont val="Arial MT"/>
        <family val="2"/>
      </rPr>
      <t xml:space="preserve">CHUVEIRO ELÉTRICO COMUM CORPO PLÁSTICO, TIPO DUCHA -
</t>
    </r>
    <r>
      <rPr>
        <sz val="8"/>
        <rFont val="Arial MT"/>
        <family val="2"/>
      </rPr>
      <t>FORNECIMENTO E INSTALAÇÃO. AF_01/2020</t>
    </r>
  </si>
  <si>
    <r>
      <rPr>
        <sz val="8"/>
        <rFont val="Arial MT"/>
        <family val="2"/>
      </rPr>
      <t>3.9.1.9</t>
    </r>
  </si>
  <si>
    <r>
      <rPr>
        <sz val="8"/>
        <rFont val="Arial MT"/>
        <family val="2"/>
      </rPr>
      <t xml:space="preserve">REGISTRO DE GAVETA BRUTO, LATÃO, ROSCÁVEL, 3/4", COM
</t>
    </r>
    <r>
      <rPr>
        <sz val="8"/>
        <rFont val="Arial MT"/>
        <family val="2"/>
      </rPr>
      <t>ACABAMENTO E CANOPLA CROMADOS - FORNECIMENTO E INSTALAÇÃO. AF_08/2021</t>
    </r>
  </si>
  <si>
    <r>
      <rPr>
        <sz val="8"/>
        <rFont val="Arial MT"/>
        <family val="2"/>
      </rPr>
      <t>3.9.1.10</t>
    </r>
  </si>
  <si>
    <r>
      <rPr>
        <sz val="8"/>
        <rFont val="Arial MT"/>
        <family val="2"/>
      </rPr>
      <t xml:space="preserve">REGISTRO DE PRESSÃO BRUTO, LATÃO, ROSCÁVEL, 3/4'' -
</t>
    </r>
    <r>
      <rPr>
        <sz val="8"/>
        <rFont val="Arial MT"/>
        <family val="2"/>
      </rPr>
      <t>FORNECIMENTO E INSTALAÇÃO. AF_08/2021</t>
    </r>
  </si>
  <si>
    <r>
      <rPr>
        <sz val="8"/>
        <rFont val="Arial MT"/>
        <family val="2"/>
      </rPr>
      <t>3.9.1.11</t>
    </r>
  </si>
  <si>
    <r>
      <rPr>
        <sz val="8"/>
        <rFont val="Arial MT"/>
        <family val="2"/>
      </rPr>
      <t>3.9.1.12</t>
    </r>
  </si>
  <si>
    <r>
      <rPr>
        <sz val="8"/>
        <rFont val="Arial MT"/>
        <family val="2"/>
      </rPr>
      <t xml:space="preserve">REGISTRO DE ESFERA, PVC, SOLDÁVEL, COM VOLANTE, DN 32 MM -
</t>
    </r>
    <r>
      <rPr>
        <sz val="8"/>
        <rFont val="Arial MT"/>
        <family val="2"/>
      </rPr>
      <t>FORNECIMENTO E INSTALAÇÃO. AF_08/2021</t>
    </r>
  </si>
  <si>
    <r>
      <rPr>
        <sz val="8"/>
        <rFont val="Arial MT"/>
        <family val="2"/>
      </rPr>
      <t>3.9.1.13</t>
    </r>
  </si>
  <si>
    <r>
      <rPr>
        <sz val="8"/>
        <rFont val="Arial MT"/>
        <family val="2"/>
      </rPr>
      <t>3.9.1.14</t>
    </r>
  </si>
  <si>
    <r>
      <rPr>
        <sz val="8"/>
        <rFont val="Arial MT"/>
        <family val="2"/>
      </rPr>
      <t>3.9.1.15</t>
    </r>
  </si>
  <si>
    <r>
      <rPr>
        <sz val="8"/>
        <rFont val="Arial MT"/>
        <family val="2"/>
      </rPr>
      <t>CURVA 45 GRAUS, PVC, SOLDÁVEL, DN 25MM, INSTALADO EM RAMAL OU SUB-RAMAL DE ÁGUA - FORNECIMENTO E INSTALAÇÃO. AF_06/2022</t>
    </r>
  </si>
  <si>
    <r>
      <rPr>
        <sz val="8"/>
        <rFont val="Arial MT"/>
        <family val="2"/>
      </rPr>
      <t>3.9.1.16</t>
    </r>
  </si>
  <si>
    <r>
      <rPr>
        <sz val="8"/>
        <rFont val="Arial MT"/>
        <family val="2"/>
      </rPr>
      <t>3.9.1.17</t>
    </r>
  </si>
  <si>
    <r>
      <rPr>
        <sz val="8"/>
        <rFont val="Arial MT"/>
        <family val="2"/>
      </rPr>
      <t>3.9.1.18</t>
    </r>
  </si>
  <si>
    <r>
      <rPr>
        <sz val="8"/>
        <rFont val="Arial MT"/>
        <family val="2"/>
      </rPr>
      <t>JOELHO 90 GRAUS, PVC, SOLDÁVEL, DN 32MM, INSTALADO EM RAMAL OU SUB-RAMAL DE ÁGUA - FORNECIMENTO E INSTALAÇÃO. AF_06/2022</t>
    </r>
  </si>
  <si>
    <r>
      <rPr>
        <sz val="8"/>
        <rFont val="Arial MT"/>
        <family val="2"/>
      </rPr>
      <t>3.9.1.19</t>
    </r>
  </si>
  <si>
    <r>
      <rPr>
        <sz val="8"/>
        <rFont val="Arial MT"/>
        <family val="2"/>
      </rPr>
      <t xml:space="preserve">LUVA, PVC, SOLDÁVEL, DN 25MM, INSTALADO EM PRUMADA DE ÁGUA -
</t>
    </r>
    <r>
      <rPr>
        <sz val="8"/>
        <rFont val="Arial MT"/>
        <family val="2"/>
      </rPr>
      <t>FORNECIMENTO E INSTALAÇÃO. AF_06/2022</t>
    </r>
  </si>
  <si>
    <r>
      <rPr>
        <sz val="8"/>
        <rFont val="Arial MT"/>
        <family val="2"/>
      </rPr>
      <t>3.9.1.20</t>
    </r>
  </si>
  <si>
    <r>
      <rPr>
        <sz val="8"/>
        <rFont val="Arial MT"/>
        <family val="2"/>
      </rPr>
      <t xml:space="preserve">LUVA COM BUCHA DE LATÃO, PVC, SOLDÁVEL, DN 25MM X 3/4, INSTALADO EM RAMAL OU SUB-RAMAL DE ÁGUA - FORNECIMENTO E
</t>
    </r>
    <r>
      <rPr>
        <sz val="8"/>
        <rFont val="Arial MT"/>
        <family val="2"/>
      </rPr>
      <t>INSTALAÇÃO. AF_06/2022</t>
    </r>
  </si>
  <si>
    <r>
      <rPr>
        <sz val="8"/>
        <rFont val="Arial MT"/>
        <family val="2"/>
      </rPr>
      <t>3.9.1.21</t>
    </r>
  </si>
  <si>
    <r>
      <rPr>
        <sz val="8"/>
        <rFont val="Arial MT"/>
        <family val="2"/>
      </rPr>
      <t>3.9.1.22</t>
    </r>
  </si>
  <si>
    <r>
      <rPr>
        <sz val="8"/>
        <rFont val="Arial MT"/>
        <family val="2"/>
      </rPr>
      <t xml:space="preserve">TE, PVC, SOLDÁVEL, DN 32MM, INSTALADO EM PRUMADA DE ÁGUA -
</t>
    </r>
    <r>
      <rPr>
        <sz val="8"/>
        <rFont val="Arial MT"/>
        <family val="2"/>
      </rPr>
      <t>FORNECIMENTO E INSTALAÇÃO. AF_06/2022</t>
    </r>
  </si>
  <si>
    <r>
      <rPr>
        <sz val="8"/>
        <rFont val="Arial MT"/>
        <family val="2"/>
      </rPr>
      <t>3.9.1.23</t>
    </r>
  </si>
  <si>
    <r>
      <rPr>
        <sz val="8"/>
        <rFont val="Arial MT"/>
        <family val="2"/>
      </rPr>
      <t>3.9.1.24</t>
    </r>
  </si>
  <si>
    <r>
      <rPr>
        <sz val="8"/>
        <rFont val="Arial MT"/>
        <family val="2"/>
      </rPr>
      <t xml:space="preserve">TUBO, PVC, SOLDÁVEL, DE 32MM, INSTALADO EM PRUMADA DE ÁGUA -
</t>
    </r>
    <r>
      <rPr>
        <sz val="8"/>
        <rFont val="Arial MT"/>
        <family val="2"/>
      </rPr>
      <t>FORNECIMENTO E INSTALAÇÃO. AF_06/2022</t>
    </r>
  </si>
  <si>
    <r>
      <rPr>
        <b/>
        <sz val="8"/>
        <rFont val="Arial"/>
        <family val="2"/>
      </rPr>
      <t>3.9.2</t>
    </r>
  </si>
  <si>
    <r>
      <rPr>
        <sz val="8"/>
        <rFont val="Arial MT"/>
        <family val="2"/>
      </rPr>
      <t>3.9.2.1</t>
    </r>
  </si>
  <si>
    <r>
      <rPr>
        <sz val="8"/>
        <rFont val="Arial MT"/>
        <family val="2"/>
      </rPr>
      <t xml:space="preserve">CURVA 90 GRAUS PARA ELETRODUTO, PVC, ROSCÁVEL, DN 32 MM (1"), PARA CIRCUITOS TERMINAIS, INSTALADA EM FORRO - FORNECIMENTO E
</t>
    </r>
    <r>
      <rPr>
        <sz val="8"/>
        <rFont val="Arial MT"/>
        <family val="2"/>
      </rPr>
      <t>INSTALAÇÃO. AF_03/2023</t>
    </r>
  </si>
  <si>
    <r>
      <rPr>
        <sz val="8"/>
        <rFont val="Arial MT"/>
        <family val="2"/>
      </rPr>
      <t>3.9.2.2</t>
    </r>
  </si>
  <si>
    <r>
      <rPr>
        <sz val="8"/>
        <rFont val="Arial MT"/>
        <family val="2"/>
      </rPr>
      <t>CURVA 90 GRAUS PARA ELETRODUTO, PVC, SOLDÁVEL, DN 32 MM (1''), APARENTE - FORNECIMENTO E INSTALAÇÃO. AF_10/2022</t>
    </r>
  </si>
  <si>
    <r>
      <rPr>
        <sz val="8"/>
        <rFont val="Arial MT"/>
        <family val="2"/>
      </rPr>
      <t>3.9.2.3</t>
    </r>
  </si>
  <si>
    <r>
      <rPr>
        <sz val="8"/>
        <rFont val="Arial MT"/>
        <family val="2"/>
      </rPr>
      <t>LUVA PARA ELETRODUTO, PVC, SOLDÁVEL, DN 32 MM (1''), APARENTE - FORNECIMENTO E INSTALAÇÃO. AF_10/2022</t>
    </r>
  </si>
  <si>
    <r>
      <rPr>
        <sz val="8"/>
        <rFont val="Arial MT"/>
        <family val="2"/>
      </rPr>
      <t>3.9.2.4</t>
    </r>
  </si>
  <si>
    <r>
      <rPr>
        <sz val="8"/>
        <rFont val="Arial MT"/>
        <family val="2"/>
      </rPr>
      <t>3.9.2.5</t>
    </r>
  </si>
  <si>
    <r>
      <rPr>
        <sz val="8"/>
        <rFont val="Arial MT"/>
        <family val="2"/>
      </rPr>
      <t xml:space="preserve">INTERRUPTOR SIMPLES (1 MÓDULO) COM 1 TOMADA DE EMBUTIR 2P+T 10 A, INCLUINDO SUPORTE E PLACA - FORNECIMENTO E INSTALAÇÃO.
</t>
    </r>
    <r>
      <rPr>
        <sz val="8"/>
        <rFont val="Arial MT"/>
        <family val="2"/>
      </rPr>
      <t>AF_03/2023</t>
    </r>
  </si>
  <si>
    <r>
      <rPr>
        <sz val="8"/>
        <rFont val="Arial MT"/>
        <family val="2"/>
      </rPr>
      <t>3.9.2.6</t>
    </r>
  </si>
  <si>
    <r>
      <rPr>
        <sz val="8"/>
        <rFont val="Arial MT"/>
        <family val="2"/>
      </rPr>
      <t xml:space="preserve">CAIXA DE PASSAGEM, EM PVC, DE 4" X 2", PARA ELETRODUTO FLEXIVEL
</t>
    </r>
    <r>
      <rPr>
        <sz val="8"/>
        <rFont val="Arial MT"/>
        <family val="2"/>
      </rPr>
      <t>CORRUGADO</t>
    </r>
  </si>
  <si>
    <r>
      <rPr>
        <sz val="8"/>
        <rFont val="Arial MT"/>
        <family val="2"/>
      </rPr>
      <t>3.9.2.7</t>
    </r>
  </si>
  <si>
    <r>
      <rPr>
        <sz val="8"/>
        <rFont val="Arial MT"/>
        <family val="2"/>
      </rPr>
      <t xml:space="preserve">QUADRO DE DISTRIBUIÇÃO DE ENERGIA EM PVC, DE EMBUTIR, SEM BARRAMENTO, PARA 6 DISJUNTORES - FORNECIMENTO E INSTALAÇÃO.
</t>
    </r>
    <r>
      <rPr>
        <sz val="8"/>
        <rFont val="Arial MT"/>
        <family val="2"/>
      </rPr>
      <t>AF_10/2020</t>
    </r>
  </si>
  <si>
    <r>
      <rPr>
        <sz val="8"/>
        <rFont val="Arial MT"/>
        <family val="2"/>
      </rPr>
      <t>3.9.2.8</t>
    </r>
  </si>
  <si>
    <r>
      <rPr>
        <sz val="8"/>
        <rFont val="Arial MT"/>
        <family val="2"/>
      </rPr>
      <t>TOMADA MÉDIA DE EMBUTIR (1 MÓDULO), 2P+T 10 A, INCLUINDO SUPORTE E PLACA - FORNECIMENTO E INSTALAÇÃO. AF_03/2023</t>
    </r>
  </si>
  <si>
    <r>
      <rPr>
        <sz val="8"/>
        <rFont val="Arial MT"/>
        <family val="2"/>
      </rPr>
      <t>3.9.2.9</t>
    </r>
  </si>
  <si>
    <r>
      <rPr>
        <sz val="8"/>
        <rFont val="Arial MT"/>
        <family val="2"/>
      </rPr>
      <t>3.9.2.10</t>
    </r>
  </si>
  <si>
    <r>
      <rPr>
        <sz val="8"/>
        <rFont val="Arial MT"/>
        <family val="2"/>
      </rPr>
      <t>3.9.2.11</t>
    </r>
  </si>
  <si>
    <r>
      <rPr>
        <sz val="8"/>
        <rFont val="Arial MT"/>
        <family val="2"/>
      </rPr>
      <t>3.9.2.12</t>
    </r>
  </si>
  <si>
    <r>
      <rPr>
        <sz val="8"/>
        <rFont val="Arial MT"/>
        <family val="2"/>
      </rPr>
      <t>3.9.2.13</t>
    </r>
  </si>
  <si>
    <r>
      <rPr>
        <sz val="8"/>
        <rFont val="Arial MT"/>
        <family val="2"/>
      </rPr>
      <t xml:space="preserve">ELETRODUTO RÍGIDO ROSCÁVEL, PVC, DN 40 MM (1 1/4"), PARA CIRCUITOS TERMINAIS, INSTALADO EM LAJE - FORNECIMENTO E
</t>
    </r>
    <r>
      <rPr>
        <sz val="8"/>
        <rFont val="Arial MT"/>
        <family val="2"/>
      </rPr>
      <t>INSTALAÇÃO. AF_03/2023</t>
    </r>
  </si>
  <si>
    <r>
      <rPr>
        <sz val="8"/>
        <rFont val="Arial MT"/>
        <family val="2"/>
      </rPr>
      <t>3.9.2.14</t>
    </r>
  </si>
  <si>
    <r>
      <rPr>
        <sz val="8"/>
        <rFont val="Arial MT"/>
        <family val="2"/>
      </rPr>
      <t xml:space="preserve">ELETRODUTO RÍGIDO SOLDÁVEL, PVC, DN 32 MM (1"), APARENTE -
</t>
    </r>
    <r>
      <rPr>
        <sz val="8"/>
        <rFont val="Arial MT"/>
        <family val="2"/>
      </rPr>
      <t>FORNECIMENTO E INSTALAÇÃO. AF_10/2022</t>
    </r>
  </si>
  <si>
    <r>
      <rPr>
        <sz val="8"/>
        <rFont val="Arial MT"/>
        <family val="2"/>
      </rPr>
      <t>3.9.2.15</t>
    </r>
  </si>
  <si>
    <r>
      <rPr>
        <sz val="8"/>
        <rFont val="Arial MT"/>
        <family val="2"/>
      </rPr>
      <t>3.9.2.16</t>
    </r>
  </si>
  <si>
    <r>
      <rPr>
        <sz val="8"/>
        <rFont val="Arial MT"/>
        <family val="2"/>
      </rPr>
      <t xml:space="preserve">DISPOSITIVO DPS CLASSE II, 1 POLO, TENSAO MAXIMA DE 275 V,
</t>
    </r>
    <r>
      <rPr>
        <sz val="8"/>
        <rFont val="Arial MT"/>
        <family val="2"/>
      </rPr>
      <t>CORRENTE MAXIMA DE *20* KA (TIPO AC)</t>
    </r>
  </si>
  <si>
    <r>
      <rPr>
        <sz val="8"/>
        <rFont val="Arial MT"/>
        <family val="2"/>
      </rPr>
      <t>3.9.2.17</t>
    </r>
  </si>
  <si>
    <r>
      <rPr>
        <sz val="8"/>
        <rFont val="Arial MT"/>
        <family val="2"/>
      </rPr>
      <t>3.9.2.18</t>
    </r>
  </si>
  <si>
    <r>
      <rPr>
        <sz val="8"/>
        <rFont val="Arial MT"/>
        <family val="2"/>
      </rPr>
      <t>3.9.2.19</t>
    </r>
  </si>
  <si>
    <r>
      <rPr>
        <sz val="8"/>
        <rFont val="Arial MT"/>
        <family val="2"/>
      </rPr>
      <t>3.9.2.20</t>
    </r>
  </si>
  <si>
    <r>
      <rPr>
        <b/>
        <sz val="8"/>
        <rFont val="Arial"/>
        <family val="2"/>
      </rPr>
      <t>3.9.3</t>
    </r>
  </si>
  <si>
    <r>
      <rPr>
        <sz val="8"/>
        <rFont val="Arial MT"/>
        <family val="2"/>
      </rPr>
      <t>3.9.3.1</t>
    </r>
  </si>
  <si>
    <r>
      <rPr>
        <sz val="8"/>
        <rFont val="Arial MT"/>
        <family val="2"/>
      </rPr>
      <t xml:space="preserve">CAIXA DE GORDURA SIMPLES, CIRCULAR, EM CONCRETO PRÉ- MOLDADO, DIÂMETRO INTERNO = 0,4 M, ALTURA INTERNA = 0,4 M.
</t>
    </r>
    <r>
      <rPr>
        <sz val="8"/>
        <rFont val="Arial MT"/>
        <family val="2"/>
      </rPr>
      <t>AF_12/2020</t>
    </r>
  </si>
  <si>
    <r>
      <rPr>
        <sz val="8"/>
        <rFont val="Arial MT"/>
        <family val="2"/>
      </rPr>
      <t>3.9.3.2</t>
    </r>
  </si>
  <si>
    <r>
      <rPr>
        <sz val="8"/>
        <rFont val="Arial MT"/>
        <family val="2"/>
      </rPr>
      <t>CURVA LONGA, 45 GRAUS, PVC OCRE, JUNTA ELÁSTICA, DN 100 MM, PARA COLETOR PREDIAL DE ESGOTO. AF_06/2022</t>
    </r>
  </si>
  <si>
    <r>
      <rPr>
        <sz val="8"/>
        <rFont val="Arial MT"/>
        <family val="2"/>
      </rPr>
      <t>3.9.3.3</t>
    </r>
  </si>
  <si>
    <r>
      <rPr>
        <sz val="8"/>
        <rFont val="Arial MT"/>
        <family val="2"/>
      </rPr>
      <t>3.9.3.4</t>
    </r>
  </si>
  <si>
    <r>
      <rPr>
        <sz val="8"/>
        <rFont val="Arial MT"/>
        <family val="2"/>
      </rPr>
      <t>3.9.3.5</t>
    </r>
  </si>
  <si>
    <r>
      <rPr>
        <sz val="8"/>
        <rFont val="Arial MT"/>
        <family val="2"/>
      </rPr>
      <t>3.9.3.6</t>
    </r>
  </si>
  <si>
    <r>
      <rPr>
        <sz val="8"/>
        <rFont val="Arial MT"/>
        <family val="2"/>
      </rPr>
      <t>3.9.3.7</t>
    </r>
  </si>
  <si>
    <r>
      <rPr>
        <sz val="8"/>
        <rFont val="Arial MT"/>
        <family val="2"/>
      </rPr>
      <t>3.9.3.8</t>
    </r>
  </si>
  <si>
    <r>
      <rPr>
        <sz val="8"/>
        <rFont val="Arial MT"/>
        <family val="2"/>
      </rPr>
      <t>3.9.3.9</t>
    </r>
  </si>
  <si>
    <r>
      <rPr>
        <sz val="8"/>
        <rFont val="Arial MT"/>
        <family val="2"/>
      </rPr>
      <t>LUVA DE CORRER, PVC, SERIE NORMAL, ESGOTO PREDIAL, DN 100 MM, JUNTA ELÁSTICA, FORNECIDO E INSTALADO EM RAMAL DE DESCARGA OU RAMAL DE ESGOTO SANITÁRIO. AF_08/2022</t>
    </r>
  </si>
  <si>
    <r>
      <rPr>
        <sz val="8"/>
        <rFont val="Arial MT"/>
        <family val="2"/>
      </rPr>
      <t>3.9.3.10</t>
    </r>
  </si>
  <si>
    <r>
      <rPr>
        <sz val="8"/>
        <rFont val="Arial MT"/>
        <family val="2"/>
      </rPr>
      <t>3.9.3.11</t>
    </r>
  </si>
  <si>
    <r>
      <rPr>
        <sz val="8"/>
        <rFont val="Arial MT"/>
        <family val="2"/>
      </rPr>
      <t xml:space="preserve">TÊ, PVC, SERIE R, ÁGUA PLUVIAL, DN 100 X 75 MM, JUNTA ELÁSTICA, FORNECIDO E INSTALADO EM CONDUTORES VERTICAIS DE ÁGUAS
</t>
    </r>
    <r>
      <rPr>
        <sz val="8"/>
        <rFont val="Arial MT"/>
        <family val="2"/>
      </rPr>
      <t>PLUVIAIS. AF_06/2022</t>
    </r>
  </si>
  <si>
    <r>
      <rPr>
        <sz val="8"/>
        <rFont val="Arial MT"/>
        <family val="2"/>
      </rPr>
      <t>3.9.3.12</t>
    </r>
  </si>
  <si>
    <r>
      <rPr>
        <sz val="8"/>
        <rFont val="Arial MT"/>
        <family val="2"/>
      </rPr>
      <t>3.9.3.13</t>
    </r>
  </si>
  <si>
    <r>
      <rPr>
        <sz val="8"/>
        <rFont val="Arial MT"/>
        <family val="2"/>
      </rPr>
      <t xml:space="preserve">RALO SIFONADO QUADRADO, PVC, 100 X 53 MM, SAIDA 40 MM, COM
</t>
    </r>
    <r>
      <rPr>
        <sz val="8"/>
        <rFont val="Arial MT"/>
        <family val="2"/>
      </rPr>
      <t>GRELHA QUADRADA BRANCA</t>
    </r>
  </si>
  <si>
    <r>
      <rPr>
        <sz val="8"/>
        <rFont val="Arial MT"/>
        <family val="2"/>
      </rPr>
      <t>3.9.3.14</t>
    </r>
  </si>
  <si>
    <r>
      <rPr>
        <sz val="8"/>
        <rFont val="Arial MT"/>
        <family val="2"/>
      </rPr>
      <t xml:space="preserve">TUBO PVC, SERIE NORMAL, ESGOTO PREDIAL, DN 40 MM, FORNECIDO E INSTALADO EM RAMAL DE DESCARGA OU RAMAL DE ESGOTO
</t>
    </r>
    <r>
      <rPr>
        <sz val="8"/>
        <rFont val="Arial MT"/>
        <family val="2"/>
      </rPr>
      <t>SANITÁRIO. AF_08/2022</t>
    </r>
  </si>
  <si>
    <r>
      <rPr>
        <sz val="8"/>
        <rFont val="Arial MT"/>
        <family val="2"/>
      </rPr>
      <t>3.9.3.15</t>
    </r>
  </si>
  <si>
    <r>
      <rPr>
        <sz val="8"/>
        <rFont val="Arial MT"/>
        <family val="2"/>
      </rPr>
      <t>3.9.3.16</t>
    </r>
  </si>
  <si>
    <r>
      <rPr>
        <sz val="8"/>
        <rFont val="Arial MT"/>
        <family val="2"/>
      </rPr>
      <t>3.9.3.17</t>
    </r>
  </si>
  <si>
    <r>
      <rPr>
        <sz val="8"/>
        <rFont val="Arial MT"/>
        <family val="2"/>
      </rPr>
      <t>3.9.3.18</t>
    </r>
  </si>
  <si>
    <r>
      <rPr>
        <sz val="8"/>
        <rFont val="Arial MT"/>
        <family val="2"/>
      </rPr>
      <t>TANQUE SÉPTICO RETANGULAR, EM ALVENARIA COM BLOCOS DE CONCRETO, DIMENSÕES INTERNAS: 1,2 X 2,4 X H=1,6 M, VOLUME ÚTIL: 3456 L (PARA 13 CONTRIBUINTES). AF_12/2020</t>
    </r>
  </si>
  <si>
    <r>
      <rPr>
        <b/>
        <sz val="8"/>
        <rFont val="Arial"/>
        <family val="2"/>
      </rPr>
      <t>3.10</t>
    </r>
  </si>
  <si>
    <r>
      <rPr>
        <sz val="8"/>
        <rFont val="Arial MT"/>
        <family val="2"/>
      </rPr>
      <t>3.10.1</t>
    </r>
  </si>
  <si>
    <r>
      <rPr>
        <sz val="8"/>
        <rFont val="Arial MT"/>
        <family val="2"/>
      </rPr>
      <t>3.10.2</t>
    </r>
  </si>
  <si>
    <r>
      <rPr>
        <sz val="8"/>
        <rFont val="Arial MT"/>
        <family val="2"/>
      </rPr>
      <t>3.10.3</t>
    </r>
  </si>
  <si>
    <r>
      <rPr>
        <sz val="8"/>
        <rFont val="Arial MT"/>
        <family val="2"/>
      </rPr>
      <t xml:space="preserve">FABRICAÇÃO E INSTALAÇÃO DE TESOURA INTEIRA EM MADEIRA NÃO APARELHADA, VÃO DE 3 M, PARA TELHA CERÂMICA OU DE CONCRETO,
</t>
    </r>
    <r>
      <rPr>
        <sz val="8"/>
        <rFont val="Arial MT"/>
        <family val="2"/>
      </rPr>
      <t>INCLUSO IÇAMENTO. AF_07/2019</t>
    </r>
  </si>
  <si>
    <r>
      <rPr>
        <sz val="8"/>
        <rFont val="Arial MT"/>
        <family val="2"/>
      </rPr>
      <t>3.10.4</t>
    </r>
  </si>
  <si>
    <r>
      <rPr>
        <sz val="8"/>
        <rFont val="Arial MT"/>
        <family val="2"/>
      </rPr>
      <t>CUMEEIRA PARA TELHA CERÂMICA EMBOÇADA COM ARGAMASSA TRAÇO 1:2:9 (CIMENTO, CAL E AREIA) PARA TELHADOS COM ATÉ 2 ÁGUAS, INCLUSO TRANSPORTE VERTICAL. AF_07/2019</t>
    </r>
  </si>
  <si>
    <r>
      <rPr>
        <sz val="8"/>
        <rFont val="Arial MT"/>
        <family val="2"/>
      </rPr>
      <t>3.10.5</t>
    </r>
  </si>
  <si>
    <r>
      <rPr>
        <b/>
        <sz val="8"/>
        <rFont val="Arial"/>
        <family val="2"/>
      </rPr>
      <t>3.11</t>
    </r>
  </si>
  <si>
    <r>
      <rPr>
        <sz val="8"/>
        <rFont val="Arial MT"/>
        <family val="2"/>
      </rPr>
      <t>3.11.1</t>
    </r>
  </si>
  <si>
    <r>
      <rPr>
        <sz val="8"/>
        <rFont val="Arial MT"/>
        <family val="2"/>
      </rPr>
      <t xml:space="preserve">PORTA DE MADEIRA PARA PINTURA, SEMI-OCA (LEVE OU MÉDIA),
</t>
    </r>
    <r>
      <rPr>
        <sz val="8"/>
        <rFont val="Arial MT"/>
        <family val="2"/>
      </rPr>
      <t>80X210CM, ESPESSURA DE 3,5CM, INCLUSO DOBRADIÇAS - FORNECIMENTO E INSTALAÇÃO. AF_12/2019</t>
    </r>
  </si>
  <si>
    <r>
      <rPr>
        <sz val="8"/>
        <rFont val="Arial MT"/>
        <family val="2"/>
      </rPr>
      <t>3.11.2</t>
    </r>
  </si>
  <si>
    <r>
      <rPr>
        <sz val="8"/>
        <rFont val="Arial MT"/>
        <family val="2"/>
      </rPr>
      <t xml:space="preserve">PORTA DE MADEIRA PARA VERNIZ, SEMI-OCA (LEVE OU MÉDIA),
</t>
    </r>
    <r>
      <rPr>
        <sz val="8"/>
        <rFont val="Arial MT"/>
        <family val="2"/>
      </rPr>
      <t>70X210CM, ESPESSURA DE 3,5CM, INCLUSO DOBRADIÇAS - FORNECIMENTO E INSTALAÇÃO. AF_12/2019</t>
    </r>
  </si>
  <si>
    <r>
      <rPr>
        <sz val="8"/>
        <rFont val="Arial MT"/>
        <family val="2"/>
      </rPr>
      <t>3.11.3</t>
    </r>
  </si>
  <si>
    <r>
      <rPr>
        <sz val="8"/>
        <rFont val="Arial MT"/>
        <family val="2"/>
      </rPr>
      <t xml:space="preserve">ALVENARIA DE VEDAÇÃO COM ELEMENTO VAZADO DE CERÂMICA (COBOGÓ) DE 7X20X20CM E ARGAMASSA DE ASSENTAMENTO COM
</t>
    </r>
    <r>
      <rPr>
        <sz val="8"/>
        <rFont val="Arial MT"/>
        <family val="2"/>
      </rPr>
      <t>PREPARO EM BETONEIRA. AF_05/2020</t>
    </r>
  </si>
  <si>
    <r>
      <rPr>
        <b/>
        <sz val="8"/>
        <rFont val="Arial"/>
        <family val="2"/>
      </rPr>
      <t>4.1</t>
    </r>
  </si>
  <si>
    <r>
      <rPr>
        <sz val="8"/>
        <rFont val="Arial MT"/>
        <family val="2"/>
      </rPr>
      <t>4.1.1</t>
    </r>
  </si>
  <si>
    <r>
      <rPr>
        <sz val="8"/>
        <rFont val="Arial MT"/>
        <family val="2"/>
      </rPr>
      <t>4.1.2</t>
    </r>
  </si>
  <si>
    <r>
      <rPr>
        <b/>
        <sz val="8"/>
        <rFont val="Arial"/>
        <family val="2"/>
      </rPr>
      <t>4.2</t>
    </r>
  </si>
  <si>
    <r>
      <rPr>
        <sz val="8"/>
        <rFont val="Arial MT"/>
        <family val="2"/>
      </rPr>
      <t>4.2.1</t>
    </r>
  </si>
  <si>
    <r>
      <rPr>
        <sz val="8"/>
        <rFont val="Arial MT"/>
        <family val="2"/>
      </rPr>
      <t>4.2.2</t>
    </r>
  </si>
  <si>
    <r>
      <rPr>
        <sz val="8"/>
        <rFont val="Arial MT"/>
        <family val="2"/>
      </rPr>
      <t>4.2.3</t>
    </r>
  </si>
  <si>
    <r>
      <rPr>
        <sz val="8"/>
        <rFont val="Arial MT"/>
        <family val="2"/>
      </rPr>
      <t>4.2.4</t>
    </r>
  </si>
  <si>
    <r>
      <rPr>
        <sz val="8"/>
        <rFont val="Arial MT"/>
        <family val="2"/>
      </rPr>
      <t>4.2.5</t>
    </r>
  </si>
  <si>
    <r>
      <rPr>
        <sz val="8"/>
        <rFont val="Arial MT"/>
        <family val="2"/>
      </rPr>
      <t>4.2.6</t>
    </r>
  </si>
  <si>
    <r>
      <rPr>
        <sz val="8"/>
        <rFont val="Arial MT"/>
        <family val="2"/>
      </rPr>
      <t>4.2.7</t>
    </r>
  </si>
  <si>
    <r>
      <rPr>
        <sz val="8"/>
        <rFont val="Arial MT"/>
        <family val="2"/>
      </rPr>
      <t>4.2.8</t>
    </r>
  </si>
  <si>
    <r>
      <rPr>
        <sz val="8"/>
        <rFont val="Arial MT"/>
        <family val="2"/>
      </rPr>
      <t>4.2.9</t>
    </r>
  </si>
  <si>
    <r>
      <rPr>
        <b/>
        <sz val="8"/>
        <rFont val="Arial"/>
        <family val="2"/>
      </rPr>
      <t>4.3</t>
    </r>
  </si>
  <si>
    <r>
      <rPr>
        <sz val="8"/>
        <rFont val="Arial MT"/>
        <family val="2"/>
      </rPr>
      <t>4.3.1</t>
    </r>
  </si>
  <si>
    <r>
      <rPr>
        <sz val="8"/>
        <rFont val="Arial MT"/>
        <family val="2"/>
      </rPr>
      <t>4.3.2</t>
    </r>
  </si>
  <si>
    <r>
      <rPr>
        <sz val="8"/>
        <rFont val="Arial MT"/>
        <family val="2"/>
      </rPr>
      <t xml:space="preserve">MONTAGEM E DESMONTAGEM DE FÔRMA DE VIGA, ESCORAMENTO
</t>
    </r>
    <r>
      <rPr>
        <sz val="8"/>
        <rFont val="Arial MT"/>
        <family val="2"/>
      </rPr>
      <t>METÁLICO, PÉ-DIREITO SIMPLES, EM CHAPA DE MADEIRA PLASTIFICADA, 14 UTILIZAÇÕES. AF_09/2020</t>
    </r>
  </si>
  <si>
    <r>
      <rPr>
        <sz val="8"/>
        <rFont val="Arial MT"/>
        <family val="2"/>
      </rPr>
      <t>4.3.3</t>
    </r>
  </si>
  <si>
    <r>
      <rPr>
        <sz val="8"/>
        <rFont val="Arial MT"/>
        <family val="2"/>
      </rPr>
      <t xml:space="preserve">ARMAÇÃO DE PILAR OU VIGA DE ESTRUTURA CONVENCIONAL DE CONCRETO ARMADO UTILIZANDO AÇO CA-60 DE 5,0 MM - MONTAGEM.
</t>
    </r>
    <r>
      <rPr>
        <sz val="8"/>
        <rFont val="Arial MT"/>
        <family val="2"/>
      </rPr>
      <t>AF_06/2022</t>
    </r>
  </si>
  <si>
    <r>
      <rPr>
        <sz val="8"/>
        <rFont val="Arial MT"/>
        <family val="2"/>
      </rPr>
      <t>4.3.4</t>
    </r>
  </si>
  <si>
    <r>
      <rPr>
        <sz val="8"/>
        <rFont val="Arial MT"/>
        <family val="2"/>
      </rPr>
      <t>4.3.5</t>
    </r>
  </si>
  <si>
    <r>
      <rPr>
        <sz val="8"/>
        <rFont val="Arial MT"/>
        <family val="2"/>
      </rPr>
      <t xml:space="preserve">ARMAÇÃO DE PILAR OU VIGA DE ESTRUTURA CONVENCIONAL DE CONCRETO ARMADO UTILIZANDO AÇO CA-50 DE 8,0 MM - MONTAGEM.
</t>
    </r>
    <r>
      <rPr>
        <sz val="8"/>
        <rFont val="Arial MT"/>
        <family val="2"/>
      </rPr>
      <t>AF_06/2022</t>
    </r>
  </si>
  <si>
    <r>
      <rPr>
        <sz val="8"/>
        <rFont val="Arial MT"/>
        <family val="2"/>
      </rPr>
      <t>4.3.6</t>
    </r>
  </si>
  <si>
    <r>
      <rPr>
        <sz val="8"/>
        <rFont val="Arial MT"/>
        <family val="2"/>
      </rPr>
      <t>4.3.7</t>
    </r>
  </si>
  <si>
    <r>
      <rPr>
        <b/>
        <sz val="8"/>
        <rFont val="Arial"/>
        <family val="2"/>
      </rPr>
      <t>4.4</t>
    </r>
  </si>
  <si>
    <r>
      <rPr>
        <sz val="8"/>
        <rFont val="Arial MT"/>
        <family val="2"/>
      </rPr>
      <t>4.4.1</t>
    </r>
  </si>
  <si>
    <r>
      <rPr>
        <sz val="8"/>
        <rFont val="Arial MT"/>
        <family val="2"/>
      </rPr>
      <t>4.4.2</t>
    </r>
  </si>
  <si>
    <r>
      <rPr>
        <sz val="8"/>
        <rFont val="Arial MT"/>
        <family val="2"/>
      </rPr>
      <t>CHAPISCO APLICADO EM ALVENARIA (SEM PRESENÇA DE VÃOS) E ESTRUTURAS DE CONCRETO DE FACHADA, COM COLHER DE PEDREIRO. ARGAMASSA TRAÇO 1:3 COM PREPARO EM BETONEIRA 400L. AF_10/2022</t>
    </r>
  </si>
  <si>
    <r>
      <rPr>
        <sz val="8"/>
        <rFont val="Arial MT"/>
        <family val="2"/>
      </rPr>
      <t>4.4.3</t>
    </r>
  </si>
  <si>
    <r>
      <rPr>
        <sz val="8"/>
        <rFont val="Arial MT"/>
        <family val="2"/>
      </rPr>
      <t xml:space="preserve">EMBOÇO OU MASSA ÚNICA EM ARGAMASSA TRAÇO 1:2:8, PREPARO MECÂNICO COM BETONEIRA 400 L, APLICADA MANUALMENTE EM PANOS CEGOS DE FACHADA (SEM PRESENÇA DE VÃOS), ESPESSURA DE 25 MM.
</t>
    </r>
    <r>
      <rPr>
        <sz val="8"/>
        <rFont val="Arial MT"/>
        <family val="2"/>
      </rPr>
      <t>AF_08/2022</t>
    </r>
  </si>
  <si>
    <r>
      <rPr>
        <sz val="8"/>
        <rFont val="Arial MT"/>
        <family val="2"/>
      </rPr>
      <t>4.4.4</t>
    </r>
  </si>
  <si>
    <r>
      <rPr>
        <sz val="8"/>
        <rFont val="Arial MT"/>
        <family val="2"/>
      </rPr>
      <t>4.4.5</t>
    </r>
  </si>
  <si>
    <r>
      <rPr>
        <sz val="8"/>
        <rFont val="Arial MT"/>
        <family val="2"/>
      </rPr>
      <t>4.4.6</t>
    </r>
  </si>
  <si>
    <r>
      <rPr>
        <sz val="8"/>
        <rFont val="Arial MT"/>
        <family val="2"/>
      </rPr>
      <t>4.4.7</t>
    </r>
  </si>
  <si>
    <r>
      <rPr>
        <sz val="8"/>
        <rFont val="Arial MT"/>
        <family val="2"/>
      </rPr>
      <t xml:space="preserve">FECHAMENTO EM MADEIRA COM RIPA APARELHADA *1,5 X 5* CM, EM MACARANDUBA/MASSARANDUBA, ANGELIM OU EQUIVALENTE DA
</t>
    </r>
    <r>
      <rPr>
        <sz val="8"/>
        <rFont val="Arial MT"/>
        <family val="2"/>
      </rPr>
      <t>REGIAO (ADAPTADO  ORSE 11617)</t>
    </r>
  </si>
  <si>
    <r>
      <rPr>
        <sz val="8"/>
        <rFont val="Arial MT"/>
        <family val="2"/>
      </rPr>
      <t>4.4.8</t>
    </r>
  </si>
  <si>
    <r>
      <rPr>
        <sz val="8"/>
        <rFont val="Arial MT"/>
        <family val="2"/>
      </rPr>
      <t>Chapim de concreto pré-moldado (ADAPTADO 8637)</t>
    </r>
  </si>
  <si>
    <r>
      <rPr>
        <b/>
        <sz val="8"/>
        <rFont val="Arial"/>
        <family val="2"/>
      </rPr>
      <t>5.1</t>
    </r>
  </si>
  <si>
    <r>
      <rPr>
        <sz val="8"/>
        <rFont val="Arial MT"/>
        <family val="2"/>
      </rPr>
      <t>5.1.1</t>
    </r>
  </si>
  <si>
    <r>
      <rPr>
        <sz val="8"/>
        <rFont val="Arial MT"/>
        <family val="2"/>
      </rPr>
      <t>EXECUÇÃO DE PASSEIO EM PISO INTERTRAVADO, COM BLOCO RETANGULAR COLORIDO DE 20 X 10 CM, ESPESSURA 6 CM. AF_10/2022</t>
    </r>
  </si>
  <si>
    <r>
      <rPr>
        <sz val="8"/>
        <rFont val="Arial MT"/>
        <family val="2"/>
      </rPr>
      <t>5.1.2</t>
    </r>
  </si>
  <si>
    <r>
      <rPr>
        <sz val="8"/>
        <rFont val="Arial MT"/>
        <family val="2"/>
      </rPr>
      <t xml:space="preserve">ASSENTAMENTO DE GUIA (MEIO-FIO) EM TRECHO RETO, CONFECCIONADA EM CONCRETO PRÉ-FABRICADO, DIMENSÕES 100X15X13X20 CM (COMPRIMENTO X BASE INFERIOR X BASE SUPERIOR
</t>
    </r>
    <r>
      <rPr>
        <sz val="8"/>
        <rFont val="Arial MT"/>
        <family val="2"/>
      </rPr>
      <t>X ALTURA). AF_01/2024</t>
    </r>
  </si>
  <si>
    <r>
      <rPr>
        <sz val="8"/>
        <rFont val="Arial MT"/>
        <family val="2"/>
      </rPr>
      <t>5.1.3</t>
    </r>
  </si>
  <si>
    <r>
      <rPr>
        <sz val="8"/>
        <rFont val="Arial MT"/>
        <family val="2"/>
      </rPr>
      <t xml:space="preserve">ASSENTAMENTO DE GUIA (MEIO-FIO) EM TRECHO CURVO, CONFECCIONADA EM CONCRETO PRÉ-FABRICADO, DIMENSÕES 100X15X13X20 CM (COMPRIMENTO X BASE INFERIOR X BASE SUPERIOR
</t>
    </r>
    <r>
      <rPr>
        <sz val="8"/>
        <rFont val="Arial MT"/>
        <family val="2"/>
      </rPr>
      <t>X ALTURA). AF_01/2024</t>
    </r>
  </si>
  <si>
    <r>
      <rPr>
        <sz val="8"/>
        <rFont val="Arial MT"/>
        <family val="2"/>
      </rPr>
      <t>5.1.4</t>
    </r>
  </si>
  <si>
    <r>
      <rPr>
        <sz val="8"/>
        <rFont val="Arial MT"/>
        <family val="2"/>
      </rPr>
      <t xml:space="preserve">EXECUÇÃO DE PAVIMENTO EM PISO INTERTRAVADO, COM BLOCO
</t>
    </r>
    <r>
      <rPr>
        <sz val="8"/>
        <rFont val="Arial MT"/>
        <family val="2"/>
      </rPr>
      <t>RETANGULAR COR NATURAL DE 20 X 10 CM, ESPESSURA 6 CM. AF_10/2022</t>
    </r>
  </si>
  <si>
    <r>
      <rPr>
        <sz val="8"/>
        <rFont val="Arial MT"/>
        <family val="2"/>
      </rPr>
      <t>5.1.5</t>
    </r>
  </si>
  <si>
    <r>
      <rPr>
        <sz val="8"/>
        <rFont val="Arial MT"/>
        <family val="2"/>
      </rPr>
      <t xml:space="preserve">RAMPA DE ACESSIBILIDADE EM CONCRETO MOLDADO IN LOCO, EM CALÇADA NOVA COM LARGURA MENOR À 3,00 M, FCK 25MPA, COM PISO
</t>
    </r>
    <r>
      <rPr>
        <sz val="8"/>
        <rFont val="Arial MT"/>
        <family val="2"/>
      </rPr>
      <t>PODOTÁTIL. AF_03/2024</t>
    </r>
  </si>
  <si>
    <r>
      <rPr>
        <sz val="8"/>
        <rFont val="Arial MT"/>
        <family val="2"/>
      </rPr>
      <t>5.1.6</t>
    </r>
  </si>
  <si>
    <r>
      <rPr>
        <sz val="8"/>
        <rFont val="Arial MT"/>
        <family val="2"/>
      </rPr>
      <t xml:space="preserve">PINTURA DE MEIO-FIO COM TINTA BRANCA A BASE DE CAL (CAIAÇÃO).
</t>
    </r>
    <r>
      <rPr>
        <sz val="8"/>
        <rFont val="Arial MT"/>
        <family val="2"/>
      </rPr>
      <t>AF_05/2021</t>
    </r>
  </si>
  <si>
    <r>
      <rPr>
        <sz val="8"/>
        <rFont val="Arial MT"/>
        <family val="2"/>
      </rPr>
      <t>5.1.7</t>
    </r>
  </si>
  <si>
    <r>
      <rPr>
        <sz val="8"/>
        <rFont val="Arial MT"/>
        <family val="2"/>
      </rPr>
      <t xml:space="preserve">PISO PODOTÁTIL DE ALERTA OU DIRECIONAL, DE CONCRETO,
</t>
    </r>
    <r>
      <rPr>
        <sz val="8"/>
        <rFont val="Arial MT"/>
        <family val="2"/>
      </rPr>
      <t>ASSENTADO SOBRE ARGAMASSA. AF_03/2024</t>
    </r>
  </si>
  <si>
    <r>
      <rPr>
        <sz val="8"/>
        <rFont val="Arial MT"/>
        <family val="2"/>
      </rPr>
      <t>5.1.8</t>
    </r>
  </si>
  <si>
    <r>
      <rPr>
        <sz val="8"/>
        <rFont val="Arial MT"/>
        <family val="2"/>
      </rPr>
      <t>5.1.9</t>
    </r>
  </si>
  <si>
    <r>
      <rPr>
        <sz val="8"/>
        <rFont val="Arial MT"/>
        <family val="2"/>
      </rPr>
      <t xml:space="preserve">PINTURA DE PISO COM TINTA EPÓXI, APLICAÇÃO MANUAL, 2 DEMÃOS,
</t>
    </r>
    <r>
      <rPr>
        <sz val="8"/>
        <rFont val="Arial MT"/>
        <family val="2"/>
      </rPr>
      <t>INCLUSO PRIMER EPÓXI. AF_05/2021</t>
    </r>
  </si>
  <si>
    <r>
      <rPr>
        <sz val="8"/>
        <rFont val="Arial MT"/>
        <family val="2"/>
      </rPr>
      <t xml:space="preserve">PLANTIO DE GRAMA ESMERALDA OU SÃO CARLOS OU CURITIBANA, EM
</t>
    </r>
    <r>
      <rPr>
        <sz val="8"/>
        <rFont val="Arial MT"/>
        <family val="2"/>
      </rPr>
      <t>PLACAS. AF_07/2024</t>
    </r>
  </si>
  <si>
    <r>
      <rPr>
        <b/>
        <sz val="8"/>
        <rFont val="Arial"/>
        <family val="2"/>
      </rPr>
      <t>5.2</t>
    </r>
  </si>
  <si>
    <r>
      <rPr>
        <sz val="8"/>
        <rFont val="Arial MT"/>
        <family val="2"/>
      </rPr>
      <t>5.2.1</t>
    </r>
  </si>
  <si>
    <r>
      <rPr>
        <sz val="8"/>
        <rFont val="Arial MT"/>
        <family val="2"/>
      </rPr>
      <t>5.2.2</t>
    </r>
  </si>
  <si>
    <r>
      <rPr>
        <sz val="8"/>
        <rFont val="Arial MT"/>
        <family val="2"/>
      </rPr>
      <t>ESPALHAMENTO DE TERRA VEGETAL PARA O PLANTIO. AF_07/2024</t>
    </r>
  </si>
  <si>
    <r>
      <rPr>
        <sz val="8"/>
        <rFont val="Arial MT"/>
        <family val="2"/>
      </rPr>
      <t>5.2.3</t>
    </r>
  </si>
  <si>
    <r>
      <rPr>
        <sz val="8"/>
        <rFont val="Arial MT"/>
        <family val="2"/>
      </rPr>
      <t>Mesa c/ tampo Ø=1,00m em concreto armado polido sobre tubo de concreto armado Ø=0,40m, e  4 bancos em concreto armado Ø=0,40m, com pintura acrílica cor cinza grafite da Coral ou  similar. (ADAPTADO 12114)</t>
    </r>
  </si>
  <si>
    <r>
      <rPr>
        <b/>
        <sz val="8"/>
        <rFont val="Arial"/>
        <family val="2"/>
      </rPr>
      <t>5.3</t>
    </r>
  </si>
  <si>
    <r>
      <rPr>
        <sz val="8"/>
        <rFont val="Arial MT"/>
        <family val="2"/>
      </rPr>
      <t>5.3.1</t>
    </r>
  </si>
  <si>
    <r>
      <rPr>
        <sz val="8"/>
        <rFont val="Arial MT"/>
        <family val="2"/>
      </rPr>
      <t>5.3.2</t>
    </r>
  </si>
  <si>
    <r>
      <rPr>
        <sz val="8"/>
        <rFont val="Arial MT"/>
        <family val="2"/>
      </rPr>
      <t>5.3.3</t>
    </r>
  </si>
  <si>
    <r>
      <rPr>
        <sz val="8"/>
        <rFont val="Arial MT"/>
        <family val="2"/>
      </rPr>
      <t>5.3.4</t>
    </r>
  </si>
  <si>
    <r>
      <rPr>
        <sz val="8"/>
        <rFont val="Arial MT"/>
        <family val="2"/>
      </rPr>
      <t>ALVENARIA EM TIJOLO CERAMICO FURADO 9X19X19CM, 1 VEZ (ESPESSURA 19 CM) ,  ASSENTADO ARGAMASSA TRACO 1:4 (CIMENTO E AREIA MEDIA NAO PENEIRADA),  PREPARO MANUAL, JUNTA1 CM [ADAPTADO DE SINAPI 73935/002]</t>
    </r>
  </si>
  <si>
    <r>
      <rPr>
        <sz val="8"/>
        <rFont val="Arial MT"/>
        <family val="2"/>
      </rPr>
      <t>5.3.5</t>
    </r>
  </si>
  <si>
    <r>
      <rPr>
        <sz val="8"/>
        <rFont val="Arial MT"/>
        <family val="2"/>
      </rPr>
      <t xml:space="preserve">CHAPISCO APLICADO EM ALVENARIAS E ESTRUTURAS DE CONCRETO
</t>
    </r>
    <r>
      <rPr>
        <sz val="8"/>
        <rFont val="Arial MT"/>
        <family val="2"/>
      </rPr>
      <t>INTERNAS, COM COLHER DE PEDREIRO. ARGAMASSA TRAÇO 1:3 COM PREPARO MANUAL. AF_10/2022</t>
    </r>
  </si>
  <si>
    <r>
      <rPr>
        <sz val="8"/>
        <rFont val="Arial MT"/>
        <family val="2"/>
      </rPr>
      <t>5.3.6</t>
    </r>
  </si>
  <si>
    <r>
      <rPr>
        <sz val="8"/>
        <rFont val="Arial MT"/>
        <family val="2"/>
      </rPr>
      <t>EMBOÇO, EM ARGAMASSA TRAÇO 1:2:8, PREPARO MANUAL, APLICADO MANUALMENTE EM PAREDES INTERNAS DE AMBIENTES COM ÁREA MENOR QUE 5M², E = 17,5MM, COM TALISCAS. AF_03/2024</t>
    </r>
  </si>
  <si>
    <r>
      <rPr>
        <sz val="8"/>
        <rFont val="Arial MT"/>
        <family val="2"/>
      </rPr>
      <t>5.3.7</t>
    </r>
  </si>
  <si>
    <r>
      <rPr>
        <sz val="8"/>
        <rFont val="Arial MT"/>
        <family val="2"/>
      </rPr>
      <t xml:space="preserve">TEXTURA ACRÍLICA, APLICAÇÃO MANUAL EM PAREDE, UMA DEMÃO.
</t>
    </r>
    <r>
      <rPr>
        <sz val="8"/>
        <rFont val="Arial MT"/>
        <family val="2"/>
      </rPr>
      <t>AF_04/2023</t>
    </r>
  </si>
  <si>
    <r>
      <rPr>
        <sz val="8"/>
        <rFont val="Arial MT"/>
        <family val="2"/>
      </rPr>
      <t>5.3.8</t>
    </r>
  </si>
  <si>
    <r>
      <rPr>
        <sz val="8"/>
        <rFont val="Arial MT"/>
        <family val="2"/>
      </rPr>
      <t>5.3.9</t>
    </r>
  </si>
  <si>
    <r>
      <rPr>
        <sz val="8"/>
        <rFont val="Arial MT"/>
        <family val="2"/>
      </rPr>
      <t xml:space="preserve">TAMPO EM GRANITO OCRE - FORNECIMENTO E INSTALAÇÃO  (Conforme
</t>
    </r>
    <r>
      <rPr>
        <sz val="8"/>
        <rFont val="Arial MT"/>
        <family val="2"/>
      </rPr>
      <t>projeto - bancos)</t>
    </r>
  </si>
  <si>
    <r>
      <rPr>
        <sz val="8"/>
        <rFont val="Arial MT"/>
        <family val="2"/>
      </rPr>
      <t>6.1</t>
    </r>
  </si>
  <si>
    <r>
      <rPr>
        <sz val="8"/>
        <rFont val="Arial MT"/>
        <family val="2"/>
      </rPr>
      <t>6.2</t>
    </r>
  </si>
  <si>
    <r>
      <rPr>
        <sz val="8"/>
        <rFont val="Arial MT"/>
        <family val="2"/>
      </rPr>
      <t xml:space="preserve">CAIXA ENTERRADA ELÉTRICA RETANGULAR, EM CONCRETO PRÉ-
</t>
    </r>
    <r>
      <rPr>
        <sz val="8"/>
        <rFont val="Arial MT"/>
        <family val="2"/>
      </rPr>
      <t>MOLDADO, FUNDO COM BRITA, DIMENSÕES INTERNAS: 0,4X0,4X0,4 M. AF_12/2020</t>
    </r>
  </si>
  <si>
    <r>
      <rPr>
        <sz val="8"/>
        <rFont val="Arial MT"/>
        <family val="2"/>
      </rPr>
      <t>6.3</t>
    </r>
  </si>
  <si>
    <r>
      <rPr>
        <sz val="8"/>
        <rFont val="Arial MT"/>
        <family val="2"/>
      </rPr>
      <t xml:space="preserve">CURVA 45° PARA ELETRODUTO RIGÍDO ROSCAVÉL 50MM 1/2 (ADAPTADO
</t>
    </r>
    <r>
      <rPr>
        <sz val="8"/>
        <rFont val="Arial MT"/>
        <family val="2"/>
      </rPr>
      <t>ORSE 11343)</t>
    </r>
  </si>
  <si>
    <r>
      <rPr>
        <sz val="8"/>
        <rFont val="Arial MT"/>
        <family val="2"/>
      </rPr>
      <t>6.4</t>
    </r>
  </si>
  <si>
    <r>
      <rPr>
        <sz val="8"/>
        <rFont val="Arial MT"/>
        <family val="2"/>
      </rPr>
      <t>6.5</t>
    </r>
  </si>
  <si>
    <r>
      <rPr>
        <sz val="8"/>
        <rFont val="Arial MT"/>
        <family val="2"/>
      </rPr>
      <t xml:space="preserve">CURVA 90 GRAUS PARA ELETRODUTO, PVC, ROSCÁVEL, DN 25 MM (3/4"),
</t>
    </r>
    <r>
      <rPr>
        <sz val="8"/>
        <rFont val="Arial MT"/>
        <family val="2"/>
      </rPr>
      <t>PARA CIRCUITOS TERMINAIS, INSTALADA EM LAJE - FORNECIMENTO E INSTALAÇÃO. AF_03/2023</t>
    </r>
  </si>
  <si>
    <r>
      <rPr>
        <sz val="8"/>
        <rFont val="Arial MT"/>
        <family val="2"/>
      </rPr>
      <t>6.6</t>
    </r>
  </si>
  <si>
    <r>
      <rPr>
        <sz val="8"/>
        <rFont val="Arial MT"/>
        <family val="2"/>
      </rPr>
      <t>6.7</t>
    </r>
  </si>
  <si>
    <r>
      <rPr>
        <sz val="8"/>
        <rFont val="Arial MT"/>
        <family val="2"/>
      </rPr>
      <t>LUVA PARA ELETRODUTO, PVC, ROSCÁVEL, DN 50 MM (1 1/2"), PARA REDE ENTERRADA DE DISTRIBUIÇÃO DE ENERGIA ELÉTRICA - FORNECIMENTO E INSTALAÇÃO. AF_12/2021</t>
    </r>
  </si>
  <si>
    <r>
      <rPr>
        <sz val="8"/>
        <rFont val="Arial MT"/>
        <family val="2"/>
      </rPr>
      <t>6.8</t>
    </r>
  </si>
  <si>
    <r>
      <rPr>
        <sz val="8"/>
        <rFont val="Arial MT"/>
        <family val="2"/>
      </rPr>
      <t>6.9</t>
    </r>
  </si>
  <si>
    <r>
      <rPr>
        <sz val="8"/>
        <rFont val="Arial MT"/>
        <family val="2"/>
      </rPr>
      <t xml:space="preserve">DISJUNTOR MONOPOLAR TIPO DIN, CORRENTE NOMINAL DE 25A -
</t>
    </r>
    <r>
      <rPr>
        <sz val="8"/>
        <rFont val="Arial MT"/>
        <family val="2"/>
      </rPr>
      <t>FORNECIMENTO E INSTALAÇÃO. AF_10/2020</t>
    </r>
  </si>
  <si>
    <r>
      <rPr>
        <sz val="8"/>
        <rFont val="Arial MT"/>
        <family val="2"/>
      </rPr>
      <t>6.10</t>
    </r>
  </si>
  <si>
    <r>
      <rPr>
        <sz val="8"/>
        <rFont val="Arial MT"/>
        <family val="2"/>
      </rPr>
      <t>6.11</t>
    </r>
  </si>
  <si>
    <r>
      <rPr>
        <sz val="8"/>
        <rFont val="Arial MT"/>
        <family val="2"/>
      </rPr>
      <t>SENSOR DE PRESENCA BIVOLT COM FOTOCELULA PARA QUALQUER TIPO DE LAMPADA, POTENCIA MAXIMA *1000* W, USO EXTERNO</t>
    </r>
  </si>
  <si>
    <r>
      <rPr>
        <sz val="8"/>
        <rFont val="Arial MT"/>
        <family val="2"/>
      </rPr>
      <t>6.12</t>
    </r>
  </si>
  <si>
    <r>
      <rPr>
        <sz val="8"/>
        <rFont val="Arial MT"/>
        <family val="2"/>
      </rPr>
      <t xml:space="preserve">PADRÃO DE ENTRADA COLETIVO COM SAÍDA SUBTERRÂNEA, COM
</t>
    </r>
    <r>
      <rPr>
        <sz val="8"/>
        <rFont val="Arial MT"/>
        <family val="2"/>
      </rPr>
      <t>POSTE DUPLO T</t>
    </r>
  </si>
  <si>
    <r>
      <rPr>
        <sz val="8"/>
        <rFont val="Arial MT"/>
        <family val="2"/>
      </rPr>
      <t>6.13</t>
    </r>
  </si>
  <si>
    <r>
      <rPr>
        <sz val="8"/>
        <rFont val="Arial MT"/>
        <family val="2"/>
      </rPr>
      <t>6.14</t>
    </r>
  </si>
  <si>
    <r>
      <rPr>
        <sz val="8"/>
        <rFont val="Arial MT"/>
        <family val="2"/>
      </rPr>
      <t xml:space="preserve">CAIXA ENTERRADA ELÉTRICA RETANGULAR, EM ALVENARIA COM
</t>
    </r>
    <r>
      <rPr>
        <sz val="8"/>
        <rFont val="Arial MT"/>
        <family val="2"/>
      </rPr>
      <t>TIJOLOS CERÂMICOS MACIÇOS, FUNDO COM BRITA, DIMENSÕES INTERNAS: 0,3X0,3X0,3 M. AF_12/2020</t>
    </r>
  </si>
  <si>
    <r>
      <rPr>
        <sz val="8"/>
        <rFont val="Arial MT"/>
        <family val="2"/>
      </rPr>
      <t>6.15</t>
    </r>
  </si>
  <si>
    <r>
      <rPr>
        <sz val="8"/>
        <rFont val="Arial MT"/>
        <family val="2"/>
      </rPr>
      <t>6.16</t>
    </r>
  </si>
  <si>
    <r>
      <rPr>
        <sz val="8"/>
        <rFont val="Arial MT"/>
        <family val="2"/>
      </rPr>
      <t>6.17</t>
    </r>
  </si>
  <si>
    <r>
      <rPr>
        <sz val="8"/>
        <rFont val="Arial MT"/>
        <family val="2"/>
      </rPr>
      <t xml:space="preserve">CABO DE COBRE FLEXÍVEL ISOLADO, 4 MM², ANTI-CHAMA 0,6/1,0 KV, PARA CIRCUITOS TERMINAIS - FORNECIMENTO E INSTALAÇÃO.
</t>
    </r>
    <r>
      <rPr>
        <sz val="8"/>
        <rFont val="Arial MT"/>
        <family val="2"/>
      </rPr>
      <t>AF_03/2023</t>
    </r>
  </si>
  <si>
    <r>
      <rPr>
        <sz val="8"/>
        <rFont val="Arial MT"/>
        <family val="2"/>
      </rPr>
      <t>6.18</t>
    </r>
  </si>
  <si>
    <r>
      <rPr>
        <sz val="8"/>
        <rFont val="Arial MT"/>
        <family val="2"/>
      </rPr>
      <t>6.19</t>
    </r>
  </si>
  <si>
    <r>
      <rPr>
        <sz val="8"/>
        <rFont val="Arial MT"/>
        <family val="2"/>
      </rPr>
      <t>Poste decorativo com 02 pétalas, em tubo de alumínio com difusor em vidro leitoso brilhante,  ref. XR-708/2 da Xoulux ou similar, com 6,00m, inclusive lâmpada vapor de sódio de 250W. Rev  01_06/2024 (ORSE 8888)</t>
    </r>
  </si>
  <si>
    <t>Total sem BDI</t>
  </si>
  <si>
    <t>Total do BDI</t>
  </si>
  <si>
    <t>Total Geral</t>
  </si>
  <si>
    <t>SINAPI - 04/2025 - Paraíba</t>
  </si>
  <si>
    <t>SINAPI</t>
  </si>
  <si>
    <t>m²</t>
  </si>
  <si>
    <t>M</t>
  </si>
  <si>
    <t>LOCAÇÃO CONVENCIONAL DE OBRA, UTILIZANDO GABARITO DE TÁBUAS CORRIDAS PONTALETADAS A CADA 2,00M - 2 UTILIZAÇÕES. AF_03/2024</t>
  </si>
  <si>
    <t>MOVIMENTO DE TERRA</t>
  </si>
  <si>
    <t>FUNDAÇÃO</t>
  </si>
  <si>
    <t>ESTRUTRURA</t>
  </si>
  <si>
    <t>PAREDES E PAINÉIS</t>
  </si>
  <si>
    <t>REVESTIMENTO</t>
  </si>
  <si>
    <t>FORRO</t>
  </si>
  <si>
    <t>PISO</t>
  </si>
  <si>
    <t>INSTALAÇÕES</t>
  </si>
  <si>
    <t>HIDRÁULICA</t>
  </si>
  <si>
    <t>ELÉTRICA</t>
  </si>
  <si>
    <t>2.9.3</t>
  </si>
  <si>
    <t>SANITÁRIAS</t>
  </si>
  <si>
    <t>2.10</t>
  </si>
  <si>
    <t>COBERTURA</t>
  </si>
  <si>
    <t>ESQUADRIAS</t>
  </si>
  <si>
    <t>GUARITA</t>
  </si>
  <si>
    <t>SERVIÇOS PRELIMINARES</t>
  </si>
  <si>
    <t>ESTRUTURA</t>
  </si>
  <si>
    <t>3.6</t>
  </si>
  <si>
    <t>PINTURA INTERNA</t>
  </si>
  <si>
    <t>ELÉTRICO</t>
  </si>
  <si>
    <t>SANITÁRIO</t>
  </si>
  <si>
    <t>MURO</t>
  </si>
  <si>
    <t>SUPERESTRUTURA-MURO</t>
  </si>
  <si>
    <t>REVESTIMENTO- MURO</t>
  </si>
  <si>
    <t>URBANIZAÇÃO</t>
  </si>
  <si>
    <t>PAVIMENTAÇÃO</t>
  </si>
  <si>
    <t>PAISAGISMO</t>
  </si>
  <si>
    <t>BANCOS</t>
  </si>
  <si>
    <t>ILUMINAÇÃO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</si>
</sst>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\.d\.yy;@"/>
    <numFmt numFmtId="166" formatCode="00000000"/>
  </numFmts>
  <fonts count="8">
    <font>
      <sz val="10"/>
      <color rgb="FF000000"/>
      <name val="Times New Roman"/>
      <charset val="204"/>
    </font>
    <font>
      <b/>
      <sz val="8.5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name val="Arial MT"/>
    </font>
    <font>
      <sz val="8"/>
      <color rgb="FF000000"/>
      <name val="Arial MT"/>
      <family val="2"/>
    </font>
    <font>
      <sz val="8"/>
      <name val="Arial MT"/>
      <family val="2"/>
    </font>
    <font>
      <b/>
      <sz val="10"/>
      <color rgb="FF000000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D8EBF6"/>
      </patternFill>
    </fill>
    <fill>
      <patternFill patternType="solid">
        <fgColor rgb="FFDFEFD8"/>
      </patternFill>
    </fill>
    <fill>
      <patternFill patternType="solid">
        <fgColor rgb="FFF6F2D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left" vertical="top" shrinkToFi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4" fontId="3" fillId="2" borderId="1" xfId="0" applyNumberFormat="1" applyFont="1" applyFill="1" applyBorder="1" applyAlignment="1">
      <alignment horizontal="right" vertical="top" shrinkToFit="1"/>
    </xf>
    <xf numFmtId="0" fontId="4" fillId="3" borderId="1" xfId="0" applyFont="1" applyFill="1" applyBorder="1" applyAlignment="1">
      <alignment horizontal="left" vertical="top" wrapText="1"/>
    </xf>
    <xf numFmtId="1" fontId="5" fillId="3" borderId="1" xfId="0" applyNumberFormat="1" applyFont="1" applyFill="1" applyBorder="1" applyAlignment="1">
      <alignment horizontal="right" vertical="top" shrinkToFit="1"/>
    </xf>
    <xf numFmtId="0" fontId="4" fillId="3" borderId="1" xfId="0" applyFont="1" applyFill="1" applyBorder="1" applyAlignment="1">
      <alignment horizontal="center" vertical="top" wrapText="1"/>
    </xf>
    <xf numFmtId="2" fontId="5" fillId="3" borderId="1" xfId="0" applyNumberFormat="1" applyFont="1" applyFill="1" applyBorder="1" applyAlignment="1">
      <alignment horizontal="right" vertical="top" shrinkToFit="1"/>
    </xf>
    <xf numFmtId="4" fontId="5" fillId="3" borderId="1" xfId="0" applyNumberFormat="1" applyFont="1" applyFill="1" applyBorder="1" applyAlignment="1">
      <alignment horizontal="right" vertical="top" shrinkToFit="1"/>
    </xf>
    <xf numFmtId="0" fontId="0" fillId="3" borderId="1" xfId="0" applyFill="1" applyBorder="1" applyAlignment="1">
      <alignment horizontal="left" vertical="top" wrapText="1"/>
    </xf>
    <xf numFmtId="2" fontId="3" fillId="2" borderId="1" xfId="0" applyNumberFormat="1" applyFont="1" applyFill="1" applyBorder="1" applyAlignment="1">
      <alignment horizontal="right" vertical="top" shrinkToFit="1"/>
    </xf>
    <xf numFmtId="164" fontId="5" fillId="3" borderId="1" xfId="0" applyNumberFormat="1" applyFont="1" applyFill="1" applyBorder="1" applyAlignment="1">
      <alignment horizontal="right" vertical="top" shrinkToFit="1"/>
    </xf>
    <xf numFmtId="165" fontId="5" fillId="3" borderId="1" xfId="0" applyNumberFormat="1" applyFont="1" applyFill="1" applyBorder="1" applyAlignment="1">
      <alignment horizontal="left" vertical="top" shrinkToFit="1"/>
    </xf>
    <xf numFmtId="0" fontId="4" fillId="3" borderId="1" xfId="0" applyFont="1" applyFill="1" applyBorder="1" applyAlignment="1">
      <alignment horizontal="right" vertical="top" wrapText="1"/>
    </xf>
    <xf numFmtId="0" fontId="4" fillId="4" borderId="1" xfId="0" applyFont="1" applyFill="1" applyBorder="1" applyAlignment="1">
      <alignment horizontal="left" vertical="top" wrapText="1"/>
    </xf>
    <xf numFmtId="166" fontId="5" fillId="4" borderId="1" xfId="0" applyNumberFormat="1" applyFont="1" applyFill="1" applyBorder="1" applyAlignment="1">
      <alignment horizontal="right" vertical="top" shrinkToFit="1"/>
    </xf>
    <xf numFmtId="0" fontId="4" fillId="4" borderId="1" xfId="0" applyFont="1" applyFill="1" applyBorder="1" applyAlignment="1">
      <alignment horizontal="center" vertical="top" wrapText="1"/>
    </xf>
    <xf numFmtId="1" fontId="5" fillId="4" borderId="1" xfId="0" applyNumberFormat="1" applyFont="1" applyFill="1" applyBorder="1" applyAlignment="1">
      <alignment horizontal="right" vertical="top" shrinkToFit="1"/>
    </xf>
    <xf numFmtId="2" fontId="5" fillId="4" borderId="1" xfId="0" applyNumberFormat="1" applyFont="1" applyFill="1" applyBorder="1" applyAlignment="1">
      <alignment horizontal="right" vertical="top" shrinkToFit="1"/>
    </xf>
    <xf numFmtId="0" fontId="4" fillId="3" borderId="1" xfId="0" applyFont="1" applyFill="1" applyBorder="1" applyAlignment="1">
      <alignment horizontal="right" vertical="top" wrapText="1" indent="2"/>
    </xf>
    <xf numFmtId="0" fontId="0" fillId="4" borderId="1" xfId="0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right" vertical="top" wrapText="1" indent="2"/>
    </xf>
    <xf numFmtId="0" fontId="4" fillId="3" borderId="1" xfId="0" applyFont="1" applyFill="1" applyBorder="1" applyAlignment="1">
      <alignment horizontal="right" vertical="top" wrapText="1" indent="1"/>
    </xf>
    <xf numFmtId="0" fontId="7" fillId="0" borderId="0" xfId="0" applyFont="1" applyAlignment="1">
      <alignment horizontal="right" vertical="top"/>
    </xf>
    <xf numFmtId="4" fontId="7" fillId="0" borderId="0" xfId="0" applyNumberFormat="1" applyFont="1" applyAlignment="1">
      <alignment horizontal="right" vertical="top" shrinkToFit="1"/>
    </xf>
    <xf numFmtId="2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 wrapText="1" indent="22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7"/>
    </xf>
    <xf numFmtId="0" fontId="2" fillId="0" borderId="0" xfId="0" applyFont="1" applyAlignment="1">
      <alignment horizontal="left" vertical="top" wrapText="1" indent="22"/>
    </xf>
    <xf numFmtId="0" fontId="2" fillId="0" borderId="0" xfId="0" applyFont="1" applyAlignment="1">
      <alignment horizontal="left" vertical="top" wrapText="1"/>
    </xf>
    <xf numFmtId="10" fontId="3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 wrapText="1" indent="7"/>
    </xf>
    <xf numFmtId="0" fontId="0" fillId="0" borderId="0" xfId="0" applyAlignment="1">
      <alignment horizontal="left" wrapText="1"/>
    </xf>
    <xf numFmtId="10" fontId="3" fillId="0" borderId="0" xfId="0" applyNumberFormat="1" applyFont="1" applyAlignment="1">
      <alignment horizontal="left" vertical="top" indent="7" shrinkToFit="1"/>
    </xf>
    <xf numFmtId="0" fontId="1" fillId="0" borderId="0" xfId="0" applyFont="1" applyAlignment="1">
      <alignment horizontal="right" vertical="center" wrapText="1" indent="5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2" fontId="5" fillId="3" borderId="2" xfId="0" applyNumberFormat="1" applyFont="1" applyFill="1" applyBorder="1" applyAlignment="1">
      <alignment horizontal="right" vertical="top" shrinkToFit="1"/>
    </xf>
    <xf numFmtId="2" fontId="5" fillId="3" borderId="3" xfId="0" applyNumberFormat="1" applyFont="1" applyFill="1" applyBorder="1" applyAlignment="1">
      <alignment horizontal="right" vertical="top" shrinkToFit="1"/>
    </xf>
    <xf numFmtId="2" fontId="5" fillId="4" borderId="2" xfId="0" applyNumberFormat="1" applyFont="1" applyFill="1" applyBorder="1" applyAlignment="1">
      <alignment horizontal="right" vertical="top" shrinkToFit="1"/>
    </xf>
    <xf numFmtId="2" fontId="5" fillId="4" borderId="3" xfId="0" applyNumberFormat="1" applyFont="1" applyFill="1" applyBorder="1" applyAlignment="1">
      <alignment horizontal="right" vertical="top" shrinkToFit="1"/>
    </xf>
    <xf numFmtId="4" fontId="5" fillId="3" borderId="2" xfId="0" applyNumberFormat="1" applyFont="1" applyFill="1" applyBorder="1" applyAlignment="1">
      <alignment horizontal="right" vertical="top" shrinkToFit="1"/>
    </xf>
    <xf numFmtId="4" fontId="5" fillId="3" borderId="3" xfId="0" applyNumberFormat="1" applyFont="1" applyFill="1" applyBorder="1" applyAlignment="1">
      <alignment horizontal="right" vertical="top" shrinkToFit="1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4316" cy="108051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4316" cy="10805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9"/>
  <sheetViews>
    <sheetView tabSelected="1" workbookViewId="0">
      <selection activeCell="J337" sqref="J337"/>
    </sheetView>
  </sheetViews>
  <sheetFormatPr defaultRowHeight="13.2"/>
  <cols>
    <col min="1" max="1" width="11.33203125" customWidth="1"/>
    <col min="2" max="2" width="11.5546875" customWidth="1"/>
    <col min="3" max="3" width="15.109375" customWidth="1"/>
    <col min="4" max="4" width="75.109375" customWidth="1"/>
    <col min="5" max="5" width="8.88671875" customWidth="1"/>
    <col min="6" max="6" width="15.109375" customWidth="1"/>
    <col min="7" max="7" width="14.88671875" customWidth="1"/>
    <col min="8" max="8" width="2.21875" customWidth="1"/>
    <col min="9" max="10" width="16.33203125" customWidth="1"/>
    <col min="12" max="12" width="9.44140625" bestFit="1" customWidth="1"/>
  </cols>
  <sheetData>
    <row r="1" spans="1:12" ht="12" customHeight="1">
      <c r="A1" s="31" t="s">
        <v>0</v>
      </c>
      <c r="B1" s="31"/>
      <c r="C1" s="31"/>
      <c r="D1" s="31"/>
      <c r="E1" s="32" t="s">
        <v>1</v>
      </c>
      <c r="F1" s="32"/>
      <c r="G1" s="32" t="s">
        <v>2</v>
      </c>
      <c r="H1" s="32"/>
      <c r="I1" s="33" t="s">
        <v>3</v>
      </c>
      <c r="J1" s="33"/>
    </row>
    <row r="2" spans="1:12" ht="11.25" customHeight="1">
      <c r="A2" s="34" t="s">
        <v>4</v>
      </c>
      <c r="B2" s="34"/>
      <c r="C2" s="34"/>
      <c r="D2" s="34"/>
      <c r="E2" s="35" t="s">
        <v>542</v>
      </c>
      <c r="F2" s="35"/>
      <c r="G2" s="36">
        <v>0.2258</v>
      </c>
      <c r="H2" s="36"/>
      <c r="I2" s="37" t="s">
        <v>5</v>
      </c>
      <c r="J2" s="37"/>
    </row>
    <row r="3" spans="1:12" ht="11.25" customHeight="1">
      <c r="A3" s="38"/>
      <c r="B3" s="38"/>
      <c r="C3" s="38"/>
      <c r="D3" s="38"/>
      <c r="E3" s="38"/>
      <c r="F3" s="38"/>
      <c r="G3" s="38"/>
      <c r="H3" s="38"/>
      <c r="I3" s="37" t="s">
        <v>6</v>
      </c>
      <c r="J3" s="37"/>
    </row>
    <row r="4" spans="1:12" ht="11.25" customHeight="1">
      <c r="A4" s="38"/>
      <c r="B4" s="38"/>
      <c r="C4" s="38"/>
      <c r="D4" s="38"/>
      <c r="E4" s="38"/>
      <c r="F4" s="38"/>
      <c r="G4" s="38"/>
      <c r="H4" s="38"/>
      <c r="I4" s="37" t="s">
        <v>7</v>
      </c>
      <c r="J4" s="37"/>
    </row>
    <row r="5" spans="1:12" ht="11.25" customHeight="1">
      <c r="A5" s="38"/>
      <c r="B5" s="38"/>
      <c r="C5" s="38"/>
      <c r="D5" s="38"/>
      <c r="E5" s="38"/>
      <c r="F5" s="38"/>
      <c r="G5" s="38"/>
      <c r="H5" s="38"/>
      <c r="I5" s="39">
        <v>1.0569999999999999</v>
      </c>
      <c r="J5" s="39"/>
    </row>
    <row r="6" spans="1:12" ht="11.25" customHeight="1">
      <c r="A6" s="38"/>
      <c r="B6" s="38"/>
      <c r="C6" s="38"/>
      <c r="D6" s="38"/>
      <c r="E6" s="38"/>
      <c r="F6" s="38"/>
      <c r="G6" s="38"/>
      <c r="H6" s="38"/>
      <c r="I6" s="37" t="s">
        <v>8</v>
      </c>
      <c r="J6" s="37"/>
    </row>
    <row r="7" spans="1:12" ht="24" customHeight="1">
      <c r="A7" s="40" t="s">
        <v>9</v>
      </c>
      <c r="B7" s="40"/>
      <c r="C7" s="40"/>
      <c r="D7" s="40"/>
      <c r="E7" s="41"/>
      <c r="F7" s="41"/>
      <c r="G7" s="41"/>
      <c r="H7" s="41"/>
      <c r="I7" s="39">
        <v>0.65049999999999997</v>
      </c>
      <c r="J7" s="39"/>
    </row>
    <row r="8" spans="1:12" ht="24" customHeight="1">
      <c r="A8" s="1" t="s">
        <v>10</v>
      </c>
      <c r="B8" s="2" t="s">
        <v>11</v>
      </c>
      <c r="C8" s="1" t="s">
        <v>12</v>
      </c>
      <c r="D8" s="1" t="s">
        <v>13</v>
      </c>
      <c r="E8" s="3" t="s">
        <v>14</v>
      </c>
      <c r="F8" s="2" t="s">
        <v>15</v>
      </c>
      <c r="G8" s="2" t="s">
        <v>16</v>
      </c>
      <c r="H8" s="42" t="s">
        <v>17</v>
      </c>
      <c r="I8" s="43"/>
      <c r="J8" s="2" t="s">
        <v>18</v>
      </c>
      <c r="L8" s="29">
        <f>SUM(K270,K9,K14,K145)</f>
        <v>101593.32999999999</v>
      </c>
    </row>
    <row r="9" spans="1:12" ht="18.75" customHeight="1">
      <c r="A9" s="4">
        <v>1</v>
      </c>
      <c r="B9" s="5"/>
      <c r="C9" s="5"/>
      <c r="D9" s="6" t="s">
        <v>19</v>
      </c>
      <c r="E9" s="5"/>
      <c r="F9" s="5"/>
      <c r="G9" s="5"/>
      <c r="H9" s="44"/>
      <c r="I9" s="45"/>
      <c r="J9" s="7">
        <v>14468.48</v>
      </c>
      <c r="K9">
        <v>14468.48</v>
      </c>
    </row>
    <row r="10" spans="1:12" ht="30.3" customHeight="1">
      <c r="A10" s="8" t="s">
        <v>20</v>
      </c>
      <c r="B10" s="9">
        <v>103689</v>
      </c>
      <c r="C10" s="52" t="s">
        <v>543</v>
      </c>
      <c r="D10" s="8" t="s">
        <v>22</v>
      </c>
      <c r="E10" s="53" t="s">
        <v>544</v>
      </c>
      <c r="F10" s="9">
        <v>8</v>
      </c>
      <c r="G10" s="11">
        <v>438.17</v>
      </c>
      <c r="H10" s="46">
        <v>537.1</v>
      </c>
      <c r="I10" s="47"/>
      <c r="J10" s="12">
        <v>4296.8</v>
      </c>
    </row>
    <row r="11" spans="1:12" ht="30.3" customHeight="1">
      <c r="A11" s="8" t="s">
        <v>24</v>
      </c>
      <c r="B11" s="9">
        <v>99059</v>
      </c>
      <c r="C11" s="8" t="s">
        <v>21</v>
      </c>
      <c r="D11" s="8" t="s">
        <v>25</v>
      </c>
      <c r="E11" s="53" t="s">
        <v>545</v>
      </c>
      <c r="F11" s="11">
        <v>132.87</v>
      </c>
      <c r="G11" s="11">
        <v>58.53</v>
      </c>
      <c r="H11" s="46">
        <v>71.739999999999995</v>
      </c>
      <c r="I11" s="47"/>
      <c r="J11" s="12">
        <v>9532.09</v>
      </c>
    </row>
    <row r="12" spans="1:12" ht="30.3" customHeight="1">
      <c r="A12" s="8" t="s">
        <v>27</v>
      </c>
      <c r="B12" s="9">
        <v>98525</v>
      </c>
      <c r="C12" s="8" t="s">
        <v>21</v>
      </c>
      <c r="D12" s="13" t="s">
        <v>28</v>
      </c>
      <c r="E12" s="53" t="s">
        <v>544</v>
      </c>
      <c r="F12" s="11">
        <v>888.32</v>
      </c>
      <c r="G12" s="11">
        <v>0.59</v>
      </c>
      <c r="H12" s="46">
        <v>0.72</v>
      </c>
      <c r="I12" s="47"/>
      <c r="J12" s="11">
        <v>639.59</v>
      </c>
    </row>
    <row r="13" spans="1:12" ht="18.75" customHeight="1">
      <c r="A13" s="4">
        <v>2</v>
      </c>
      <c r="B13" s="5"/>
      <c r="C13" s="5"/>
      <c r="D13" s="6" t="s">
        <v>29</v>
      </c>
      <c r="E13" s="5"/>
      <c r="F13" s="5"/>
      <c r="G13" s="5"/>
      <c r="H13" s="44"/>
      <c r="I13" s="45"/>
      <c r="J13" s="7">
        <v>94029.07</v>
      </c>
      <c r="K13" s="29">
        <f>J14+J16+J19</f>
        <v>16227.199999999999</v>
      </c>
    </row>
    <row r="14" spans="1:12" ht="18.75" customHeight="1">
      <c r="A14" s="6" t="s">
        <v>30</v>
      </c>
      <c r="B14" s="5"/>
      <c r="C14" s="5"/>
      <c r="D14" s="6" t="s">
        <v>19</v>
      </c>
      <c r="E14" s="5"/>
      <c r="F14" s="5"/>
      <c r="G14" s="5"/>
      <c r="H14" s="44"/>
      <c r="I14" s="45"/>
      <c r="J14" s="14">
        <v>997.18</v>
      </c>
      <c r="K14" s="29">
        <f>SUM(J14,J16,J19,J31,J32,J33)</f>
        <v>23355.25</v>
      </c>
    </row>
    <row r="15" spans="1:12" ht="30.3" customHeight="1">
      <c r="A15" s="8" t="s">
        <v>31</v>
      </c>
      <c r="B15" s="9">
        <v>99059</v>
      </c>
      <c r="C15" s="8" t="s">
        <v>21</v>
      </c>
      <c r="D15" s="52" t="s">
        <v>546</v>
      </c>
      <c r="E15" s="10" t="s">
        <v>26</v>
      </c>
      <c r="F15" s="15">
        <v>13.9</v>
      </c>
      <c r="G15" s="11">
        <v>58.53</v>
      </c>
      <c r="H15" s="46">
        <v>71.739999999999995</v>
      </c>
      <c r="I15" s="47"/>
      <c r="J15" s="11">
        <v>997.18</v>
      </c>
    </row>
    <row r="16" spans="1:12" ht="18.75" customHeight="1">
      <c r="A16" s="6" t="s">
        <v>32</v>
      </c>
      <c r="B16" s="5"/>
      <c r="C16" s="5"/>
      <c r="D16" s="6" t="s">
        <v>547</v>
      </c>
      <c r="E16" s="5"/>
      <c r="F16" s="5"/>
      <c r="G16" s="5"/>
      <c r="H16" s="44"/>
      <c r="I16" s="45"/>
      <c r="J16" s="7">
        <v>1312.63</v>
      </c>
    </row>
    <row r="17" spans="1:10" ht="18.75" customHeight="1">
      <c r="A17" s="8" t="s">
        <v>33</v>
      </c>
      <c r="B17" s="9">
        <v>93358</v>
      </c>
      <c r="C17" s="8" t="s">
        <v>21</v>
      </c>
      <c r="D17" s="8" t="s">
        <v>34</v>
      </c>
      <c r="E17" s="10" t="s">
        <v>35</v>
      </c>
      <c r="F17" s="15">
        <v>11.6</v>
      </c>
      <c r="G17" s="11">
        <v>78.989999999999995</v>
      </c>
      <c r="H17" s="46">
        <v>96.82</v>
      </c>
      <c r="I17" s="47"/>
      <c r="J17" s="12">
        <v>1123.1099999999999</v>
      </c>
    </row>
    <row r="18" spans="1:10" ht="20.25" customHeight="1">
      <c r="A18" s="8" t="s">
        <v>36</v>
      </c>
      <c r="B18" s="9">
        <v>104737</v>
      </c>
      <c r="C18" s="8" t="s">
        <v>21</v>
      </c>
      <c r="D18" s="8" t="s">
        <v>37</v>
      </c>
      <c r="E18" s="10" t="s">
        <v>35</v>
      </c>
      <c r="F18" s="11">
        <v>7.67</v>
      </c>
      <c r="G18" s="11">
        <v>20.16</v>
      </c>
      <c r="H18" s="46">
        <v>24.71</v>
      </c>
      <c r="I18" s="47"/>
      <c r="J18" s="11">
        <v>189.52</v>
      </c>
    </row>
    <row r="19" spans="1:10" ht="18.75" customHeight="1">
      <c r="A19" s="6" t="s">
        <v>38</v>
      </c>
      <c r="B19" s="5"/>
      <c r="C19" s="5"/>
      <c r="D19" s="6" t="s">
        <v>548</v>
      </c>
      <c r="E19" s="5"/>
      <c r="F19" s="5"/>
      <c r="G19" s="5"/>
      <c r="H19" s="44"/>
      <c r="I19" s="45"/>
      <c r="J19" s="7">
        <v>13917.39</v>
      </c>
    </row>
    <row r="20" spans="1:10" ht="30.3" customHeight="1">
      <c r="A20" s="8" t="s">
        <v>39</v>
      </c>
      <c r="B20" s="9">
        <v>96619</v>
      </c>
      <c r="C20" s="8" t="s">
        <v>21</v>
      </c>
      <c r="D20" s="8" t="s">
        <v>40</v>
      </c>
      <c r="E20" s="10" t="s">
        <v>23</v>
      </c>
      <c r="F20" s="11">
        <v>7.08</v>
      </c>
      <c r="G20" s="11">
        <v>36.630000000000003</v>
      </c>
      <c r="H20" s="46">
        <v>44.9</v>
      </c>
      <c r="I20" s="47"/>
      <c r="J20" s="11">
        <v>317.89</v>
      </c>
    </row>
    <row r="21" spans="1:10" ht="22.5" customHeight="1">
      <c r="A21" s="8" t="s">
        <v>41</v>
      </c>
      <c r="B21" s="9">
        <v>101616</v>
      </c>
      <c r="C21" s="8" t="s">
        <v>21</v>
      </c>
      <c r="D21" s="13" t="s">
        <v>42</v>
      </c>
      <c r="E21" s="10" t="s">
        <v>23</v>
      </c>
      <c r="F21" s="11">
        <v>16.010000000000002</v>
      </c>
      <c r="G21" s="11">
        <v>5.77</v>
      </c>
      <c r="H21" s="46">
        <v>7.07</v>
      </c>
      <c r="I21" s="47"/>
      <c r="J21" s="11">
        <v>113.19</v>
      </c>
    </row>
    <row r="22" spans="1:10" ht="30.3" customHeight="1">
      <c r="A22" s="8" t="s">
        <v>43</v>
      </c>
      <c r="B22" s="9">
        <v>94971</v>
      </c>
      <c r="C22" s="8" t="s">
        <v>21</v>
      </c>
      <c r="D22" s="13" t="s">
        <v>44</v>
      </c>
      <c r="E22" s="10" t="s">
        <v>35</v>
      </c>
      <c r="F22" s="11">
        <v>3.93</v>
      </c>
      <c r="G22" s="11">
        <v>456.69</v>
      </c>
      <c r="H22" s="46">
        <v>559.80999999999995</v>
      </c>
      <c r="I22" s="47"/>
      <c r="J22" s="12">
        <v>2200.0500000000002</v>
      </c>
    </row>
    <row r="23" spans="1:10" ht="22.5" customHeight="1">
      <c r="A23" s="8" t="s">
        <v>45</v>
      </c>
      <c r="B23" s="9">
        <v>103670</v>
      </c>
      <c r="C23" s="8" t="s">
        <v>21</v>
      </c>
      <c r="D23" s="13" t="s">
        <v>46</v>
      </c>
      <c r="E23" s="10" t="s">
        <v>35</v>
      </c>
      <c r="F23" s="11">
        <v>3.93</v>
      </c>
      <c r="G23" s="11">
        <v>270.14</v>
      </c>
      <c r="H23" s="46">
        <v>331.13</v>
      </c>
      <c r="I23" s="47"/>
      <c r="J23" s="12">
        <v>1301.3399999999999</v>
      </c>
    </row>
    <row r="24" spans="1:10" ht="30.3" customHeight="1">
      <c r="A24" s="8" t="s">
        <v>47</v>
      </c>
      <c r="B24" s="9">
        <v>104927</v>
      </c>
      <c r="C24" s="8" t="s">
        <v>21</v>
      </c>
      <c r="D24" s="8" t="s">
        <v>48</v>
      </c>
      <c r="E24" s="10" t="s">
        <v>23</v>
      </c>
      <c r="F24" s="11">
        <v>9.9499999999999993</v>
      </c>
      <c r="G24" s="11">
        <v>76.37</v>
      </c>
      <c r="H24" s="46">
        <v>93.61</v>
      </c>
      <c r="I24" s="47"/>
      <c r="J24" s="11">
        <v>931.41</v>
      </c>
    </row>
    <row r="25" spans="1:10" ht="30.3" customHeight="1">
      <c r="A25" s="8" t="s">
        <v>49</v>
      </c>
      <c r="B25" s="9">
        <v>96542</v>
      </c>
      <c r="C25" s="8" t="s">
        <v>21</v>
      </c>
      <c r="D25" s="13" t="s">
        <v>50</v>
      </c>
      <c r="E25" s="10" t="s">
        <v>23</v>
      </c>
      <c r="F25" s="11">
        <v>33.68</v>
      </c>
      <c r="G25" s="11">
        <v>84.01</v>
      </c>
      <c r="H25" s="46">
        <v>102.97</v>
      </c>
      <c r="I25" s="47"/>
      <c r="J25" s="12">
        <v>3468.02</v>
      </c>
    </row>
    <row r="26" spans="1:10" ht="30.3" customHeight="1">
      <c r="A26" s="8" t="s">
        <v>51</v>
      </c>
      <c r="B26" s="9">
        <v>104917</v>
      </c>
      <c r="C26" s="8" t="s">
        <v>21</v>
      </c>
      <c r="D26" s="8" t="s">
        <v>52</v>
      </c>
      <c r="E26" s="10" t="s">
        <v>53</v>
      </c>
      <c r="F26" s="9">
        <v>53</v>
      </c>
      <c r="G26" s="11">
        <v>14.2</v>
      </c>
      <c r="H26" s="46">
        <v>17.399999999999999</v>
      </c>
      <c r="I26" s="47"/>
      <c r="J26" s="11">
        <v>922.2</v>
      </c>
    </row>
    <row r="27" spans="1:10" ht="30.3" customHeight="1">
      <c r="A27" s="8" t="s">
        <v>54</v>
      </c>
      <c r="B27" s="9">
        <v>104916</v>
      </c>
      <c r="C27" s="8" t="s">
        <v>21</v>
      </c>
      <c r="D27" s="8" t="s">
        <v>55</v>
      </c>
      <c r="E27" s="10" t="s">
        <v>53</v>
      </c>
      <c r="F27" s="15">
        <v>52.9</v>
      </c>
      <c r="G27" s="11">
        <v>15.3</v>
      </c>
      <c r="H27" s="46">
        <v>18.75</v>
      </c>
      <c r="I27" s="47"/>
      <c r="J27" s="11">
        <v>991.87</v>
      </c>
    </row>
    <row r="28" spans="1:10" ht="30.3" customHeight="1">
      <c r="A28" s="8" t="s">
        <v>56</v>
      </c>
      <c r="B28" s="9">
        <v>104918</v>
      </c>
      <c r="C28" s="8" t="s">
        <v>21</v>
      </c>
      <c r="D28" s="8" t="s">
        <v>57</v>
      </c>
      <c r="E28" s="10" t="s">
        <v>53</v>
      </c>
      <c r="F28" s="15">
        <v>81.2</v>
      </c>
      <c r="G28" s="11">
        <v>13.19</v>
      </c>
      <c r="H28" s="46">
        <v>16.16</v>
      </c>
      <c r="I28" s="47"/>
      <c r="J28" s="12">
        <v>1312.19</v>
      </c>
    </row>
    <row r="29" spans="1:10" ht="22.5" customHeight="1">
      <c r="A29" s="16">
        <v>40212</v>
      </c>
      <c r="B29" s="9">
        <v>98557</v>
      </c>
      <c r="C29" s="8" t="s">
        <v>21</v>
      </c>
      <c r="D29" s="13" t="s">
        <v>58</v>
      </c>
      <c r="E29" s="10" t="s">
        <v>23</v>
      </c>
      <c r="F29" s="11">
        <v>43.73</v>
      </c>
      <c r="G29" s="11">
        <v>44.02</v>
      </c>
      <c r="H29" s="46">
        <v>53.95</v>
      </c>
      <c r="I29" s="47"/>
      <c r="J29" s="12">
        <v>2359.23</v>
      </c>
    </row>
    <row r="30" spans="1:10" ht="18.75" customHeight="1">
      <c r="A30" s="6" t="s">
        <v>59</v>
      </c>
      <c r="B30" s="5"/>
      <c r="C30" s="5"/>
      <c r="D30" s="6" t="s">
        <v>549</v>
      </c>
      <c r="E30" s="5"/>
      <c r="F30" s="5"/>
      <c r="G30" s="5"/>
      <c r="H30" s="44"/>
      <c r="I30" s="45"/>
      <c r="J30" s="7">
        <v>15491.8</v>
      </c>
    </row>
    <row r="31" spans="1:10" ht="40.200000000000003" customHeight="1">
      <c r="A31" s="8" t="s">
        <v>60</v>
      </c>
      <c r="B31" s="9">
        <v>92429</v>
      </c>
      <c r="C31" s="8" t="s">
        <v>21</v>
      </c>
      <c r="D31" s="8" t="s">
        <v>61</v>
      </c>
      <c r="E31" s="10" t="s">
        <v>23</v>
      </c>
      <c r="F31" s="11">
        <v>57.56</v>
      </c>
      <c r="G31" s="11">
        <v>66.97</v>
      </c>
      <c r="H31" s="46">
        <v>82.09</v>
      </c>
      <c r="I31" s="47"/>
      <c r="J31" s="12">
        <v>4725.1000000000004</v>
      </c>
    </row>
    <row r="32" spans="1:10" ht="30.3" customHeight="1">
      <c r="A32" s="8" t="s">
        <v>62</v>
      </c>
      <c r="B32" s="9">
        <v>92476</v>
      </c>
      <c r="C32" s="8" t="s">
        <v>21</v>
      </c>
      <c r="D32" s="13" t="s">
        <v>63</v>
      </c>
      <c r="E32" s="10" t="s">
        <v>23</v>
      </c>
      <c r="F32" s="15">
        <v>12.9</v>
      </c>
      <c r="G32" s="11">
        <v>82.76</v>
      </c>
      <c r="H32" s="46">
        <v>101.44</v>
      </c>
      <c r="I32" s="47"/>
      <c r="J32" s="12">
        <v>1308.57</v>
      </c>
    </row>
    <row r="33" spans="1:10" ht="30.3" customHeight="1">
      <c r="A33" s="8" t="s">
        <v>64</v>
      </c>
      <c r="B33" s="9">
        <v>92486</v>
      </c>
      <c r="C33" s="8" t="s">
        <v>21</v>
      </c>
      <c r="D33" s="8" t="s">
        <v>65</v>
      </c>
      <c r="E33" s="10" t="s">
        <v>23</v>
      </c>
      <c r="F33" s="11">
        <v>6.04</v>
      </c>
      <c r="G33" s="11">
        <v>147.82</v>
      </c>
      <c r="H33" s="46">
        <v>181.19</v>
      </c>
      <c r="I33" s="47"/>
      <c r="J33" s="12">
        <v>1094.3800000000001</v>
      </c>
    </row>
    <row r="34" spans="1:10" ht="30.3" customHeight="1">
      <c r="A34" s="8" t="s">
        <v>66</v>
      </c>
      <c r="B34" s="9">
        <v>92759</v>
      </c>
      <c r="C34" s="8" t="s">
        <v>21</v>
      </c>
      <c r="D34" s="13" t="s">
        <v>67</v>
      </c>
      <c r="E34" s="10" t="s">
        <v>53</v>
      </c>
      <c r="F34" s="15">
        <v>77.8</v>
      </c>
      <c r="G34" s="11">
        <v>12.95</v>
      </c>
      <c r="H34" s="46">
        <v>15.87</v>
      </c>
      <c r="I34" s="47"/>
      <c r="J34" s="12">
        <v>1234.68</v>
      </c>
    </row>
    <row r="35" spans="1:10" ht="30.3" customHeight="1">
      <c r="A35" s="8" t="s">
        <v>68</v>
      </c>
      <c r="B35" s="9">
        <v>104108</v>
      </c>
      <c r="C35" s="8" t="s">
        <v>21</v>
      </c>
      <c r="D35" s="13" t="s">
        <v>69</v>
      </c>
      <c r="E35" s="10" t="s">
        <v>53</v>
      </c>
      <c r="F35" s="15">
        <v>172.6</v>
      </c>
      <c r="G35" s="11">
        <v>11.83</v>
      </c>
      <c r="H35" s="46">
        <v>14.5</v>
      </c>
      <c r="I35" s="47"/>
      <c r="J35" s="12">
        <v>2502.6999999999998</v>
      </c>
    </row>
    <row r="36" spans="1:10" ht="30.3" customHeight="1">
      <c r="A36" s="8" t="s">
        <v>70</v>
      </c>
      <c r="B36" s="9">
        <v>92761</v>
      </c>
      <c r="C36" s="8" t="s">
        <v>21</v>
      </c>
      <c r="D36" s="13" t="s">
        <v>71</v>
      </c>
      <c r="E36" s="10" t="s">
        <v>53</v>
      </c>
      <c r="F36" s="15">
        <v>28.2</v>
      </c>
      <c r="G36" s="11">
        <v>11.49</v>
      </c>
      <c r="H36" s="46">
        <v>14.08</v>
      </c>
      <c r="I36" s="47"/>
      <c r="J36" s="11">
        <v>397.05</v>
      </c>
    </row>
    <row r="37" spans="1:10" ht="30.3" customHeight="1">
      <c r="A37" s="8" t="s">
        <v>72</v>
      </c>
      <c r="B37" s="9">
        <v>94971</v>
      </c>
      <c r="C37" s="8" t="s">
        <v>21</v>
      </c>
      <c r="D37" s="13" t="s">
        <v>73</v>
      </c>
      <c r="E37" s="10" t="s">
        <v>35</v>
      </c>
      <c r="F37" s="11">
        <v>4.5199999999999996</v>
      </c>
      <c r="G37" s="11">
        <v>456.69</v>
      </c>
      <c r="H37" s="46">
        <v>559.80999999999995</v>
      </c>
      <c r="I37" s="47"/>
      <c r="J37" s="12">
        <v>2530.34</v>
      </c>
    </row>
    <row r="38" spans="1:10" ht="22.5" customHeight="1">
      <c r="A38" s="8" t="s">
        <v>74</v>
      </c>
      <c r="B38" s="9">
        <v>103670</v>
      </c>
      <c r="C38" s="8" t="s">
        <v>21</v>
      </c>
      <c r="D38" s="13" t="s">
        <v>46</v>
      </c>
      <c r="E38" s="10" t="s">
        <v>35</v>
      </c>
      <c r="F38" s="11">
        <v>4.5199999999999996</v>
      </c>
      <c r="G38" s="11">
        <v>270.14</v>
      </c>
      <c r="H38" s="46">
        <v>331.13</v>
      </c>
      <c r="I38" s="47"/>
      <c r="J38" s="12">
        <v>1496.7</v>
      </c>
    </row>
    <row r="39" spans="1:10" ht="30.3" customHeight="1">
      <c r="A39" s="8" t="s">
        <v>75</v>
      </c>
      <c r="B39" s="9">
        <v>92768</v>
      </c>
      <c r="C39" s="8" t="s">
        <v>21</v>
      </c>
      <c r="D39" s="8" t="s">
        <v>76</v>
      </c>
      <c r="E39" s="10" t="s">
        <v>53</v>
      </c>
      <c r="F39" s="15">
        <v>5.5</v>
      </c>
      <c r="G39" s="11">
        <v>12.49</v>
      </c>
      <c r="H39" s="46">
        <v>15.31</v>
      </c>
      <c r="I39" s="47"/>
      <c r="J39" s="11">
        <v>84.2</v>
      </c>
    </row>
    <row r="40" spans="1:10" ht="30.3" customHeight="1">
      <c r="A40" s="16">
        <v>40213</v>
      </c>
      <c r="B40" s="9">
        <v>92769</v>
      </c>
      <c r="C40" s="8" t="s">
        <v>21</v>
      </c>
      <c r="D40" s="8" t="s">
        <v>77</v>
      </c>
      <c r="E40" s="10" t="s">
        <v>53</v>
      </c>
      <c r="F40" s="15">
        <v>8.1999999999999993</v>
      </c>
      <c r="G40" s="11">
        <v>11.75</v>
      </c>
      <c r="H40" s="46">
        <v>14.4</v>
      </c>
      <c r="I40" s="47"/>
      <c r="J40" s="11">
        <v>118.08</v>
      </c>
    </row>
    <row r="41" spans="1:10" ht="18.75" customHeight="1">
      <c r="A41" s="6" t="s">
        <v>78</v>
      </c>
      <c r="B41" s="5"/>
      <c r="C41" s="5"/>
      <c r="D41" s="6" t="s">
        <v>550</v>
      </c>
      <c r="E41" s="5"/>
      <c r="F41" s="5"/>
      <c r="G41" s="5"/>
      <c r="H41" s="44"/>
      <c r="I41" s="45"/>
      <c r="J41" s="7">
        <v>4669.9399999999996</v>
      </c>
    </row>
    <row r="42" spans="1:10" ht="40.200000000000003" customHeight="1">
      <c r="A42" s="8" t="s">
        <v>79</v>
      </c>
      <c r="B42" s="9">
        <v>103356</v>
      </c>
      <c r="C42" s="8" t="s">
        <v>21</v>
      </c>
      <c r="D42" s="8" t="s">
        <v>80</v>
      </c>
      <c r="E42" s="10" t="s">
        <v>23</v>
      </c>
      <c r="F42" s="11">
        <v>56.17</v>
      </c>
      <c r="G42" s="11">
        <v>55.26</v>
      </c>
      <c r="H42" s="46">
        <v>67.73</v>
      </c>
      <c r="I42" s="47"/>
      <c r="J42" s="12">
        <v>3804.39</v>
      </c>
    </row>
    <row r="43" spans="1:10" ht="22.5" customHeight="1">
      <c r="A43" s="8" t="s">
        <v>81</v>
      </c>
      <c r="B43" s="9">
        <v>105023</v>
      </c>
      <c r="C43" s="8" t="s">
        <v>21</v>
      </c>
      <c r="D43" s="13" t="s">
        <v>82</v>
      </c>
      <c r="E43" s="10" t="s">
        <v>26</v>
      </c>
      <c r="F43" s="15">
        <v>8.1</v>
      </c>
      <c r="G43" s="11">
        <v>58.42</v>
      </c>
      <c r="H43" s="46">
        <v>71.61</v>
      </c>
      <c r="I43" s="47"/>
      <c r="J43" s="11">
        <v>580.04</v>
      </c>
    </row>
    <row r="44" spans="1:10" ht="22.5" customHeight="1">
      <c r="A44" s="8" t="s">
        <v>83</v>
      </c>
      <c r="B44" s="9">
        <v>105029</v>
      </c>
      <c r="C44" s="8" t="s">
        <v>21</v>
      </c>
      <c r="D44" s="13" t="s">
        <v>84</v>
      </c>
      <c r="E44" s="10" t="s">
        <v>26</v>
      </c>
      <c r="F44" s="15">
        <v>5.3</v>
      </c>
      <c r="G44" s="11">
        <v>43.95</v>
      </c>
      <c r="H44" s="46">
        <v>53.87</v>
      </c>
      <c r="I44" s="47"/>
      <c r="J44" s="11">
        <v>285.51</v>
      </c>
    </row>
    <row r="45" spans="1:10" ht="18.75" customHeight="1">
      <c r="A45" s="6" t="s">
        <v>85</v>
      </c>
      <c r="B45" s="5"/>
      <c r="C45" s="5"/>
      <c r="D45" s="6" t="s">
        <v>551</v>
      </c>
      <c r="E45" s="5"/>
      <c r="F45" s="5"/>
      <c r="G45" s="5"/>
      <c r="H45" s="44"/>
      <c r="I45" s="45"/>
      <c r="J45" s="7">
        <v>12028.4</v>
      </c>
    </row>
    <row r="46" spans="1:10" ht="30.3" customHeight="1">
      <c r="A46" s="8" t="s">
        <v>86</v>
      </c>
      <c r="B46" s="9">
        <v>87878</v>
      </c>
      <c r="C46" s="8" t="s">
        <v>21</v>
      </c>
      <c r="D46" s="13" t="s">
        <v>87</v>
      </c>
      <c r="E46" s="10" t="s">
        <v>23</v>
      </c>
      <c r="F46" s="11">
        <v>56.17</v>
      </c>
      <c r="G46" s="11">
        <v>4.5</v>
      </c>
      <c r="H46" s="46">
        <v>5.51</v>
      </c>
      <c r="I46" s="47"/>
      <c r="J46" s="11">
        <v>309.49</v>
      </c>
    </row>
    <row r="47" spans="1:10" ht="40.200000000000003" customHeight="1">
      <c r="A47" s="8" t="s">
        <v>88</v>
      </c>
      <c r="B47" s="9">
        <v>87545</v>
      </c>
      <c r="C47" s="8" t="s">
        <v>21</v>
      </c>
      <c r="D47" s="8" t="s">
        <v>89</v>
      </c>
      <c r="E47" s="10" t="s">
        <v>23</v>
      </c>
      <c r="F47" s="11">
        <v>33.18</v>
      </c>
      <c r="G47" s="11">
        <v>26.44</v>
      </c>
      <c r="H47" s="46">
        <v>32.409999999999997</v>
      </c>
      <c r="I47" s="47"/>
      <c r="J47" s="12">
        <v>1075.3599999999999</v>
      </c>
    </row>
    <row r="48" spans="1:10" ht="40.200000000000003" customHeight="1">
      <c r="A48" s="8" t="s">
        <v>90</v>
      </c>
      <c r="B48" s="9">
        <v>87529</v>
      </c>
      <c r="C48" s="8" t="s">
        <v>21</v>
      </c>
      <c r="D48" s="8" t="s">
        <v>91</v>
      </c>
      <c r="E48" s="10" t="s">
        <v>23</v>
      </c>
      <c r="F48" s="11">
        <v>33.18</v>
      </c>
      <c r="G48" s="11">
        <v>32.880000000000003</v>
      </c>
      <c r="H48" s="46">
        <v>40.299999999999997</v>
      </c>
      <c r="I48" s="47"/>
      <c r="J48" s="12">
        <v>1337.15</v>
      </c>
    </row>
    <row r="49" spans="1:10" ht="30.3" customHeight="1">
      <c r="A49" s="8" t="s">
        <v>92</v>
      </c>
      <c r="B49" s="17" t="s">
        <v>93</v>
      </c>
      <c r="C49" s="8" t="s">
        <v>94</v>
      </c>
      <c r="D49" s="8" t="s">
        <v>95</v>
      </c>
      <c r="E49" s="10" t="s">
        <v>23</v>
      </c>
      <c r="F49" s="11">
        <v>33.18</v>
      </c>
      <c r="G49" s="11">
        <v>61.11</v>
      </c>
      <c r="H49" s="46">
        <v>74.900000000000006</v>
      </c>
      <c r="I49" s="47"/>
      <c r="J49" s="12">
        <v>2485.1799999999998</v>
      </c>
    </row>
    <row r="50" spans="1:10" ht="40.200000000000003" customHeight="1">
      <c r="A50" s="8" t="s">
        <v>96</v>
      </c>
      <c r="B50" s="9">
        <v>87908</v>
      </c>
      <c r="C50" s="8" t="s">
        <v>21</v>
      </c>
      <c r="D50" s="13" t="s">
        <v>97</v>
      </c>
      <c r="E50" s="10" t="s">
        <v>23</v>
      </c>
      <c r="F50" s="11">
        <v>47.35</v>
      </c>
      <c r="G50" s="11">
        <v>5.58</v>
      </c>
      <c r="H50" s="46">
        <v>6.83</v>
      </c>
      <c r="I50" s="47"/>
      <c r="J50" s="11">
        <v>323.39999999999998</v>
      </c>
    </row>
    <row r="51" spans="1:10" ht="40.200000000000003" customHeight="1">
      <c r="A51" s="8" t="s">
        <v>98</v>
      </c>
      <c r="B51" s="9">
        <v>104218</v>
      </c>
      <c r="C51" s="8" t="s">
        <v>21</v>
      </c>
      <c r="D51" s="13" t="s">
        <v>99</v>
      </c>
      <c r="E51" s="10" t="s">
        <v>23</v>
      </c>
      <c r="F51" s="11">
        <v>47.35</v>
      </c>
      <c r="G51" s="11">
        <v>50.25</v>
      </c>
      <c r="H51" s="46">
        <v>61.59</v>
      </c>
      <c r="I51" s="47"/>
      <c r="J51" s="12">
        <v>2916.28</v>
      </c>
    </row>
    <row r="52" spans="1:10" ht="30.3" customHeight="1">
      <c r="A52" s="8" t="s">
        <v>100</v>
      </c>
      <c r="B52" s="9">
        <v>13</v>
      </c>
      <c r="C52" s="8" t="s">
        <v>94</v>
      </c>
      <c r="D52" s="8" t="s">
        <v>101</v>
      </c>
      <c r="E52" s="10" t="s">
        <v>23</v>
      </c>
      <c r="F52" s="11">
        <v>28.22</v>
      </c>
      <c r="G52" s="11">
        <v>62.65</v>
      </c>
      <c r="H52" s="46">
        <v>76.790000000000006</v>
      </c>
      <c r="I52" s="47"/>
      <c r="J52" s="12">
        <v>2167.0100000000002</v>
      </c>
    </row>
    <row r="53" spans="1:10" ht="30.3" customHeight="1">
      <c r="A53" s="8" t="s">
        <v>102</v>
      </c>
      <c r="B53" s="17" t="s">
        <v>93</v>
      </c>
      <c r="C53" s="8" t="s">
        <v>94</v>
      </c>
      <c r="D53" s="8" t="s">
        <v>95</v>
      </c>
      <c r="E53" s="10" t="s">
        <v>23</v>
      </c>
      <c r="F53" s="11">
        <v>13.64</v>
      </c>
      <c r="G53" s="11">
        <v>61.11</v>
      </c>
      <c r="H53" s="46">
        <v>74.900000000000006</v>
      </c>
      <c r="I53" s="47"/>
      <c r="J53" s="12">
        <v>1021.63</v>
      </c>
    </row>
    <row r="54" spans="1:10" ht="22.5" customHeight="1">
      <c r="A54" s="8" t="s">
        <v>103</v>
      </c>
      <c r="B54" s="9">
        <v>98555</v>
      </c>
      <c r="C54" s="8" t="s">
        <v>21</v>
      </c>
      <c r="D54" s="13" t="s">
        <v>104</v>
      </c>
      <c r="E54" s="10" t="s">
        <v>23</v>
      </c>
      <c r="F54" s="9">
        <v>10</v>
      </c>
      <c r="G54" s="11">
        <v>32.06</v>
      </c>
      <c r="H54" s="46">
        <v>39.29</v>
      </c>
      <c r="I54" s="47"/>
      <c r="J54" s="11">
        <v>392.9</v>
      </c>
    </row>
    <row r="55" spans="1:10" ht="18.75" customHeight="1">
      <c r="A55" s="6" t="s">
        <v>105</v>
      </c>
      <c r="B55" s="5"/>
      <c r="C55" s="5"/>
      <c r="D55" s="6" t="s">
        <v>552</v>
      </c>
      <c r="E55" s="5"/>
      <c r="F55" s="5"/>
      <c r="G55" s="5"/>
      <c r="H55" s="44"/>
      <c r="I55" s="45"/>
      <c r="J55" s="14">
        <v>913.62</v>
      </c>
    </row>
    <row r="56" spans="1:10" ht="30.3" customHeight="1">
      <c r="A56" s="8" t="s">
        <v>106</v>
      </c>
      <c r="B56" s="9">
        <v>96486</v>
      </c>
      <c r="C56" s="8" t="s">
        <v>21</v>
      </c>
      <c r="D56" s="8" t="s">
        <v>107</v>
      </c>
      <c r="E56" s="10" t="s">
        <v>23</v>
      </c>
      <c r="F56" s="15">
        <v>9.6</v>
      </c>
      <c r="G56" s="11">
        <v>59.63</v>
      </c>
      <c r="H56" s="46">
        <v>73.09</v>
      </c>
      <c r="I56" s="47"/>
      <c r="J56" s="11">
        <v>701.66</v>
      </c>
    </row>
    <row r="57" spans="1:10" ht="22.5" customHeight="1">
      <c r="A57" s="8" t="s">
        <v>108</v>
      </c>
      <c r="B57" s="9">
        <v>96121</v>
      </c>
      <c r="C57" s="8" t="s">
        <v>21</v>
      </c>
      <c r="D57" s="13" t="s">
        <v>109</v>
      </c>
      <c r="E57" s="10" t="s">
        <v>26</v>
      </c>
      <c r="F57" s="15">
        <v>18.399999999999999</v>
      </c>
      <c r="G57" s="11">
        <v>9.4</v>
      </c>
      <c r="H57" s="46">
        <v>11.52</v>
      </c>
      <c r="I57" s="47"/>
      <c r="J57" s="11">
        <v>211.96</v>
      </c>
    </row>
    <row r="58" spans="1:10" ht="18.75" customHeight="1">
      <c r="A58" s="6" t="s">
        <v>110</v>
      </c>
      <c r="B58" s="5"/>
      <c r="C58" s="5"/>
      <c r="D58" s="6" t="s">
        <v>553</v>
      </c>
      <c r="E58" s="5"/>
      <c r="F58" s="5"/>
      <c r="G58" s="5"/>
      <c r="H58" s="44"/>
      <c r="I58" s="45"/>
      <c r="J58" s="7">
        <v>1505.66</v>
      </c>
    </row>
    <row r="59" spans="1:10" ht="30.3" customHeight="1">
      <c r="A59" s="8" t="s">
        <v>111</v>
      </c>
      <c r="B59" s="9">
        <v>95241</v>
      </c>
      <c r="C59" s="8" t="s">
        <v>21</v>
      </c>
      <c r="D59" s="8" t="s">
        <v>112</v>
      </c>
      <c r="E59" s="10" t="s">
        <v>23</v>
      </c>
      <c r="F59" s="15">
        <v>9.6</v>
      </c>
      <c r="G59" s="11">
        <v>33.9</v>
      </c>
      <c r="H59" s="46">
        <v>41.55</v>
      </c>
      <c r="I59" s="47"/>
      <c r="J59" s="11">
        <v>398.88</v>
      </c>
    </row>
    <row r="60" spans="1:10" ht="40.200000000000003" customHeight="1">
      <c r="A60" s="8" t="s">
        <v>113</v>
      </c>
      <c r="B60" s="9">
        <v>87622</v>
      </c>
      <c r="C60" s="8" t="s">
        <v>21</v>
      </c>
      <c r="D60" s="8" t="s">
        <v>114</v>
      </c>
      <c r="E60" s="10" t="s">
        <v>23</v>
      </c>
      <c r="F60" s="15">
        <v>9.6</v>
      </c>
      <c r="G60" s="11">
        <v>32.950000000000003</v>
      </c>
      <c r="H60" s="46">
        <v>40.39</v>
      </c>
      <c r="I60" s="47"/>
      <c r="J60" s="11">
        <v>387.74</v>
      </c>
    </row>
    <row r="61" spans="1:10" ht="30.3" customHeight="1">
      <c r="A61" s="8" t="s">
        <v>115</v>
      </c>
      <c r="B61" s="17" t="s">
        <v>93</v>
      </c>
      <c r="C61" s="8" t="s">
        <v>94</v>
      </c>
      <c r="D61" s="8" t="s">
        <v>95</v>
      </c>
      <c r="E61" s="10" t="s">
        <v>23</v>
      </c>
      <c r="F61" s="15">
        <v>9.6</v>
      </c>
      <c r="G61" s="11">
        <v>61.11</v>
      </c>
      <c r="H61" s="46">
        <v>74.900000000000006</v>
      </c>
      <c r="I61" s="47"/>
      <c r="J61" s="11">
        <v>719.04</v>
      </c>
    </row>
    <row r="62" spans="1:10" ht="18.75" customHeight="1">
      <c r="A62" s="6" t="s">
        <v>116</v>
      </c>
      <c r="B62" s="5"/>
      <c r="C62" s="5"/>
      <c r="D62" s="6" t="s">
        <v>554</v>
      </c>
      <c r="E62" s="5"/>
      <c r="F62" s="5"/>
      <c r="G62" s="5"/>
      <c r="H62" s="44"/>
      <c r="I62" s="45"/>
      <c r="J62" s="7">
        <v>14710.26</v>
      </c>
    </row>
    <row r="63" spans="1:10" ht="18.75" customHeight="1">
      <c r="A63" s="6" t="s">
        <v>117</v>
      </c>
      <c r="B63" s="5"/>
      <c r="C63" s="5"/>
      <c r="D63" s="6" t="s">
        <v>555</v>
      </c>
      <c r="E63" s="5"/>
      <c r="F63" s="5"/>
      <c r="G63" s="5"/>
      <c r="H63" s="44"/>
      <c r="I63" s="45"/>
      <c r="J63" s="7">
        <v>3931.52</v>
      </c>
    </row>
    <row r="64" spans="1:10" ht="22.5" customHeight="1">
      <c r="A64" s="8" t="s">
        <v>118</v>
      </c>
      <c r="B64" s="9">
        <v>102607</v>
      </c>
      <c r="C64" s="8" t="s">
        <v>21</v>
      </c>
      <c r="D64" s="13" t="s">
        <v>119</v>
      </c>
      <c r="E64" s="10" t="s">
        <v>120</v>
      </c>
      <c r="F64" s="9">
        <v>1</v>
      </c>
      <c r="G64" s="11">
        <v>449.24</v>
      </c>
      <c r="H64" s="46">
        <v>550.66999999999996</v>
      </c>
      <c r="I64" s="47"/>
      <c r="J64" s="11">
        <v>550.66999999999996</v>
      </c>
    </row>
    <row r="65" spans="1:10" ht="22.5" customHeight="1">
      <c r="A65" s="8" t="s">
        <v>121</v>
      </c>
      <c r="B65" s="9">
        <v>94795</v>
      </c>
      <c r="C65" s="8" t="s">
        <v>21</v>
      </c>
      <c r="D65" s="13" t="s">
        <v>122</v>
      </c>
      <c r="E65" s="10" t="s">
        <v>120</v>
      </c>
      <c r="F65" s="9">
        <v>1</v>
      </c>
      <c r="G65" s="11">
        <v>43.06</v>
      </c>
      <c r="H65" s="46">
        <v>52.78</v>
      </c>
      <c r="I65" s="47"/>
      <c r="J65" s="11">
        <v>52.78</v>
      </c>
    </row>
    <row r="66" spans="1:10" ht="22.5" customHeight="1">
      <c r="A66" s="8" t="s">
        <v>123</v>
      </c>
      <c r="B66" s="9">
        <v>86888</v>
      </c>
      <c r="C66" s="8" t="s">
        <v>21</v>
      </c>
      <c r="D66" s="13" t="s">
        <v>124</v>
      </c>
      <c r="E66" s="10" t="s">
        <v>120</v>
      </c>
      <c r="F66" s="9">
        <v>1</v>
      </c>
      <c r="G66" s="11">
        <v>482.31</v>
      </c>
      <c r="H66" s="46">
        <v>591.21</v>
      </c>
      <c r="I66" s="47"/>
      <c r="J66" s="11">
        <v>591.21</v>
      </c>
    </row>
    <row r="67" spans="1:10" ht="20.25" customHeight="1">
      <c r="A67" s="18" t="s">
        <v>125</v>
      </c>
      <c r="B67" s="19">
        <v>1370</v>
      </c>
      <c r="C67" s="18" t="s">
        <v>21</v>
      </c>
      <c r="D67" s="18" t="s">
        <v>126</v>
      </c>
      <c r="E67" s="20" t="s">
        <v>120</v>
      </c>
      <c r="F67" s="21">
        <v>1</v>
      </c>
      <c r="G67" s="22">
        <v>115.41</v>
      </c>
      <c r="H67" s="48">
        <v>141.46</v>
      </c>
      <c r="I67" s="49"/>
      <c r="J67" s="22">
        <v>141.46</v>
      </c>
    </row>
    <row r="68" spans="1:10" ht="30.3" customHeight="1">
      <c r="A68" s="18" t="s">
        <v>127</v>
      </c>
      <c r="B68" s="19">
        <v>10427</v>
      </c>
      <c r="C68" s="18" t="s">
        <v>21</v>
      </c>
      <c r="D68" s="18" t="s">
        <v>128</v>
      </c>
      <c r="E68" s="20" t="s">
        <v>120</v>
      </c>
      <c r="F68" s="21">
        <v>1</v>
      </c>
      <c r="G68" s="22">
        <v>486.81</v>
      </c>
      <c r="H68" s="48">
        <v>596.73</v>
      </c>
      <c r="I68" s="49"/>
      <c r="J68" s="22">
        <v>596.73</v>
      </c>
    </row>
    <row r="69" spans="1:10" ht="20.25" customHeight="1">
      <c r="A69" s="18" t="s">
        <v>129</v>
      </c>
      <c r="B69" s="19">
        <v>6136</v>
      </c>
      <c r="C69" s="18" t="s">
        <v>21</v>
      </c>
      <c r="D69" s="18" t="s">
        <v>130</v>
      </c>
      <c r="E69" s="20" t="s">
        <v>120</v>
      </c>
      <c r="F69" s="21">
        <v>1</v>
      </c>
      <c r="G69" s="22">
        <v>168.46</v>
      </c>
      <c r="H69" s="48">
        <v>206.49</v>
      </c>
      <c r="I69" s="49"/>
      <c r="J69" s="22">
        <v>206.49</v>
      </c>
    </row>
    <row r="70" spans="1:10" ht="22.5" customHeight="1">
      <c r="A70" s="8" t="s">
        <v>131</v>
      </c>
      <c r="B70" s="9">
        <v>86886</v>
      </c>
      <c r="C70" s="8" t="s">
        <v>21</v>
      </c>
      <c r="D70" s="13" t="s">
        <v>132</v>
      </c>
      <c r="E70" s="10" t="s">
        <v>120</v>
      </c>
      <c r="F70" s="9">
        <v>1</v>
      </c>
      <c r="G70" s="11">
        <v>43.27</v>
      </c>
      <c r="H70" s="46">
        <v>53.04</v>
      </c>
      <c r="I70" s="47"/>
      <c r="J70" s="11">
        <v>53.04</v>
      </c>
    </row>
    <row r="71" spans="1:10" ht="30.3" customHeight="1">
      <c r="A71" s="8" t="s">
        <v>133</v>
      </c>
      <c r="B71" s="9">
        <v>86936</v>
      </c>
      <c r="C71" s="8" t="s">
        <v>21</v>
      </c>
      <c r="D71" s="13" t="s">
        <v>134</v>
      </c>
      <c r="E71" s="10" t="s">
        <v>120</v>
      </c>
      <c r="F71" s="9">
        <v>1</v>
      </c>
      <c r="G71" s="11">
        <v>459.08</v>
      </c>
      <c r="H71" s="46">
        <v>562.74</v>
      </c>
      <c r="I71" s="47"/>
      <c r="J71" s="11">
        <v>562.74</v>
      </c>
    </row>
    <row r="72" spans="1:10" ht="30.3" customHeight="1">
      <c r="A72" s="8" t="s">
        <v>135</v>
      </c>
      <c r="B72" s="9">
        <v>86911</v>
      </c>
      <c r="C72" s="8" t="s">
        <v>21</v>
      </c>
      <c r="D72" s="13" t="s">
        <v>136</v>
      </c>
      <c r="E72" s="10" t="s">
        <v>120</v>
      </c>
      <c r="F72" s="9">
        <v>1</v>
      </c>
      <c r="G72" s="11">
        <v>91.58</v>
      </c>
      <c r="H72" s="46">
        <v>112.25</v>
      </c>
      <c r="I72" s="47"/>
      <c r="J72" s="11">
        <v>112.25</v>
      </c>
    </row>
    <row r="73" spans="1:10" ht="30.3" customHeight="1">
      <c r="A73" s="18" t="s">
        <v>137</v>
      </c>
      <c r="B73" s="19">
        <v>13983</v>
      </c>
      <c r="C73" s="18" t="s">
        <v>21</v>
      </c>
      <c r="D73" s="18" t="s">
        <v>138</v>
      </c>
      <c r="E73" s="20" t="s">
        <v>120</v>
      </c>
      <c r="F73" s="21">
        <v>1</v>
      </c>
      <c r="G73" s="22">
        <v>99.11</v>
      </c>
      <c r="H73" s="48">
        <v>121.48</v>
      </c>
      <c r="I73" s="49"/>
      <c r="J73" s="22">
        <v>121.48</v>
      </c>
    </row>
    <row r="74" spans="1:10" ht="30.3" customHeight="1">
      <c r="A74" s="8" t="s">
        <v>139</v>
      </c>
      <c r="B74" s="9">
        <v>89987</v>
      </c>
      <c r="C74" s="8" t="s">
        <v>21</v>
      </c>
      <c r="D74" s="13" t="s">
        <v>140</v>
      </c>
      <c r="E74" s="10" t="s">
        <v>120</v>
      </c>
      <c r="F74" s="9">
        <v>2</v>
      </c>
      <c r="G74" s="11">
        <v>94.11</v>
      </c>
      <c r="H74" s="46">
        <v>115.36</v>
      </c>
      <c r="I74" s="47"/>
      <c r="J74" s="11">
        <v>230.72</v>
      </c>
    </row>
    <row r="75" spans="1:10" ht="22.5" customHeight="1">
      <c r="A75" s="8" t="s">
        <v>141</v>
      </c>
      <c r="B75" s="9">
        <v>94492</v>
      </c>
      <c r="C75" s="8" t="s">
        <v>21</v>
      </c>
      <c r="D75" s="13" t="s">
        <v>142</v>
      </c>
      <c r="E75" s="10" t="s">
        <v>120</v>
      </c>
      <c r="F75" s="9">
        <v>2</v>
      </c>
      <c r="G75" s="11">
        <v>44.73</v>
      </c>
      <c r="H75" s="46">
        <v>54.83</v>
      </c>
      <c r="I75" s="47"/>
      <c r="J75" s="11">
        <v>109.66</v>
      </c>
    </row>
    <row r="76" spans="1:10" ht="22.5" customHeight="1">
      <c r="A76" s="8" t="s">
        <v>143</v>
      </c>
      <c r="B76" s="9">
        <v>94489</v>
      </c>
      <c r="C76" s="8" t="s">
        <v>21</v>
      </c>
      <c r="D76" s="13" t="s">
        <v>144</v>
      </c>
      <c r="E76" s="10" t="s">
        <v>120</v>
      </c>
      <c r="F76" s="9">
        <v>1</v>
      </c>
      <c r="G76" s="11">
        <v>21.8</v>
      </c>
      <c r="H76" s="46">
        <v>26.72</v>
      </c>
      <c r="I76" s="47"/>
      <c r="J76" s="11">
        <v>26.72</v>
      </c>
    </row>
    <row r="77" spans="1:10" ht="40.200000000000003" customHeight="1">
      <c r="A77" s="8" t="s">
        <v>145</v>
      </c>
      <c r="B77" s="9">
        <v>94656</v>
      </c>
      <c r="C77" s="8" t="s">
        <v>21</v>
      </c>
      <c r="D77" s="8" t="s">
        <v>146</v>
      </c>
      <c r="E77" s="10" t="s">
        <v>120</v>
      </c>
      <c r="F77" s="9">
        <v>2</v>
      </c>
      <c r="G77" s="11">
        <v>2.92</v>
      </c>
      <c r="H77" s="46">
        <v>3.57</v>
      </c>
      <c r="I77" s="47"/>
      <c r="J77" s="11">
        <v>7.14</v>
      </c>
    </row>
    <row r="78" spans="1:10" ht="30.3" customHeight="1">
      <c r="A78" s="8" t="s">
        <v>147</v>
      </c>
      <c r="B78" s="9">
        <v>103966</v>
      </c>
      <c r="C78" s="8" t="s">
        <v>21</v>
      </c>
      <c r="D78" s="13" t="s">
        <v>148</v>
      </c>
      <c r="E78" s="10" t="s">
        <v>120</v>
      </c>
      <c r="F78" s="9">
        <v>1</v>
      </c>
      <c r="G78" s="11">
        <v>8.2799999999999994</v>
      </c>
      <c r="H78" s="46">
        <v>10.14</v>
      </c>
      <c r="I78" s="47"/>
      <c r="J78" s="11">
        <v>10.14</v>
      </c>
    </row>
    <row r="79" spans="1:10" ht="30.3" customHeight="1">
      <c r="A79" s="8" t="s">
        <v>149</v>
      </c>
      <c r="B79" s="9">
        <v>89364</v>
      </c>
      <c r="C79" s="8" t="s">
        <v>21</v>
      </c>
      <c r="D79" s="8" t="s">
        <v>150</v>
      </c>
      <c r="E79" s="10" t="s">
        <v>120</v>
      </c>
      <c r="F79" s="9">
        <v>8</v>
      </c>
      <c r="G79" s="11">
        <v>10.33</v>
      </c>
      <c r="H79" s="46">
        <v>12.66</v>
      </c>
      <c r="I79" s="47"/>
      <c r="J79" s="11">
        <v>101.28</v>
      </c>
    </row>
    <row r="80" spans="1:10" ht="30.3" customHeight="1">
      <c r="A80" s="8" t="s">
        <v>151</v>
      </c>
      <c r="B80" s="9">
        <v>103986</v>
      </c>
      <c r="C80" s="8" t="s">
        <v>21</v>
      </c>
      <c r="D80" s="8" t="s">
        <v>152</v>
      </c>
      <c r="E80" s="10" t="s">
        <v>120</v>
      </c>
      <c r="F80" s="9">
        <v>1</v>
      </c>
      <c r="G80" s="11">
        <v>24.49</v>
      </c>
      <c r="H80" s="46">
        <v>30.01</v>
      </c>
      <c r="I80" s="47"/>
      <c r="J80" s="11">
        <v>30.01</v>
      </c>
    </row>
    <row r="81" spans="1:10" ht="30.3" customHeight="1">
      <c r="A81" s="8" t="s">
        <v>153</v>
      </c>
      <c r="B81" s="9">
        <v>89363</v>
      </c>
      <c r="C81" s="8" t="s">
        <v>21</v>
      </c>
      <c r="D81" s="8" t="s">
        <v>154</v>
      </c>
      <c r="E81" s="10" t="s">
        <v>120</v>
      </c>
      <c r="F81" s="9">
        <v>7</v>
      </c>
      <c r="G81" s="11">
        <v>8.93</v>
      </c>
      <c r="H81" s="46">
        <v>10.94</v>
      </c>
      <c r="I81" s="47"/>
      <c r="J81" s="11">
        <v>76.58</v>
      </c>
    </row>
    <row r="82" spans="1:10" ht="30.3" customHeight="1">
      <c r="A82" s="8" t="s">
        <v>155</v>
      </c>
      <c r="B82" s="9">
        <v>89408</v>
      </c>
      <c r="C82" s="8" t="s">
        <v>21</v>
      </c>
      <c r="D82" s="13" t="s">
        <v>156</v>
      </c>
      <c r="E82" s="10" t="s">
        <v>120</v>
      </c>
      <c r="F82" s="9">
        <v>7</v>
      </c>
      <c r="G82" s="11">
        <v>7.49</v>
      </c>
      <c r="H82" s="46">
        <v>9.18</v>
      </c>
      <c r="I82" s="47"/>
      <c r="J82" s="11">
        <v>64.260000000000005</v>
      </c>
    </row>
    <row r="83" spans="1:10" ht="40.200000000000003" customHeight="1">
      <c r="A83" s="8" t="s">
        <v>157</v>
      </c>
      <c r="B83" s="9">
        <v>89731</v>
      </c>
      <c r="C83" s="8" t="s">
        <v>21</v>
      </c>
      <c r="D83" s="8" t="s">
        <v>158</v>
      </c>
      <c r="E83" s="10" t="s">
        <v>120</v>
      </c>
      <c r="F83" s="9">
        <v>1</v>
      </c>
      <c r="G83" s="11">
        <v>13.89</v>
      </c>
      <c r="H83" s="46">
        <v>17.02</v>
      </c>
      <c r="I83" s="47"/>
      <c r="J83" s="11">
        <v>17.02</v>
      </c>
    </row>
    <row r="84" spans="1:10" ht="30.3" customHeight="1">
      <c r="A84" s="8" t="s">
        <v>159</v>
      </c>
      <c r="B84" s="9">
        <v>105189</v>
      </c>
      <c r="C84" s="8" t="s">
        <v>21</v>
      </c>
      <c r="D84" s="13" t="s">
        <v>160</v>
      </c>
      <c r="E84" s="10" t="s">
        <v>120</v>
      </c>
      <c r="F84" s="9">
        <v>1</v>
      </c>
      <c r="G84" s="11">
        <v>18.579999999999998</v>
      </c>
      <c r="H84" s="46">
        <v>22.77</v>
      </c>
      <c r="I84" s="47"/>
      <c r="J84" s="11">
        <v>22.77</v>
      </c>
    </row>
    <row r="85" spans="1:10" ht="22.5" customHeight="1">
      <c r="A85" s="8" t="s">
        <v>161</v>
      </c>
      <c r="B85" s="9">
        <v>89617</v>
      </c>
      <c r="C85" s="8" t="s">
        <v>21</v>
      </c>
      <c r="D85" s="13" t="s">
        <v>162</v>
      </c>
      <c r="E85" s="23" t="s">
        <v>120</v>
      </c>
      <c r="F85" s="9">
        <v>3</v>
      </c>
      <c r="G85" s="11">
        <v>6.45</v>
      </c>
      <c r="H85" s="46">
        <v>7.9</v>
      </c>
      <c r="I85" s="47"/>
      <c r="J85" s="11">
        <v>23.7</v>
      </c>
    </row>
    <row r="86" spans="1:10" ht="30.3" customHeight="1">
      <c r="A86" s="8" t="s">
        <v>163</v>
      </c>
      <c r="B86" s="9">
        <v>94694</v>
      </c>
      <c r="C86" s="8" t="s">
        <v>21</v>
      </c>
      <c r="D86" s="8" t="s">
        <v>164</v>
      </c>
      <c r="E86" s="23" t="s">
        <v>120</v>
      </c>
      <c r="F86" s="9">
        <v>1</v>
      </c>
      <c r="G86" s="11">
        <v>20.309999999999999</v>
      </c>
      <c r="H86" s="46">
        <v>24.89</v>
      </c>
      <c r="I86" s="47"/>
      <c r="J86" s="11">
        <v>24.89</v>
      </c>
    </row>
    <row r="87" spans="1:10" ht="22.5" customHeight="1">
      <c r="A87" s="8" t="s">
        <v>165</v>
      </c>
      <c r="B87" s="9">
        <v>89446</v>
      </c>
      <c r="C87" s="8" t="s">
        <v>21</v>
      </c>
      <c r="D87" s="13" t="s">
        <v>166</v>
      </c>
      <c r="E87" s="23" t="s">
        <v>26</v>
      </c>
      <c r="F87" s="11">
        <v>20.260000000000002</v>
      </c>
      <c r="G87" s="11">
        <v>4.97</v>
      </c>
      <c r="H87" s="46">
        <v>6.09</v>
      </c>
      <c r="I87" s="47"/>
      <c r="J87" s="11">
        <v>123.38</v>
      </c>
    </row>
    <row r="88" spans="1:10" ht="22.5" customHeight="1">
      <c r="A88" s="8" t="s">
        <v>167</v>
      </c>
      <c r="B88" s="9">
        <v>89449</v>
      </c>
      <c r="C88" s="8" t="s">
        <v>21</v>
      </c>
      <c r="D88" s="13" t="s">
        <v>168</v>
      </c>
      <c r="E88" s="23" t="s">
        <v>26</v>
      </c>
      <c r="F88" s="11">
        <v>3.61</v>
      </c>
      <c r="G88" s="11">
        <v>16.82</v>
      </c>
      <c r="H88" s="46">
        <v>20.61</v>
      </c>
      <c r="I88" s="47"/>
      <c r="J88" s="11">
        <v>74.400000000000006</v>
      </c>
    </row>
    <row r="89" spans="1:10" ht="18.75" customHeight="1">
      <c r="A89" s="6" t="s">
        <v>169</v>
      </c>
      <c r="B89" s="5"/>
      <c r="C89" s="5"/>
      <c r="D89" s="6" t="s">
        <v>556</v>
      </c>
      <c r="E89" s="5"/>
      <c r="F89" s="5"/>
      <c r="G89" s="5"/>
      <c r="H89" s="44"/>
      <c r="I89" s="45"/>
      <c r="J89" s="7">
        <v>5307.68</v>
      </c>
    </row>
    <row r="90" spans="1:10" ht="30.3" customHeight="1">
      <c r="A90" s="8" t="s">
        <v>170</v>
      </c>
      <c r="B90" s="9">
        <v>91914</v>
      </c>
      <c r="C90" s="8" t="s">
        <v>21</v>
      </c>
      <c r="D90" s="13" t="s">
        <v>171</v>
      </c>
      <c r="E90" s="23" t="s">
        <v>120</v>
      </c>
      <c r="F90" s="9">
        <v>2</v>
      </c>
      <c r="G90" s="11">
        <v>15.16</v>
      </c>
      <c r="H90" s="46">
        <v>18.579999999999998</v>
      </c>
      <c r="I90" s="47"/>
      <c r="J90" s="11">
        <v>37.159999999999997</v>
      </c>
    </row>
    <row r="91" spans="1:10" ht="30.3" customHeight="1">
      <c r="A91" s="8" t="s">
        <v>172</v>
      </c>
      <c r="B91" s="9">
        <v>91884</v>
      </c>
      <c r="C91" s="8" t="s">
        <v>21</v>
      </c>
      <c r="D91" s="13" t="s">
        <v>173</v>
      </c>
      <c r="E91" s="23" t="s">
        <v>120</v>
      </c>
      <c r="F91" s="9">
        <v>4</v>
      </c>
      <c r="G91" s="11">
        <v>9.77</v>
      </c>
      <c r="H91" s="46">
        <v>11.97</v>
      </c>
      <c r="I91" s="47"/>
      <c r="J91" s="11">
        <v>47.88</v>
      </c>
    </row>
    <row r="92" spans="1:10" ht="22.5" customHeight="1">
      <c r="A92" s="18" t="s">
        <v>174</v>
      </c>
      <c r="B92" s="19">
        <v>39470</v>
      </c>
      <c r="C92" s="18" t="s">
        <v>21</v>
      </c>
      <c r="D92" s="24" t="s">
        <v>175</v>
      </c>
      <c r="E92" s="25" t="s">
        <v>120</v>
      </c>
      <c r="F92" s="21">
        <v>2</v>
      </c>
      <c r="G92" s="22">
        <v>73.13</v>
      </c>
      <c r="H92" s="48">
        <v>89.64</v>
      </c>
      <c r="I92" s="49"/>
      <c r="J92" s="22">
        <v>179.28</v>
      </c>
    </row>
    <row r="93" spans="1:10" ht="22.5" customHeight="1">
      <c r="A93" s="8" t="s">
        <v>176</v>
      </c>
      <c r="B93" s="9">
        <v>16</v>
      </c>
      <c r="C93" s="8" t="s">
        <v>94</v>
      </c>
      <c r="D93" s="13" t="s">
        <v>177</v>
      </c>
      <c r="E93" s="26" t="s">
        <v>178</v>
      </c>
      <c r="F93" s="9">
        <v>1</v>
      </c>
      <c r="G93" s="11">
        <v>160.38999999999999</v>
      </c>
      <c r="H93" s="46">
        <v>196.6</v>
      </c>
      <c r="I93" s="47"/>
      <c r="J93" s="11">
        <v>196.6</v>
      </c>
    </row>
    <row r="94" spans="1:10" ht="22.5" customHeight="1">
      <c r="A94" s="8" t="s">
        <v>179</v>
      </c>
      <c r="B94" s="9">
        <v>93653</v>
      </c>
      <c r="C94" s="8" t="s">
        <v>21</v>
      </c>
      <c r="D94" s="13" t="s">
        <v>180</v>
      </c>
      <c r="E94" s="23" t="s">
        <v>120</v>
      </c>
      <c r="F94" s="9">
        <v>1</v>
      </c>
      <c r="G94" s="11">
        <v>10.130000000000001</v>
      </c>
      <c r="H94" s="46">
        <v>12.41</v>
      </c>
      <c r="I94" s="47"/>
      <c r="J94" s="11">
        <v>12.41</v>
      </c>
    </row>
    <row r="95" spans="1:10" ht="22.5" customHeight="1">
      <c r="A95" s="8" t="s">
        <v>181</v>
      </c>
      <c r="B95" s="9">
        <v>93654</v>
      </c>
      <c r="C95" s="8" t="s">
        <v>21</v>
      </c>
      <c r="D95" s="13" t="s">
        <v>182</v>
      </c>
      <c r="E95" s="23" t="s">
        <v>120</v>
      </c>
      <c r="F95" s="9">
        <v>1</v>
      </c>
      <c r="G95" s="11">
        <v>10.71</v>
      </c>
      <c r="H95" s="46">
        <v>13.12</v>
      </c>
      <c r="I95" s="47"/>
      <c r="J95" s="11">
        <v>13.12</v>
      </c>
    </row>
    <row r="96" spans="1:10" ht="22.5" customHeight="1">
      <c r="A96" s="8" t="s">
        <v>183</v>
      </c>
      <c r="B96" s="9">
        <v>93657</v>
      </c>
      <c r="C96" s="8" t="s">
        <v>21</v>
      </c>
      <c r="D96" s="13" t="s">
        <v>184</v>
      </c>
      <c r="E96" s="23" t="s">
        <v>120</v>
      </c>
      <c r="F96" s="9">
        <v>1</v>
      </c>
      <c r="G96" s="11">
        <v>13.23</v>
      </c>
      <c r="H96" s="46">
        <v>16.21</v>
      </c>
      <c r="I96" s="47"/>
      <c r="J96" s="11">
        <v>16.21</v>
      </c>
    </row>
    <row r="97" spans="1:10" ht="30.3" customHeight="1">
      <c r="A97" s="8" t="s">
        <v>185</v>
      </c>
      <c r="B97" s="9">
        <v>91953</v>
      </c>
      <c r="C97" s="8" t="s">
        <v>21</v>
      </c>
      <c r="D97" s="8" t="s">
        <v>186</v>
      </c>
      <c r="E97" s="23" t="s">
        <v>120</v>
      </c>
      <c r="F97" s="9">
        <v>1</v>
      </c>
      <c r="G97" s="11">
        <v>26.24</v>
      </c>
      <c r="H97" s="46">
        <v>32.159999999999997</v>
      </c>
      <c r="I97" s="47"/>
      <c r="J97" s="11">
        <v>32.159999999999997</v>
      </c>
    </row>
    <row r="98" spans="1:10" ht="30.3" customHeight="1">
      <c r="A98" s="8" t="s">
        <v>187</v>
      </c>
      <c r="B98" s="9">
        <v>91967</v>
      </c>
      <c r="C98" s="8" t="s">
        <v>21</v>
      </c>
      <c r="D98" s="8" t="s">
        <v>188</v>
      </c>
      <c r="E98" s="23" t="s">
        <v>120</v>
      </c>
      <c r="F98" s="9">
        <v>1</v>
      </c>
      <c r="G98" s="11">
        <v>53.66</v>
      </c>
      <c r="H98" s="46">
        <v>65.77</v>
      </c>
      <c r="I98" s="47"/>
      <c r="J98" s="11">
        <v>65.77</v>
      </c>
    </row>
    <row r="99" spans="1:10" ht="30.3" customHeight="1">
      <c r="A99" s="8" t="s">
        <v>189</v>
      </c>
      <c r="B99" s="9">
        <v>101876</v>
      </c>
      <c r="C99" s="8" t="s">
        <v>21</v>
      </c>
      <c r="D99" s="13" t="s">
        <v>190</v>
      </c>
      <c r="E99" s="23" t="s">
        <v>120</v>
      </c>
      <c r="F99" s="9">
        <v>1</v>
      </c>
      <c r="G99" s="11">
        <v>97.32</v>
      </c>
      <c r="H99" s="46">
        <v>119.29</v>
      </c>
      <c r="I99" s="47"/>
      <c r="J99" s="11">
        <v>119.29</v>
      </c>
    </row>
    <row r="100" spans="1:10" ht="30.3" customHeight="1">
      <c r="A100" s="8" t="s">
        <v>191</v>
      </c>
      <c r="B100" s="9">
        <v>97886</v>
      </c>
      <c r="C100" s="8" t="s">
        <v>21</v>
      </c>
      <c r="D100" s="13" t="s">
        <v>192</v>
      </c>
      <c r="E100" s="23" t="s">
        <v>120</v>
      </c>
      <c r="F100" s="9">
        <v>1</v>
      </c>
      <c r="G100" s="11">
        <v>149.16999999999999</v>
      </c>
      <c r="H100" s="46">
        <v>182.85</v>
      </c>
      <c r="I100" s="47"/>
      <c r="J100" s="11">
        <v>182.85</v>
      </c>
    </row>
    <row r="101" spans="1:10" ht="22.5" customHeight="1">
      <c r="A101" s="8" t="s">
        <v>193</v>
      </c>
      <c r="B101" s="9">
        <v>96985</v>
      </c>
      <c r="C101" s="8" t="s">
        <v>21</v>
      </c>
      <c r="D101" s="13" t="s">
        <v>194</v>
      </c>
      <c r="E101" s="23" t="s">
        <v>120</v>
      </c>
      <c r="F101" s="9">
        <v>1</v>
      </c>
      <c r="G101" s="11">
        <v>81.489999999999995</v>
      </c>
      <c r="H101" s="46">
        <v>99.89</v>
      </c>
      <c r="I101" s="47"/>
      <c r="J101" s="11">
        <v>99.89</v>
      </c>
    </row>
    <row r="102" spans="1:10" ht="22.5" customHeight="1">
      <c r="A102" s="8" t="s">
        <v>195</v>
      </c>
      <c r="B102" s="9">
        <v>17</v>
      </c>
      <c r="C102" s="8" t="s">
        <v>94</v>
      </c>
      <c r="D102" s="13" t="s">
        <v>196</v>
      </c>
      <c r="E102" s="26" t="s">
        <v>178</v>
      </c>
      <c r="F102" s="9">
        <v>1</v>
      </c>
      <c r="G102" s="11">
        <v>58.17</v>
      </c>
      <c r="H102" s="46">
        <v>71.3</v>
      </c>
      <c r="I102" s="47"/>
      <c r="J102" s="11">
        <v>71.3</v>
      </c>
    </row>
    <row r="103" spans="1:10" ht="30.3" customHeight="1">
      <c r="A103" s="8" t="s">
        <v>197</v>
      </c>
      <c r="B103" s="9">
        <v>91998</v>
      </c>
      <c r="C103" s="8" t="s">
        <v>21</v>
      </c>
      <c r="D103" s="8" t="s">
        <v>198</v>
      </c>
      <c r="E103" s="10" t="s">
        <v>120</v>
      </c>
      <c r="F103" s="9">
        <v>3</v>
      </c>
      <c r="G103" s="11">
        <v>17.850000000000001</v>
      </c>
      <c r="H103" s="46">
        <v>21.88</v>
      </c>
      <c r="I103" s="47"/>
      <c r="J103" s="11">
        <v>65.64</v>
      </c>
    </row>
    <row r="104" spans="1:10" ht="30.3" customHeight="1">
      <c r="A104" s="8" t="s">
        <v>199</v>
      </c>
      <c r="B104" s="9">
        <v>92004</v>
      </c>
      <c r="C104" s="8" t="s">
        <v>21</v>
      </c>
      <c r="D104" s="8" t="s">
        <v>200</v>
      </c>
      <c r="E104" s="10" t="s">
        <v>120</v>
      </c>
      <c r="F104" s="9">
        <v>1</v>
      </c>
      <c r="G104" s="11">
        <v>49.45</v>
      </c>
      <c r="H104" s="46">
        <v>60.61</v>
      </c>
      <c r="I104" s="47"/>
      <c r="J104" s="11">
        <v>60.61</v>
      </c>
    </row>
    <row r="105" spans="1:10" ht="30.3" customHeight="1">
      <c r="A105" s="8" t="s">
        <v>201</v>
      </c>
      <c r="B105" s="9">
        <v>91931</v>
      </c>
      <c r="C105" s="8" t="s">
        <v>21</v>
      </c>
      <c r="D105" s="13" t="s">
        <v>202</v>
      </c>
      <c r="E105" s="10" t="s">
        <v>26</v>
      </c>
      <c r="F105" s="15">
        <v>127.8</v>
      </c>
      <c r="G105" s="11">
        <v>10.62</v>
      </c>
      <c r="H105" s="46">
        <v>13.01</v>
      </c>
      <c r="I105" s="47"/>
      <c r="J105" s="12">
        <v>1662.67</v>
      </c>
    </row>
    <row r="106" spans="1:10" ht="30.3" customHeight="1">
      <c r="A106" s="8" t="s">
        <v>203</v>
      </c>
      <c r="B106" s="9">
        <v>91924</v>
      </c>
      <c r="C106" s="8" t="s">
        <v>21</v>
      </c>
      <c r="D106" s="13" t="s">
        <v>204</v>
      </c>
      <c r="E106" s="10" t="s">
        <v>26</v>
      </c>
      <c r="F106" s="15">
        <v>111.6</v>
      </c>
      <c r="G106" s="11">
        <v>3.04</v>
      </c>
      <c r="H106" s="46">
        <v>3.72</v>
      </c>
      <c r="I106" s="47"/>
      <c r="J106" s="11">
        <v>415.15</v>
      </c>
    </row>
    <row r="107" spans="1:10" ht="30.3" customHeight="1">
      <c r="A107" s="8" t="s">
        <v>205</v>
      </c>
      <c r="B107" s="9">
        <v>91926</v>
      </c>
      <c r="C107" s="8" t="s">
        <v>21</v>
      </c>
      <c r="D107" s="13" t="s">
        <v>206</v>
      </c>
      <c r="E107" s="10" t="s">
        <v>26</v>
      </c>
      <c r="F107" s="15">
        <v>27.2</v>
      </c>
      <c r="G107" s="11">
        <v>4.47</v>
      </c>
      <c r="H107" s="46">
        <v>5.47</v>
      </c>
      <c r="I107" s="47"/>
      <c r="J107" s="11">
        <v>148.78</v>
      </c>
    </row>
    <row r="108" spans="1:10" ht="20.25" customHeight="1">
      <c r="A108" s="8" t="s">
        <v>207</v>
      </c>
      <c r="B108" s="9">
        <v>23</v>
      </c>
      <c r="C108" s="8" t="s">
        <v>94</v>
      </c>
      <c r="D108" s="8" t="s">
        <v>208</v>
      </c>
      <c r="E108" s="10" t="s">
        <v>26</v>
      </c>
      <c r="F108" s="11">
        <v>38.76</v>
      </c>
      <c r="G108" s="11">
        <v>21.35</v>
      </c>
      <c r="H108" s="46">
        <v>26.17</v>
      </c>
      <c r="I108" s="47"/>
      <c r="J108" s="12">
        <v>1014.34</v>
      </c>
    </row>
    <row r="109" spans="1:10" ht="22.5" customHeight="1">
      <c r="A109" s="8" t="s">
        <v>209</v>
      </c>
      <c r="B109" s="9">
        <v>95727</v>
      </c>
      <c r="C109" s="8" t="s">
        <v>21</v>
      </c>
      <c r="D109" s="13" t="s">
        <v>210</v>
      </c>
      <c r="E109" s="10" t="s">
        <v>26</v>
      </c>
      <c r="F109" s="11">
        <v>28.53</v>
      </c>
      <c r="G109" s="11">
        <v>18.2</v>
      </c>
      <c r="H109" s="46">
        <v>22.3</v>
      </c>
      <c r="I109" s="47"/>
      <c r="J109" s="11">
        <v>636.21</v>
      </c>
    </row>
    <row r="110" spans="1:10" ht="30.3" customHeight="1">
      <c r="A110" s="8" t="s">
        <v>211</v>
      </c>
      <c r="B110" s="9">
        <v>91854</v>
      </c>
      <c r="C110" s="8" t="s">
        <v>21</v>
      </c>
      <c r="D110" s="13" t="s">
        <v>212</v>
      </c>
      <c r="E110" s="10" t="s">
        <v>26</v>
      </c>
      <c r="F110" s="11">
        <v>21.31</v>
      </c>
      <c r="G110" s="11">
        <v>8.82</v>
      </c>
      <c r="H110" s="46">
        <v>10.81</v>
      </c>
      <c r="I110" s="47"/>
      <c r="J110" s="11">
        <v>230.36</v>
      </c>
    </row>
    <row r="111" spans="1:10" ht="18.75" customHeight="1">
      <c r="A111" s="6" t="s">
        <v>557</v>
      </c>
      <c r="B111" s="5"/>
      <c r="C111" s="5"/>
      <c r="D111" s="6" t="s">
        <v>558</v>
      </c>
      <c r="E111" s="5"/>
      <c r="F111" s="5"/>
      <c r="G111" s="5"/>
      <c r="H111" s="44"/>
      <c r="I111" s="45"/>
      <c r="J111" s="7">
        <v>5471.06</v>
      </c>
    </row>
    <row r="112" spans="1:10" ht="40.200000000000003" customHeight="1">
      <c r="A112" s="8" t="s">
        <v>213</v>
      </c>
      <c r="B112" s="9">
        <v>98062</v>
      </c>
      <c r="C112" s="8" t="s">
        <v>21</v>
      </c>
      <c r="D112" s="8" t="s">
        <v>214</v>
      </c>
      <c r="E112" s="10" t="s">
        <v>120</v>
      </c>
      <c r="F112" s="9">
        <v>1</v>
      </c>
      <c r="G112" s="12">
        <v>3082.31</v>
      </c>
      <c r="H112" s="50">
        <v>3778.29</v>
      </c>
      <c r="I112" s="51"/>
      <c r="J112" s="12">
        <v>3778.29</v>
      </c>
    </row>
    <row r="113" spans="1:10" ht="22.5" customHeight="1">
      <c r="A113" s="8" t="s">
        <v>215</v>
      </c>
      <c r="B113" s="9">
        <v>104084</v>
      </c>
      <c r="C113" s="8" t="s">
        <v>21</v>
      </c>
      <c r="D113" s="13" t="s">
        <v>216</v>
      </c>
      <c r="E113" s="10" t="s">
        <v>120</v>
      </c>
      <c r="F113" s="9">
        <v>1</v>
      </c>
      <c r="G113" s="11">
        <v>74.319999999999993</v>
      </c>
      <c r="H113" s="46">
        <v>91.1</v>
      </c>
      <c r="I113" s="47"/>
      <c r="J113" s="11">
        <v>91.1</v>
      </c>
    </row>
    <row r="114" spans="1:10" ht="30.3" customHeight="1">
      <c r="A114" s="8" t="s">
        <v>217</v>
      </c>
      <c r="B114" s="9">
        <v>104065</v>
      </c>
      <c r="C114" s="8" t="s">
        <v>21</v>
      </c>
      <c r="D114" s="8" t="s">
        <v>218</v>
      </c>
      <c r="E114" s="10" t="s">
        <v>120</v>
      </c>
      <c r="F114" s="9">
        <v>1</v>
      </c>
      <c r="G114" s="11">
        <v>131.69999999999999</v>
      </c>
      <c r="H114" s="46">
        <v>161.43</v>
      </c>
      <c r="I114" s="47"/>
      <c r="J114" s="11">
        <v>161.43</v>
      </c>
    </row>
    <row r="115" spans="1:10" ht="40.200000000000003" customHeight="1">
      <c r="A115" s="8" t="s">
        <v>219</v>
      </c>
      <c r="B115" s="9">
        <v>89733</v>
      </c>
      <c r="C115" s="8" t="s">
        <v>21</v>
      </c>
      <c r="D115" s="8" t="s">
        <v>220</v>
      </c>
      <c r="E115" s="10" t="s">
        <v>120</v>
      </c>
      <c r="F115" s="9">
        <v>2</v>
      </c>
      <c r="G115" s="11">
        <v>21.36</v>
      </c>
      <c r="H115" s="46">
        <v>26.18</v>
      </c>
      <c r="I115" s="47"/>
      <c r="J115" s="11">
        <v>52.36</v>
      </c>
    </row>
    <row r="116" spans="1:10" ht="40.200000000000003" customHeight="1">
      <c r="A116" s="8" t="s">
        <v>221</v>
      </c>
      <c r="B116" s="9">
        <v>89726</v>
      </c>
      <c r="C116" s="8" t="s">
        <v>21</v>
      </c>
      <c r="D116" s="8" t="s">
        <v>222</v>
      </c>
      <c r="E116" s="10" t="s">
        <v>120</v>
      </c>
      <c r="F116" s="9">
        <v>3</v>
      </c>
      <c r="G116" s="11">
        <v>8.94</v>
      </c>
      <c r="H116" s="46">
        <v>10.95</v>
      </c>
      <c r="I116" s="47"/>
      <c r="J116" s="11">
        <v>32.85</v>
      </c>
    </row>
    <row r="117" spans="1:10" ht="40.200000000000003" customHeight="1">
      <c r="A117" s="8" t="s">
        <v>223</v>
      </c>
      <c r="B117" s="9">
        <v>89732</v>
      </c>
      <c r="C117" s="8" t="s">
        <v>21</v>
      </c>
      <c r="D117" s="8" t="s">
        <v>224</v>
      </c>
      <c r="E117" s="10" t="s">
        <v>120</v>
      </c>
      <c r="F117" s="9">
        <v>5</v>
      </c>
      <c r="G117" s="11">
        <v>14.54</v>
      </c>
      <c r="H117" s="46">
        <v>17.82</v>
      </c>
      <c r="I117" s="47"/>
      <c r="J117" s="11">
        <v>89.1</v>
      </c>
    </row>
    <row r="118" spans="1:10" ht="40.200000000000003" customHeight="1">
      <c r="A118" s="8" t="s">
        <v>225</v>
      </c>
      <c r="B118" s="9">
        <v>89724</v>
      </c>
      <c r="C118" s="8" t="s">
        <v>21</v>
      </c>
      <c r="D118" s="8" t="s">
        <v>226</v>
      </c>
      <c r="E118" s="10" t="s">
        <v>120</v>
      </c>
      <c r="F118" s="9">
        <v>2</v>
      </c>
      <c r="G118" s="11">
        <v>8.73</v>
      </c>
      <c r="H118" s="46">
        <v>10.7</v>
      </c>
      <c r="I118" s="47"/>
      <c r="J118" s="11">
        <v>21.4</v>
      </c>
    </row>
    <row r="119" spans="1:10" ht="40.200000000000003" customHeight="1">
      <c r="A119" s="8" t="s">
        <v>227</v>
      </c>
      <c r="B119" s="9">
        <v>89731</v>
      </c>
      <c r="C119" s="8" t="s">
        <v>21</v>
      </c>
      <c r="D119" s="8" t="s">
        <v>158</v>
      </c>
      <c r="E119" s="10" t="s">
        <v>120</v>
      </c>
      <c r="F119" s="9">
        <v>8</v>
      </c>
      <c r="G119" s="11">
        <v>13.89</v>
      </c>
      <c r="H119" s="46">
        <v>17.02</v>
      </c>
      <c r="I119" s="47"/>
      <c r="J119" s="11">
        <v>136.16</v>
      </c>
    </row>
    <row r="120" spans="1:10" ht="40.200000000000003" customHeight="1">
      <c r="A120" s="8" t="s">
        <v>228</v>
      </c>
      <c r="B120" s="9">
        <v>89744</v>
      </c>
      <c r="C120" s="8" t="s">
        <v>21</v>
      </c>
      <c r="D120" s="8" t="s">
        <v>229</v>
      </c>
      <c r="E120" s="10" t="s">
        <v>120</v>
      </c>
      <c r="F120" s="9">
        <v>1</v>
      </c>
      <c r="G120" s="11">
        <v>25.4</v>
      </c>
      <c r="H120" s="46">
        <v>31.13</v>
      </c>
      <c r="I120" s="47"/>
      <c r="J120" s="11">
        <v>31.13</v>
      </c>
    </row>
    <row r="121" spans="1:10" ht="40.200000000000003" customHeight="1">
      <c r="A121" s="8" t="s">
        <v>230</v>
      </c>
      <c r="B121" s="9">
        <v>89785</v>
      </c>
      <c r="C121" s="8" t="s">
        <v>21</v>
      </c>
      <c r="D121" s="8" t="s">
        <v>231</v>
      </c>
      <c r="E121" s="10" t="s">
        <v>120</v>
      </c>
      <c r="F121" s="9">
        <v>1</v>
      </c>
      <c r="G121" s="11">
        <v>24.49</v>
      </c>
      <c r="H121" s="46">
        <v>30.01</v>
      </c>
      <c r="I121" s="47"/>
      <c r="J121" s="11">
        <v>30.01</v>
      </c>
    </row>
    <row r="122" spans="1:10" ht="40.200000000000003" customHeight="1">
      <c r="A122" s="8" t="s">
        <v>232</v>
      </c>
      <c r="B122" s="9">
        <v>104353</v>
      </c>
      <c r="C122" s="8" t="s">
        <v>21</v>
      </c>
      <c r="D122" s="8" t="s">
        <v>233</v>
      </c>
      <c r="E122" s="10" t="s">
        <v>120</v>
      </c>
      <c r="F122" s="9">
        <v>1</v>
      </c>
      <c r="G122" s="11">
        <v>38.19</v>
      </c>
      <c r="H122" s="46">
        <v>46.81</v>
      </c>
      <c r="I122" s="47"/>
      <c r="J122" s="11">
        <v>46.81</v>
      </c>
    </row>
    <row r="123" spans="1:10" ht="40.200000000000003" customHeight="1">
      <c r="A123" s="8" t="s">
        <v>234</v>
      </c>
      <c r="B123" s="9">
        <v>104348</v>
      </c>
      <c r="C123" s="8" t="s">
        <v>21</v>
      </c>
      <c r="D123" s="8" t="s">
        <v>235</v>
      </c>
      <c r="E123" s="10" t="s">
        <v>120</v>
      </c>
      <c r="F123" s="9">
        <v>1</v>
      </c>
      <c r="G123" s="11">
        <v>9.5</v>
      </c>
      <c r="H123" s="46">
        <v>11.64</v>
      </c>
      <c r="I123" s="47"/>
      <c r="J123" s="11">
        <v>11.64</v>
      </c>
    </row>
    <row r="124" spans="1:10" ht="40.200000000000003" customHeight="1">
      <c r="A124" s="8" t="s">
        <v>236</v>
      </c>
      <c r="B124" s="9">
        <v>89796</v>
      </c>
      <c r="C124" s="8" t="s">
        <v>21</v>
      </c>
      <c r="D124" s="8" t="s">
        <v>237</v>
      </c>
      <c r="E124" s="10" t="s">
        <v>120</v>
      </c>
      <c r="F124" s="9">
        <v>2</v>
      </c>
      <c r="G124" s="11">
        <v>39.83</v>
      </c>
      <c r="H124" s="46">
        <v>48.82</v>
      </c>
      <c r="I124" s="47"/>
      <c r="J124" s="11">
        <v>97.64</v>
      </c>
    </row>
    <row r="125" spans="1:10" ht="20.25" customHeight="1">
      <c r="A125" s="18" t="s">
        <v>238</v>
      </c>
      <c r="B125" s="19">
        <v>20181</v>
      </c>
      <c r="C125" s="18" t="s">
        <v>21</v>
      </c>
      <c r="D125" s="18" t="s">
        <v>239</v>
      </c>
      <c r="E125" s="20" t="s">
        <v>120</v>
      </c>
      <c r="F125" s="21">
        <v>1</v>
      </c>
      <c r="G125" s="22">
        <v>102.56</v>
      </c>
      <c r="H125" s="48">
        <v>125.71</v>
      </c>
      <c r="I125" s="49"/>
      <c r="J125" s="22">
        <v>125.71</v>
      </c>
    </row>
    <row r="126" spans="1:10" ht="40.200000000000003" customHeight="1">
      <c r="A126" s="8" t="s">
        <v>240</v>
      </c>
      <c r="B126" s="9">
        <v>104329</v>
      </c>
      <c r="C126" s="8" t="s">
        <v>21</v>
      </c>
      <c r="D126" s="8" t="s">
        <v>241</v>
      </c>
      <c r="E126" s="10" t="s">
        <v>120</v>
      </c>
      <c r="F126" s="9">
        <v>1</v>
      </c>
      <c r="G126" s="11">
        <v>63.21</v>
      </c>
      <c r="H126" s="46">
        <v>77.48</v>
      </c>
      <c r="I126" s="47"/>
      <c r="J126" s="11">
        <v>77.48</v>
      </c>
    </row>
    <row r="127" spans="1:10" ht="22.5" customHeight="1">
      <c r="A127" s="18" t="s">
        <v>242</v>
      </c>
      <c r="B127" s="19">
        <v>6138</v>
      </c>
      <c r="C127" s="18" t="s">
        <v>21</v>
      </c>
      <c r="D127" s="24" t="s">
        <v>243</v>
      </c>
      <c r="E127" s="20" t="s">
        <v>120</v>
      </c>
      <c r="F127" s="21">
        <v>2</v>
      </c>
      <c r="G127" s="22">
        <v>8.7100000000000009</v>
      </c>
      <c r="H127" s="48">
        <v>10.67</v>
      </c>
      <c r="I127" s="49"/>
      <c r="J127" s="22">
        <v>21.34</v>
      </c>
    </row>
    <row r="128" spans="1:10" ht="30.3" customHeight="1">
      <c r="A128" s="8" t="s">
        <v>244</v>
      </c>
      <c r="B128" s="9">
        <v>89711</v>
      </c>
      <c r="C128" s="8" t="s">
        <v>21</v>
      </c>
      <c r="D128" s="13" t="s">
        <v>245</v>
      </c>
      <c r="E128" s="10" t="s">
        <v>26</v>
      </c>
      <c r="F128" s="11">
        <v>1.97</v>
      </c>
      <c r="G128" s="11">
        <v>19.02</v>
      </c>
      <c r="H128" s="46">
        <v>23.31</v>
      </c>
      <c r="I128" s="47"/>
      <c r="J128" s="11">
        <v>45.92</v>
      </c>
    </row>
    <row r="129" spans="1:11" ht="30.3" customHeight="1">
      <c r="A129" s="8" t="s">
        <v>246</v>
      </c>
      <c r="B129" s="9">
        <v>89712</v>
      </c>
      <c r="C129" s="8" t="s">
        <v>21</v>
      </c>
      <c r="D129" s="13" t="s">
        <v>247</v>
      </c>
      <c r="E129" s="10" t="s">
        <v>26</v>
      </c>
      <c r="F129" s="11">
        <v>7.86</v>
      </c>
      <c r="G129" s="11">
        <v>24.11</v>
      </c>
      <c r="H129" s="46">
        <v>29.55</v>
      </c>
      <c r="I129" s="47"/>
      <c r="J129" s="11">
        <v>232.26</v>
      </c>
    </row>
    <row r="130" spans="1:11" ht="30.3" customHeight="1">
      <c r="A130" s="8" t="s">
        <v>248</v>
      </c>
      <c r="B130" s="9">
        <v>89713</v>
      </c>
      <c r="C130" s="8" t="s">
        <v>21</v>
      </c>
      <c r="D130" s="13" t="s">
        <v>249</v>
      </c>
      <c r="E130" s="10" t="s">
        <v>26</v>
      </c>
      <c r="F130" s="11">
        <v>0.47</v>
      </c>
      <c r="G130" s="11">
        <v>30.02</v>
      </c>
      <c r="H130" s="46">
        <v>36.79</v>
      </c>
      <c r="I130" s="47"/>
      <c r="J130" s="11">
        <v>17.29</v>
      </c>
    </row>
    <row r="131" spans="1:11" ht="30.3" customHeight="1">
      <c r="A131" s="8" t="s">
        <v>250</v>
      </c>
      <c r="B131" s="9">
        <v>89714</v>
      </c>
      <c r="C131" s="8" t="s">
        <v>21</v>
      </c>
      <c r="D131" s="13" t="s">
        <v>251</v>
      </c>
      <c r="E131" s="10" t="s">
        <v>26</v>
      </c>
      <c r="F131" s="11">
        <v>1.83</v>
      </c>
      <c r="G131" s="11">
        <v>33.56</v>
      </c>
      <c r="H131" s="46">
        <v>41.13</v>
      </c>
      <c r="I131" s="47"/>
      <c r="J131" s="11">
        <v>75.260000000000005</v>
      </c>
    </row>
    <row r="132" spans="1:11" ht="30.3" customHeight="1">
      <c r="A132" s="8" t="s">
        <v>252</v>
      </c>
      <c r="B132" s="9">
        <v>19</v>
      </c>
      <c r="C132" s="8" t="s">
        <v>94</v>
      </c>
      <c r="D132" s="13" t="s">
        <v>253</v>
      </c>
      <c r="E132" s="10" t="s">
        <v>26</v>
      </c>
      <c r="F132" s="11">
        <v>4.3099999999999996</v>
      </c>
      <c r="G132" s="11">
        <v>56.01</v>
      </c>
      <c r="H132" s="46">
        <v>68.650000000000006</v>
      </c>
      <c r="I132" s="47"/>
      <c r="J132" s="11">
        <v>295.88</v>
      </c>
    </row>
    <row r="133" spans="1:11" ht="18.75" customHeight="1">
      <c r="A133" s="6" t="s">
        <v>559</v>
      </c>
      <c r="B133" s="5"/>
      <c r="C133" s="5"/>
      <c r="D133" s="6" t="s">
        <v>560</v>
      </c>
      <c r="E133" s="5"/>
      <c r="F133" s="5"/>
      <c r="G133" s="5"/>
      <c r="H133" s="44"/>
      <c r="I133" s="45"/>
      <c r="J133" s="7">
        <v>27189.41</v>
      </c>
    </row>
    <row r="134" spans="1:11" ht="30.3" customHeight="1">
      <c r="A134" s="8" t="s">
        <v>254</v>
      </c>
      <c r="B134" s="9">
        <v>94204</v>
      </c>
      <c r="C134" s="8" t="s">
        <v>21</v>
      </c>
      <c r="D134" s="8" t="s">
        <v>255</v>
      </c>
      <c r="E134" s="10" t="s">
        <v>23</v>
      </c>
      <c r="F134" s="11">
        <v>98.46</v>
      </c>
      <c r="G134" s="11">
        <v>43.2</v>
      </c>
      <c r="H134" s="46">
        <v>52.95</v>
      </c>
      <c r="I134" s="47"/>
      <c r="J134" s="12">
        <v>5213.45</v>
      </c>
    </row>
    <row r="135" spans="1:11" ht="40.200000000000003" customHeight="1">
      <c r="A135" s="8" t="s">
        <v>256</v>
      </c>
      <c r="B135" s="9">
        <v>92540</v>
      </c>
      <c r="C135" s="8" t="s">
        <v>21</v>
      </c>
      <c r="D135" s="13" t="s">
        <v>257</v>
      </c>
      <c r="E135" s="10" t="s">
        <v>23</v>
      </c>
      <c r="F135" s="11">
        <v>98.46</v>
      </c>
      <c r="G135" s="11">
        <v>75.66</v>
      </c>
      <c r="H135" s="46">
        <v>92.74</v>
      </c>
      <c r="I135" s="47"/>
      <c r="J135" s="12">
        <v>9131.18</v>
      </c>
    </row>
    <row r="136" spans="1:11" ht="30.3" customHeight="1">
      <c r="A136" s="8" t="s">
        <v>258</v>
      </c>
      <c r="B136" s="9">
        <v>100357</v>
      </c>
      <c r="C136" s="8" t="s">
        <v>21</v>
      </c>
      <c r="D136" s="13" t="s">
        <v>259</v>
      </c>
      <c r="E136" s="10" t="s">
        <v>120</v>
      </c>
      <c r="F136" s="9">
        <v>4</v>
      </c>
      <c r="G136" s="11">
        <v>945.63</v>
      </c>
      <c r="H136" s="50">
        <v>1159.1500000000001</v>
      </c>
      <c r="I136" s="51"/>
      <c r="J136" s="12">
        <v>4636.6000000000004</v>
      </c>
    </row>
    <row r="137" spans="1:11" ht="30.3" customHeight="1">
      <c r="A137" s="8" t="s">
        <v>260</v>
      </c>
      <c r="B137" s="9">
        <v>100358</v>
      </c>
      <c r="C137" s="8" t="s">
        <v>21</v>
      </c>
      <c r="D137" s="13" t="s">
        <v>261</v>
      </c>
      <c r="E137" s="10" t="s">
        <v>120</v>
      </c>
      <c r="F137" s="9">
        <v>4</v>
      </c>
      <c r="G137" s="12">
        <v>1279.6300000000001</v>
      </c>
      <c r="H137" s="50">
        <v>1568.57</v>
      </c>
      <c r="I137" s="51"/>
      <c r="J137" s="12">
        <v>6274.28</v>
      </c>
    </row>
    <row r="138" spans="1:11" ht="20.25" customHeight="1">
      <c r="A138" s="8" t="s">
        <v>262</v>
      </c>
      <c r="B138" s="9">
        <v>102233</v>
      </c>
      <c r="C138" s="8" t="s">
        <v>21</v>
      </c>
      <c r="D138" s="8" t="s">
        <v>263</v>
      </c>
      <c r="E138" s="10" t="s">
        <v>23</v>
      </c>
      <c r="F138" s="11">
        <v>24.62</v>
      </c>
      <c r="G138" s="11">
        <v>11.05</v>
      </c>
      <c r="H138" s="46">
        <v>13.54</v>
      </c>
      <c r="I138" s="47"/>
      <c r="J138" s="11">
        <v>333.35</v>
      </c>
    </row>
    <row r="139" spans="1:11" ht="40.200000000000003" customHeight="1">
      <c r="A139" s="8" t="s">
        <v>264</v>
      </c>
      <c r="B139" s="9">
        <v>94219</v>
      </c>
      <c r="C139" s="8" t="s">
        <v>21</v>
      </c>
      <c r="D139" s="8" t="s">
        <v>265</v>
      </c>
      <c r="E139" s="10" t="s">
        <v>26</v>
      </c>
      <c r="F139" s="15">
        <v>47.2</v>
      </c>
      <c r="G139" s="11">
        <v>27.67</v>
      </c>
      <c r="H139" s="46">
        <v>33.909999999999997</v>
      </c>
      <c r="I139" s="47"/>
      <c r="J139" s="12">
        <v>1600.55</v>
      </c>
    </row>
    <row r="140" spans="1:11" ht="18.75" customHeight="1">
      <c r="A140" s="6" t="s">
        <v>266</v>
      </c>
      <c r="B140" s="5"/>
      <c r="C140" s="5"/>
      <c r="D140" s="6" t="s">
        <v>561</v>
      </c>
      <c r="E140" s="5"/>
      <c r="F140" s="5"/>
      <c r="G140" s="5"/>
      <c r="H140" s="44"/>
      <c r="I140" s="45"/>
      <c r="J140" s="7">
        <v>1292.78</v>
      </c>
    </row>
    <row r="141" spans="1:11" ht="30.3" customHeight="1">
      <c r="A141" s="8" t="s">
        <v>267</v>
      </c>
      <c r="B141" s="9">
        <v>90822</v>
      </c>
      <c r="C141" s="8" t="s">
        <v>21</v>
      </c>
      <c r="D141" s="13" t="s">
        <v>268</v>
      </c>
      <c r="E141" s="10" t="s">
        <v>120</v>
      </c>
      <c r="F141" s="9">
        <v>2</v>
      </c>
      <c r="G141" s="11">
        <v>362.03</v>
      </c>
      <c r="H141" s="46">
        <v>443.77</v>
      </c>
      <c r="I141" s="47"/>
      <c r="J141" s="11">
        <v>887.54</v>
      </c>
    </row>
    <row r="142" spans="1:11" ht="30.3" customHeight="1">
      <c r="A142" s="8" t="s">
        <v>269</v>
      </c>
      <c r="B142" s="9">
        <v>101162</v>
      </c>
      <c r="C142" s="8" t="s">
        <v>21</v>
      </c>
      <c r="D142" s="13" t="s">
        <v>270</v>
      </c>
      <c r="E142" s="10" t="s">
        <v>23</v>
      </c>
      <c r="F142" s="15">
        <v>0.2</v>
      </c>
      <c r="G142" s="11">
        <v>140.41</v>
      </c>
      <c r="H142" s="46">
        <v>172.11</v>
      </c>
      <c r="I142" s="47"/>
      <c r="J142" s="11">
        <v>34.42</v>
      </c>
    </row>
    <row r="143" spans="1:11" ht="30.3" customHeight="1">
      <c r="A143" s="8" t="s">
        <v>271</v>
      </c>
      <c r="B143" s="9">
        <v>90830</v>
      </c>
      <c r="C143" s="8" t="s">
        <v>21</v>
      </c>
      <c r="D143" s="13" t="s">
        <v>272</v>
      </c>
      <c r="E143" s="10" t="s">
        <v>120</v>
      </c>
      <c r="F143" s="9">
        <v>2</v>
      </c>
      <c r="G143" s="11">
        <v>151.26</v>
      </c>
      <c r="H143" s="46">
        <v>185.41</v>
      </c>
      <c r="I143" s="47"/>
      <c r="J143" s="11">
        <v>370.82</v>
      </c>
    </row>
    <row r="144" spans="1:11" ht="18.75" customHeight="1">
      <c r="A144" s="4">
        <v>3</v>
      </c>
      <c r="B144" s="5"/>
      <c r="C144" s="5"/>
      <c r="D144" s="6" t="s">
        <v>562</v>
      </c>
      <c r="E144" s="5"/>
      <c r="F144" s="5"/>
      <c r="G144" s="5"/>
      <c r="H144" s="44"/>
      <c r="I144" s="45"/>
      <c r="J144" s="7">
        <v>48294.65</v>
      </c>
      <c r="K144" s="30">
        <f>J145+J147+J150+J162+J163+J164+J165+J166+J167</f>
        <v>12969.93</v>
      </c>
    </row>
    <row r="145" spans="1:11" ht="18.75" customHeight="1">
      <c r="A145" s="6" t="s">
        <v>273</v>
      </c>
      <c r="B145" s="5"/>
      <c r="C145" s="5"/>
      <c r="D145" s="6" t="s">
        <v>563</v>
      </c>
      <c r="E145" s="5"/>
      <c r="F145" s="5"/>
      <c r="G145" s="5"/>
      <c r="H145" s="44"/>
      <c r="I145" s="45"/>
      <c r="J145" s="7">
        <v>1054.57</v>
      </c>
      <c r="K145" s="30">
        <f>SUM(J145,J147,J150,J161)</f>
        <v>16107.93</v>
      </c>
    </row>
    <row r="146" spans="1:11" ht="30.3" customHeight="1">
      <c r="A146" s="8" t="s">
        <v>274</v>
      </c>
      <c r="B146" s="9">
        <v>99059</v>
      </c>
      <c r="C146" s="8" t="s">
        <v>21</v>
      </c>
      <c r="D146" s="8" t="s">
        <v>25</v>
      </c>
      <c r="E146" s="10" t="s">
        <v>26</v>
      </c>
      <c r="F146" s="15">
        <v>14.7</v>
      </c>
      <c r="G146" s="11">
        <v>58.53</v>
      </c>
      <c r="H146" s="46">
        <v>71.739999999999995</v>
      </c>
      <c r="I146" s="47"/>
      <c r="J146" s="12">
        <v>1054.57</v>
      </c>
    </row>
    <row r="147" spans="1:11" ht="18.75" customHeight="1">
      <c r="A147" s="6" t="s">
        <v>275</v>
      </c>
      <c r="B147" s="5"/>
      <c r="C147" s="5"/>
      <c r="D147" s="6" t="s">
        <v>547</v>
      </c>
      <c r="E147" s="5"/>
      <c r="F147" s="5"/>
      <c r="G147" s="5"/>
      <c r="H147" s="44"/>
      <c r="I147" s="45"/>
      <c r="J147" s="14">
        <v>438.91</v>
      </c>
    </row>
    <row r="148" spans="1:11" ht="18.75" customHeight="1">
      <c r="A148" s="8" t="s">
        <v>276</v>
      </c>
      <c r="B148" s="9">
        <v>93358</v>
      </c>
      <c r="C148" s="8" t="s">
        <v>21</v>
      </c>
      <c r="D148" s="8" t="s">
        <v>34</v>
      </c>
      <c r="E148" s="10" t="s">
        <v>35</v>
      </c>
      <c r="F148" s="11">
        <v>3.88</v>
      </c>
      <c r="G148" s="11">
        <v>78.989999999999995</v>
      </c>
      <c r="H148" s="46">
        <v>96.82</v>
      </c>
      <c r="I148" s="47"/>
      <c r="J148" s="11">
        <v>375.66</v>
      </c>
    </row>
    <row r="149" spans="1:11" ht="20.25" customHeight="1">
      <c r="A149" s="8" t="s">
        <v>277</v>
      </c>
      <c r="B149" s="9">
        <v>104737</v>
      </c>
      <c r="C149" s="8" t="s">
        <v>21</v>
      </c>
      <c r="D149" s="8" t="s">
        <v>37</v>
      </c>
      <c r="E149" s="10" t="s">
        <v>35</v>
      </c>
      <c r="F149" s="11">
        <v>2.56</v>
      </c>
      <c r="G149" s="11">
        <v>20.16</v>
      </c>
      <c r="H149" s="46">
        <v>24.71</v>
      </c>
      <c r="I149" s="47"/>
      <c r="J149" s="11">
        <v>63.25</v>
      </c>
    </row>
    <row r="150" spans="1:11" ht="18.75" customHeight="1">
      <c r="A150" s="6" t="s">
        <v>278</v>
      </c>
      <c r="B150" s="5"/>
      <c r="C150" s="5"/>
      <c r="D150" s="6" t="s">
        <v>548</v>
      </c>
      <c r="E150" s="5"/>
      <c r="F150" s="5"/>
      <c r="G150" s="5"/>
      <c r="H150" s="44"/>
      <c r="I150" s="45"/>
      <c r="J150" s="7">
        <v>4537.05</v>
      </c>
    </row>
    <row r="151" spans="1:11" ht="30.3" customHeight="1">
      <c r="A151" s="8" t="s">
        <v>279</v>
      </c>
      <c r="B151" s="9">
        <v>96619</v>
      </c>
      <c r="C151" s="8" t="s">
        <v>21</v>
      </c>
      <c r="D151" s="8" t="s">
        <v>40</v>
      </c>
      <c r="E151" s="10" t="s">
        <v>23</v>
      </c>
      <c r="F151" s="11">
        <v>2.38</v>
      </c>
      <c r="G151" s="11">
        <v>36.630000000000003</v>
      </c>
      <c r="H151" s="46">
        <v>44.9</v>
      </c>
      <c r="I151" s="47"/>
      <c r="J151" s="11">
        <v>106.86</v>
      </c>
    </row>
    <row r="152" spans="1:11" ht="22.5" customHeight="1">
      <c r="A152" s="8" t="s">
        <v>280</v>
      </c>
      <c r="B152" s="9">
        <v>101616</v>
      </c>
      <c r="C152" s="8" t="s">
        <v>21</v>
      </c>
      <c r="D152" s="13" t="s">
        <v>42</v>
      </c>
      <c r="E152" s="10" t="s">
        <v>23</v>
      </c>
      <c r="F152" s="11">
        <v>4.6100000000000003</v>
      </c>
      <c r="G152" s="11">
        <v>5.77</v>
      </c>
      <c r="H152" s="46">
        <v>7.07</v>
      </c>
      <c r="I152" s="47"/>
      <c r="J152" s="11">
        <v>32.590000000000003</v>
      </c>
    </row>
    <row r="153" spans="1:11" ht="30.3" customHeight="1">
      <c r="A153" s="8" t="s">
        <v>281</v>
      </c>
      <c r="B153" s="9">
        <v>94971</v>
      </c>
      <c r="C153" s="8" t="s">
        <v>21</v>
      </c>
      <c r="D153" s="13" t="s">
        <v>44</v>
      </c>
      <c r="E153" s="10" t="s">
        <v>35</v>
      </c>
      <c r="F153" s="11">
        <v>1.32</v>
      </c>
      <c r="G153" s="11">
        <v>456.69</v>
      </c>
      <c r="H153" s="46">
        <v>559.80999999999995</v>
      </c>
      <c r="I153" s="47"/>
      <c r="J153" s="11">
        <v>738.94</v>
      </c>
    </row>
    <row r="154" spans="1:11" ht="22.5" customHeight="1">
      <c r="A154" s="8" t="s">
        <v>282</v>
      </c>
      <c r="B154" s="9">
        <v>103670</v>
      </c>
      <c r="C154" s="8" t="s">
        <v>21</v>
      </c>
      <c r="D154" s="13" t="s">
        <v>46</v>
      </c>
      <c r="E154" s="10" t="s">
        <v>35</v>
      </c>
      <c r="F154" s="11">
        <v>1.32</v>
      </c>
      <c r="G154" s="11">
        <v>270.14</v>
      </c>
      <c r="H154" s="46">
        <v>331.13</v>
      </c>
      <c r="I154" s="47"/>
      <c r="J154" s="11">
        <v>437.09</v>
      </c>
    </row>
    <row r="155" spans="1:11" ht="30.3" customHeight="1">
      <c r="A155" s="8" t="s">
        <v>283</v>
      </c>
      <c r="B155" s="9">
        <v>104927</v>
      </c>
      <c r="C155" s="8" t="s">
        <v>21</v>
      </c>
      <c r="D155" s="8" t="s">
        <v>48</v>
      </c>
      <c r="E155" s="10" t="s">
        <v>23</v>
      </c>
      <c r="F155" s="15">
        <v>3.1</v>
      </c>
      <c r="G155" s="11">
        <v>76.37</v>
      </c>
      <c r="H155" s="46">
        <v>93.61</v>
      </c>
      <c r="I155" s="47"/>
      <c r="J155" s="11">
        <v>290.19</v>
      </c>
    </row>
    <row r="156" spans="1:11" ht="30.3" customHeight="1">
      <c r="A156" s="8" t="s">
        <v>284</v>
      </c>
      <c r="B156" s="9">
        <v>96542</v>
      </c>
      <c r="C156" s="8" t="s">
        <v>21</v>
      </c>
      <c r="D156" s="13" t="s">
        <v>285</v>
      </c>
      <c r="E156" s="10" t="s">
        <v>23</v>
      </c>
      <c r="F156" s="11">
        <v>11.93</v>
      </c>
      <c r="G156" s="11">
        <v>84.01</v>
      </c>
      <c r="H156" s="46">
        <v>102.97</v>
      </c>
      <c r="I156" s="47"/>
      <c r="J156" s="12">
        <v>1228.43</v>
      </c>
    </row>
    <row r="157" spans="1:11" ht="30.3" customHeight="1">
      <c r="A157" s="8" t="s">
        <v>286</v>
      </c>
      <c r="B157" s="9">
        <v>104917</v>
      </c>
      <c r="C157" s="8" t="s">
        <v>21</v>
      </c>
      <c r="D157" s="8" t="s">
        <v>52</v>
      </c>
      <c r="E157" s="10" t="s">
        <v>53</v>
      </c>
      <c r="F157" s="15">
        <v>17.600000000000001</v>
      </c>
      <c r="G157" s="11">
        <v>14.2</v>
      </c>
      <c r="H157" s="46">
        <v>17.399999999999999</v>
      </c>
      <c r="I157" s="47"/>
      <c r="J157" s="11">
        <v>306.24</v>
      </c>
    </row>
    <row r="158" spans="1:11" ht="30.3" customHeight="1">
      <c r="A158" s="8" t="s">
        <v>287</v>
      </c>
      <c r="B158" s="9">
        <v>104916</v>
      </c>
      <c r="C158" s="8" t="s">
        <v>21</v>
      </c>
      <c r="D158" s="8" t="s">
        <v>55</v>
      </c>
      <c r="E158" s="10" t="s">
        <v>53</v>
      </c>
      <c r="F158" s="15">
        <v>11.2</v>
      </c>
      <c r="G158" s="11">
        <v>15.3</v>
      </c>
      <c r="H158" s="46">
        <v>18.75</v>
      </c>
      <c r="I158" s="47"/>
      <c r="J158" s="11">
        <v>210</v>
      </c>
    </row>
    <row r="159" spans="1:11" ht="30.3" customHeight="1">
      <c r="A159" s="8" t="s">
        <v>288</v>
      </c>
      <c r="B159" s="9">
        <v>104918</v>
      </c>
      <c r="C159" s="8" t="s">
        <v>21</v>
      </c>
      <c r="D159" s="8" t="s">
        <v>57</v>
      </c>
      <c r="E159" s="10" t="s">
        <v>53</v>
      </c>
      <c r="F159" s="15">
        <v>28.8</v>
      </c>
      <c r="G159" s="11">
        <v>13.19</v>
      </c>
      <c r="H159" s="46">
        <v>16.16</v>
      </c>
      <c r="I159" s="47"/>
      <c r="J159" s="11">
        <v>465.4</v>
      </c>
    </row>
    <row r="160" spans="1:11" ht="22.5" customHeight="1">
      <c r="A160" s="16">
        <v>40240</v>
      </c>
      <c r="B160" s="9">
        <v>98557</v>
      </c>
      <c r="C160" s="8" t="s">
        <v>21</v>
      </c>
      <c r="D160" s="13" t="s">
        <v>58</v>
      </c>
      <c r="E160" s="10" t="s">
        <v>23</v>
      </c>
      <c r="F160" s="11">
        <v>13.37</v>
      </c>
      <c r="G160" s="11">
        <v>44.02</v>
      </c>
      <c r="H160" s="46">
        <v>53.95</v>
      </c>
      <c r="I160" s="47"/>
      <c r="J160" s="11">
        <v>721.31</v>
      </c>
    </row>
    <row r="161" spans="1:10" ht="18.75" customHeight="1">
      <c r="A161" s="6" t="s">
        <v>289</v>
      </c>
      <c r="B161" s="5"/>
      <c r="C161" s="5"/>
      <c r="D161" s="6" t="s">
        <v>564</v>
      </c>
      <c r="E161" s="5"/>
      <c r="F161" s="5"/>
      <c r="G161" s="5"/>
      <c r="H161" s="44"/>
      <c r="I161" s="45"/>
      <c r="J161" s="7">
        <v>10077.4</v>
      </c>
    </row>
    <row r="162" spans="1:10" ht="40.200000000000003" customHeight="1">
      <c r="A162" s="8" t="s">
        <v>290</v>
      </c>
      <c r="B162" s="9">
        <v>92429</v>
      </c>
      <c r="C162" s="8" t="s">
        <v>21</v>
      </c>
      <c r="D162" s="8" t="s">
        <v>61</v>
      </c>
      <c r="E162" s="10" t="s">
        <v>23</v>
      </c>
      <c r="F162" s="11">
        <v>18.72</v>
      </c>
      <c r="G162" s="11">
        <v>66.97</v>
      </c>
      <c r="H162" s="46">
        <v>82.09</v>
      </c>
      <c r="I162" s="47"/>
      <c r="J162" s="12">
        <v>1536.72</v>
      </c>
    </row>
    <row r="163" spans="1:10" ht="30.3" customHeight="1">
      <c r="A163" s="8" t="s">
        <v>291</v>
      </c>
      <c r="B163" s="9">
        <v>92476</v>
      </c>
      <c r="C163" s="8" t="s">
        <v>21</v>
      </c>
      <c r="D163" s="13" t="s">
        <v>63</v>
      </c>
      <c r="E163" s="10" t="s">
        <v>23</v>
      </c>
      <c r="F163" s="11">
        <v>17.04</v>
      </c>
      <c r="G163" s="11">
        <v>82.76</v>
      </c>
      <c r="H163" s="46">
        <v>101.44</v>
      </c>
      <c r="I163" s="47"/>
      <c r="J163" s="12">
        <v>1728.53</v>
      </c>
    </row>
    <row r="164" spans="1:10" ht="30.3" customHeight="1">
      <c r="A164" s="8" t="s">
        <v>292</v>
      </c>
      <c r="B164" s="9">
        <v>92759</v>
      </c>
      <c r="C164" s="8" t="s">
        <v>21</v>
      </c>
      <c r="D164" s="13" t="s">
        <v>67</v>
      </c>
      <c r="E164" s="10" t="s">
        <v>53</v>
      </c>
      <c r="F164" s="15">
        <v>43.2</v>
      </c>
      <c r="G164" s="11">
        <v>12.95</v>
      </c>
      <c r="H164" s="46">
        <v>15.87</v>
      </c>
      <c r="I164" s="47"/>
      <c r="J164" s="11">
        <v>685.58</v>
      </c>
    </row>
    <row r="165" spans="1:10" ht="30.3" customHeight="1">
      <c r="A165" s="8" t="s">
        <v>293</v>
      </c>
      <c r="B165" s="9">
        <v>104108</v>
      </c>
      <c r="C165" s="8" t="s">
        <v>21</v>
      </c>
      <c r="D165" s="13" t="s">
        <v>69</v>
      </c>
      <c r="E165" s="10" t="s">
        <v>53</v>
      </c>
      <c r="F165" s="15">
        <v>69.900000000000006</v>
      </c>
      <c r="G165" s="11">
        <v>11.83</v>
      </c>
      <c r="H165" s="46">
        <v>14.5</v>
      </c>
      <c r="I165" s="47"/>
      <c r="J165" s="12">
        <v>1013.55</v>
      </c>
    </row>
    <row r="166" spans="1:10" ht="30.3" customHeight="1">
      <c r="A166" s="8" t="s">
        <v>294</v>
      </c>
      <c r="B166" s="9">
        <v>92761</v>
      </c>
      <c r="C166" s="8" t="s">
        <v>21</v>
      </c>
      <c r="D166" s="13" t="s">
        <v>71</v>
      </c>
      <c r="E166" s="10" t="s">
        <v>53</v>
      </c>
      <c r="F166" s="15">
        <v>36.5</v>
      </c>
      <c r="G166" s="11">
        <v>11.49</v>
      </c>
      <c r="H166" s="46">
        <v>14.08</v>
      </c>
      <c r="I166" s="47"/>
      <c r="J166" s="11">
        <v>513.91999999999996</v>
      </c>
    </row>
    <row r="167" spans="1:10" ht="30.3" customHeight="1">
      <c r="A167" s="8" t="s">
        <v>295</v>
      </c>
      <c r="B167" s="9">
        <v>94971</v>
      </c>
      <c r="C167" s="8" t="s">
        <v>21</v>
      </c>
      <c r="D167" s="13" t="s">
        <v>44</v>
      </c>
      <c r="E167" s="10" t="s">
        <v>35</v>
      </c>
      <c r="F167" s="11">
        <v>2.61</v>
      </c>
      <c r="G167" s="11">
        <v>456.69</v>
      </c>
      <c r="H167" s="46">
        <v>559.80999999999995</v>
      </c>
      <c r="I167" s="47"/>
      <c r="J167" s="12">
        <v>1461.1</v>
      </c>
    </row>
    <row r="168" spans="1:10" ht="22.5" customHeight="1">
      <c r="A168" s="8" t="s">
        <v>296</v>
      </c>
      <c r="B168" s="9">
        <v>103670</v>
      </c>
      <c r="C168" s="8" t="s">
        <v>21</v>
      </c>
      <c r="D168" s="13" t="s">
        <v>46</v>
      </c>
      <c r="E168" s="10" t="s">
        <v>35</v>
      </c>
      <c r="F168" s="11">
        <v>2.61</v>
      </c>
      <c r="G168" s="11">
        <v>270.14</v>
      </c>
      <c r="H168" s="46">
        <v>331.13</v>
      </c>
      <c r="I168" s="47"/>
      <c r="J168" s="11">
        <v>864.24</v>
      </c>
    </row>
    <row r="169" spans="1:10" ht="30.3" customHeight="1">
      <c r="A169" s="8" t="s">
        <v>297</v>
      </c>
      <c r="B169" s="9">
        <v>92486</v>
      </c>
      <c r="C169" s="8" t="s">
        <v>21</v>
      </c>
      <c r="D169" s="8" t="s">
        <v>65</v>
      </c>
      <c r="E169" s="10" t="s">
        <v>23</v>
      </c>
      <c r="F169" s="11">
        <v>8.67</v>
      </c>
      <c r="G169" s="11">
        <v>147.82</v>
      </c>
      <c r="H169" s="46">
        <v>181.19</v>
      </c>
      <c r="I169" s="47"/>
      <c r="J169" s="12">
        <v>1570.91</v>
      </c>
    </row>
    <row r="170" spans="1:10" ht="30.3" customHeight="1">
      <c r="A170" s="8" t="s">
        <v>298</v>
      </c>
      <c r="B170" s="9">
        <v>92769</v>
      </c>
      <c r="C170" s="8" t="s">
        <v>21</v>
      </c>
      <c r="D170" s="8" t="s">
        <v>77</v>
      </c>
      <c r="E170" s="10" t="s">
        <v>53</v>
      </c>
      <c r="F170" s="15">
        <v>16.3</v>
      </c>
      <c r="G170" s="11">
        <v>11.75</v>
      </c>
      <c r="H170" s="46">
        <v>14.4</v>
      </c>
      <c r="I170" s="47"/>
      <c r="J170" s="11">
        <v>234.72</v>
      </c>
    </row>
    <row r="171" spans="1:10" ht="30.3" customHeight="1">
      <c r="A171" s="16">
        <v>40241</v>
      </c>
      <c r="B171" s="9">
        <v>92770</v>
      </c>
      <c r="C171" s="8" t="s">
        <v>21</v>
      </c>
      <c r="D171" s="8" t="s">
        <v>299</v>
      </c>
      <c r="E171" s="10" t="s">
        <v>53</v>
      </c>
      <c r="F171" s="15">
        <v>34.6</v>
      </c>
      <c r="G171" s="11">
        <v>11.04</v>
      </c>
      <c r="H171" s="46">
        <v>13.53</v>
      </c>
      <c r="I171" s="47"/>
      <c r="J171" s="11">
        <v>468.13</v>
      </c>
    </row>
    <row r="172" spans="1:10" ht="18.75" customHeight="1">
      <c r="A172" s="6" t="s">
        <v>300</v>
      </c>
      <c r="B172" s="5"/>
      <c r="C172" s="5"/>
      <c r="D172" s="6" t="s">
        <v>550</v>
      </c>
      <c r="E172" s="5"/>
      <c r="F172" s="5"/>
      <c r="G172" s="5"/>
      <c r="H172" s="44"/>
      <c r="I172" s="45"/>
      <c r="J172" s="7">
        <v>3247.75</v>
      </c>
    </row>
    <row r="173" spans="1:10" ht="40.200000000000003" customHeight="1">
      <c r="A173" s="8" t="s">
        <v>301</v>
      </c>
      <c r="B173" s="9">
        <v>103356</v>
      </c>
      <c r="C173" s="8" t="s">
        <v>21</v>
      </c>
      <c r="D173" s="8" t="s">
        <v>80</v>
      </c>
      <c r="E173" s="10" t="s">
        <v>23</v>
      </c>
      <c r="F173" s="11">
        <v>36.76</v>
      </c>
      <c r="G173" s="11">
        <v>55.26</v>
      </c>
      <c r="H173" s="46">
        <v>67.73</v>
      </c>
      <c r="I173" s="47"/>
      <c r="J173" s="12">
        <v>2489.75</v>
      </c>
    </row>
    <row r="174" spans="1:10" ht="22.5" customHeight="1">
      <c r="A174" s="8" t="s">
        <v>302</v>
      </c>
      <c r="B174" s="9">
        <v>105023</v>
      </c>
      <c r="C174" s="8" t="s">
        <v>21</v>
      </c>
      <c r="D174" s="13" t="s">
        <v>82</v>
      </c>
      <c r="E174" s="10" t="s">
        <v>26</v>
      </c>
      <c r="F174" s="15">
        <v>7.2</v>
      </c>
      <c r="G174" s="11">
        <v>58.42</v>
      </c>
      <c r="H174" s="46">
        <v>71.61</v>
      </c>
      <c r="I174" s="47"/>
      <c r="J174" s="11">
        <v>515.59</v>
      </c>
    </row>
    <row r="175" spans="1:10" ht="22.5" customHeight="1">
      <c r="A175" s="8" t="s">
        <v>303</v>
      </c>
      <c r="B175" s="9">
        <v>105029</v>
      </c>
      <c r="C175" s="8" t="s">
        <v>21</v>
      </c>
      <c r="D175" s="13" t="s">
        <v>84</v>
      </c>
      <c r="E175" s="10" t="s">
        <v>26</v>
      </c>
      <c r="F175" s="15">
        <v>4.5</v>
      </c>
      <c r="G175" s="11">
        <v>43.95</v>
      </c>
      <c r="H175" s="46">
        <v>53.87</v>
      </c>
      <c r="I175" s="47"/>
      <c r="J175" s="11">
        <v>242.41</v>
      </c>
    </row>
    <row r="176" spans="1:10" ht="18.75" customHeight="1">
      <c r="A176" s="6" t="s">
        <v>565</v>
      </c>
      <c r="B176" s="5"/>
      <c r="C176" s="5"/>
      <c r="D176" s="6" t="s">
        <v>551</v>
      </c>
      <c r="E176" s="5"/>
      <c r="F176" s="5"/>
      <c r="G176" s="5"/>
      <c r="H176" s="44"/>
      <c r="I176" s="45"/>
      <c r="J176" s="7">
        <v>6790.44</v>
      </c>
    </row>
    <row r="177" spans="1:10" ht="30.3" customHeight="1">
      <c r="A177" s="8" t="s">
        <v>304</v>
      </c>
      <c r="B177" s="9">
        <v>87878</v>
      </c>
      <c r="C177" s="8" t="s">
        <v>21</v>
      </c>
      <c r="D177" s="13" t="s">
        <v>87</v>
      </c>
      <c r="E177" s="10" t="s">
        <v>23</v>
      </c>
      <c r="F177" s="11">
        <v>36.76</v>
      </c>
      <c r="G177" s="11">
        <v>4.5</v>
      </c>
      <c r="H177" s="46">
        <v>5.51</v>
      </c>
      <c r="I177" s="47"/>
      <c r="J177" s="11">
        <v>202.54</v>
      </c>
    </row>
    <row r="178" spans="1:10" ht="40.200000000000003" customHeight="1">
      <c r="A178" s="8" t="s">
        <v>305</v>
      </c>
      <c r="B178" s="9">
        <v>87545</v>
      </c>
      <c r="C178" s="8" t="s">
        <v>21</v>
      </c>
      <c r="D178" s="8" t="s">
        <v>89</v>
      </c>
      <c r="E178" s="10" t="s">
        <v>23</v>
      </c>
      <c r="F178" s="11">
        <v>33.94</v>
      </c>
      <c r="G178" s="11">
        <v>26.44</v>
      </c>
      <c r="H178" s="46">
        <v>32.409999999999997</v>
      </c>
      <c r="I178" s="47"/>
      <c r="J178" s="12">
        <v>1099.99</v>
      </c>
    </row>
    <row r="179" spans="1:10" ht="40.200000000000003" customHeight="1">
      <c r="A179" s="8" t="s">
        <v>306</v>
      </c>
      <c r="B179" s="9">
        <v>87529</v>
      </c>
      <c r="C179" s="8" t="s">
        <v>21</v>
      </c>
      <c r="D179" s="8" t="s">
        <v>91</v>
      </c>
      <c r="E179" s="10" t="s">
        <v>23</v>
      </c>
      <c r="F179" s="11">
        <v>33.94</v>
      </c>
      <c r="G179" s="11">
        <v>32.880000000000003</v>
      </c>
      <c r="H179" s="46">
        <v>40.299999999999997</v>
      </c>
      <c r="I179" s="47"/>
      <c r="J179" s="12">
        <v>1367.78</v>
      </c>
    </row>
    <row r="180" spans="1:10" ht="40.200000000000003" customHeight="1">
      <c r="A180" s="8" t="s">
        <v>307</v>
      </c>
      <c r="B180" s="9">
        <v>87908</v>
      </c>
      <c r="C180" s="8" t="s">
        <v>21</v>
      </c>
      <c r="D180" s="13" t="s">
        <v>97</v>
      </c>
      <c r="E180" s="10" t="s">
        <v>23</v>
      </c>
      <c r="F180" s="11">
        <v>40.83</v>
      </c>
      <c r="G180" s="11">
        <v>5.58</v>
      </c>
      <c r="H180" s="46">
        <v>6.83</v>
      </c>
      <c r="I180" s="47"/>
      <c r="J180" s="11">
        <v>278.86</v>
      </c>
    </row>
    <row r="181" spans="1:10" ht="40.200000000000003" customHeight="1">
      <c r="A181" s="8" t="s">
        <v>308</v>
      </c>
      <c r="B181" s="9">
        <v>104218</v>
      </c>
      <c r="C181" s="8" t="s">
        <v>21</v>
      </c>
      <c r="D181" s="13" t="s">
        <v>99</v>
      </c>
      <c r="E181" s="10" t="s">
        <v>23</v>
      </c>
      <c r="F181" s="11">
        <v>40.83</v>
      </c>
      <c r="G181" s="11">
        <v>50.25</v>
      </c>
      <c r="H181" s="46">
        <v>61.59</v>
      </c>
      <c r="I181" s="47"/>
      <c r="J181" s="12">
        <v>2514.71</v>
      </c>
    </row>
    <row r="182" spans="1:10" ht="22.5" customHeight="1">
      <c r="A182" s="8" t="s">
        <v>309</v>
      </c>
      <c r="B182" s="9">
        <v>88497</v>
      </c>
      <c r="C182" s="8" t="s">
        <v>21</v>
      </c>
      <c r="D182" s="13" t="s">
        <v>310</v>
      </c>
      <c r="E182" s="10" t="s">
        <v>23</v>
      </c>
      <c r="F182" s="11">
        <v>40.83</v>
      </c>
      <c r="G182" s="11">
        <v>15.05</v>
      </c>
      <c r="H182" s="46">
        <v>18.440000000000001</v>
      </c>
      <c r="I182" s="47"/>
      <c r="J182" s="11">
        <v>752.9</v>
      </c>
    </row>
    <row r="183" spans="1:10" ht="22.5" customHeight="1">
      <c r="A183" s="8" t="s">
        <v>311</v>
      </c>
      <c r="B183" s="9">
        <v>88489</v>
      </c>
      <c r="C183" s="8" t="s">
        <v>21</v>
      </c>
      <c r="D183" s="13" t="s">
        <v>312</v>
      </c>
      <c r="E183" s="10" t="s">
        <v>23</v>
      </c>
      <c r="F183" s="11">
        <v>40.83</v>
      </c>
      <c r="G183" s="11">
        <v>11.47</v>
      </c>
      <c r="H183" s="46">
        <v>14.05</v>
      </c>
      <c r="I183" s="47"/>
      <c r="J183" s="11">
        <v>573.66</v>
      </c>
    </row>
    <row r="184" spans="1:10" ht="18.75" customHeight="1">
      <c r="A184" s="6" t="s">
        <v>313</v>
      </c>
      <c r="B184" s="5"/>
      <c r="C184" s="5"/>
      <c r="D184" s="6" t="s">
        <v>566</v>
      </c>
      <c r="E184" s="5"/>
      <c r="F184" s="5"/>
      <c r="G184" s="5"/>
      <c r="H184" s="44"/>
      <c r="I184" s="45"/>
      <c r="J184" s="7">
        <v>1850.61</v>
      </c>
    </row>
    <row r="185" spans="1:10" ht="22.5" customHeight="1">
      <c r="A185" s="8" t="s">
        <v>314</v>
      </c>
      <c r="B185" s="9">
        <v>88485</v>
      </c>
      <c r="C185" s="8" t="s">
        <v>21</v>
      </c>
      <c r="D185" s="13" t="s">
        <v>315</v>
      </c>
      <c r="E185" s="10" t="s">
        <v>23</v>
      </c>
      <c r="F185" s="11">
        <v>33.94</v>
      </c>
      <c r="G185" s="11">
        <v>3.49</v>
      </c>
      <c r="H185" s="46">
        <v>4.2699999999999996</v>
      </c>
      <c r="I185" s="47"/>
      <c r="J185" s="11">
        <v>144.91999999999999</v>
      </c>
    </row>
    <row r="186" spans="1:10" ht="22.5" customHeight="1">
      <c r="A186" s="8" t="s">
        <v>316</v>
      </c>
      <c r="B186" s="9">
        <v>88497</v>
      </c>
      <c r="C186" s="8" t="s">
        <v>21</v>
      </c>
      <c r="D186" s="13" t="s">
        <v>310</v>
      </c>
      <c r="E186" s="10" t="s">
        <v>23</v>
      </c>
      <c r="F186" s="11">
        <v>33.94</v>
      </c>
      <c r="G186" s="11">
        <v>15.05</v>
      </c>
      <c r="H186" s="46">
        <v>18.440000000000001</v>
      </c>
      <c r="I186" s="47"/>
      <c r="J186" s="11">
        <v>625.85</v>
      </c>
    </row>
    <row r="187" spans="1:10" ht="22.5" customHeight="1">
      <c r="A187" s="8" t="s">
        <v>317</v>
      </c>
      <c r="B187" s="9">
        <v>88489</v>
      </c>
      <c r="C187" s="8" t="s">
        <v>21</v>
      </c>
      <c r="D187" s="13" t="s">
        <v>312</v>
      </c>
      <c r="E187" s="10" t="s">
        <v>23</v>
      </c>
      <c r="F187" s="11">
        <v>33.94</v>
      </c>
      <c r="G187" s="11">
        <v>11.47</v>
      </c>
      <c r="H187" s="46">
        <v>14.05</v>
      </c>
      <c r="I187" s="47"/>
      <c r="J187" s="11">
        <v>476.85</v>
      </c>
    </row>
    <row r="188" spans="1:10" ht="30.3" customHeight="1">
      <c r="A188" s="8" t="s">
        <v>318</v>
      </c>
      <c r="B188" s="9">
        <v>96486</v>
      </c>
      <c r="C188" s="8" t="s">
        <v>21</v>
      </c>
      <c r="D188" s="8" t="s">
        <v>107</v>
      </c>
      <c r="E188" s="10" t="s">
        <v>23</v>
      </c>
      <c r="F188" s="11">
        <v>8.25</v>
      </c>
      <c r="G188" s="11">
        <v>59.63</v>
      </c>
      <c r="H188" s="46">
        <v>73.09</v>
      </c>
      <c r="I188" s="47"/>
      <c r="J188" s="11">
        <v>602.99</v>
      </c>
    </row>
    <row r="189" spans="1:10" ht="18.75" customHeight="1">
      <c r="A189" s="6" t="s">
        <v>319</v>
      </c>
      <c r="B189" s="5"/>
      <c r="C189" s="5"/>
      <c r="D189" s="6" t="s">
        <v>553</v>
      </c>
      <c r="E189" s="5"/>
      <c r="F189" s="5"/>
      <c r="G189" s="5"/>
      <c r="H189" s="44"/>
      <c r="I189" s="45"/>
      <c r="J189" s="7">
        <v>1293.9100000000001</v>
      </c>
    </row>
    <row r="190" spans="1:10" ht="30.3" customHeight="1">
      <c r="A190" s="8" t="s">
        <v>320</v>
      </c>
      <c r="B190" s="9">
        <v>95241</v>
      </c>
      <c r="C190" s="8" t="s">
        <v>21</v>
      </c>
      <c r="D190" s="8" t="s">
        <v>112</v>
      </c>
      <c r="E190" s="10" t="s">
        <v>23</v>
      </c>
      <c r="F190" s="11">
        <v>8.25</v>
      </c>
      <c r="G190" s="11">
        <v>33.9</v>
      </c>
      <c r="H190" s="46">
        <v>41.55</v>
      </c>
      <c r="I190" s="47"/>
      <c r="J190" s="11">
        <v>342.78</v>
      </c>
    </row>
    <row r="191" spans="1:10" ht="40.200000000000003" customHeight="1">
      <c r="A191" s="8" t="s">
        <v>321</v>
      </c>
      <c r="B191" s="9">
        <v>87622</v>
      </c>
      <c r="C191" s="8" t="s">
        <v>21</v>
      </c>
      <c r="D191" s="8" t="s">
        <v>114</v>
      </c>
      <c r="E191" s="10" t="s">
        <v>23</v>
      </c>
      <c r="F191" s="11">
        <v>8.25</v>
      </c>
      <c r="G191" s="11">
        <v>32.950000000000003</v>
      </c>
      <c r="H191" s="46">
        <v>40.39</v>
      </c>
      <c r="I191" s="47"/>
      <c r="J191" s="11">
        <v>333.21</v>
      </c>
    </row>
    <row r="192" spans="1:10" ht="30.3" customHeight="1">
      <c r="A192" s="8" t="s">
        <v>322</v>
      </c>
      <c r="B192" s="17" t="s">
        <v>93</v>
      </c>
      <c r="C192" s="8" t="s">
        <v>94</v>
      </c>
      <c r="D192" s="8" t="s">
        <v>95</v>
      </c>
      <c r="E192" s="10" t="s">
        <v>23</v>
      </c>
      <c r="F192" s="11">
        <v>8.25</v>
      </c>
      <c r="G192" s="11">
        <v>61.11</v>
      </c>
      <c r="H192" s="46">
        <v>74.900000000000006</v>
      </c>
      <c r="I192" s="47"/>
      <c r="J192" s="11">
        <v>617.91999999999996</v>
      </c>
    </row>
    <row r="193" spans="1:10" ht="18.75" customHeight="1">
      <c r="A193" s="6" t="s">
        <v>323</v>
      </c>
      <c r="B193" s="5"/>
      <c r="C193" s="5"/>
      <c r="D193" s="6" t="s">
        <v>554</v>
      </c>
      <c r="E193" s="5"/>
      <c r="F193" s="5"/>
      <c r="G193" s="5"/>
      <c r="H193" s="44"/>
      <c r="I193" s="45"/>
      <c r="J193" s="7">
        <v>13670.03</v>
      </c>
    </row>
    <row r="194" spans="1:10" ht="18.75" customHeight="1">
      <c r="A194" s="6" t="s">
        <v>324</v>
      </c>
      <c r="B194" s="5"/>
      <c r="C194" s="5"/>
      <c r="D194" s="6" t="s">
        <v>555</v>
      </c>
      <c r="E194" s="5"/>
      <c r="F194" s="5"/>
      <c r="G194" s="5"/>
      <c r="H194" s="44"/>
      <c r="I194" s="45"/>
      <c r="J194" s="7">
        <v>3065.2</v>
      </c>
    </row>
    <row r="195" spans="1:10" ht="30.3" customHeight="1">
      <c r="A195" s="8" t="s">
        <v>325</v>
      </c>
      <c r="B195" s="9">
        <v>102611</v>
      </c>
      <c r="C195" s="8" t="s">
        <v>21</v>
      </c>
      <c r="D195" s="8" t="s">
        <v>326</v>
      </c>
      <c r="E195" s="10" t="s">
        <v>120</v>
      </c>
      <c r="F195" s="9">
        <v>1</v>
      </c>
      <c r="G195" s="11">
        <v>452.67</v>
      </c>
      <c r="H195" s="46">
        <v>554.88</v>
      </c>
      <c r="I195" s="47"/>
      <c r="J195" s="11">
        <v>554.88</v>
      </c>
    </row>
    <row r="196" spans="1:10" ht="30.3" customHeight="1">
      <c r="A196" s="18" t="s">
        <v>327</v>
      </c>
      <c r="B196" s="19">
        <v>11762</v>
      </c>
      <c r="C196" s="18" t="s">
        <v>21</v>
      </c>
      <c r="D196" s="24" t="s">
        <v>328</v>
      </c>
      <c r="E196" s="20" t="s">
        <v>120</v>
      </c>
      <c r="F196" s="21">
        <v>1</v>
      </c>
      <c r="G196" s="22">
        <v>61.88</v>
      </c>
      <c r="H196" s="48">
        <v>75.849999999999994</v>
      </c>
      <c r="I196" s="49"/>
      <c r="J196" s="22">
        <v>75.849999999999994</v>
      </c>
    </row>
    <row r="197" spans="1:10" ht="22.5" customHeight="1">
      <c r="A197" s="8" t="s">
        <v>329</v>
      </c>
      <c r="B197" s="9">
        <v>86888</v>
      </c>
      <c r="C197" s="8" t="s">
        <v>21</v>
      </c>
      <c r="D197" s="13" t="s">
        <v>124</v>
      </c>
      <c r="E197" s="10" t="s">
        <v>120</v>
      </c>
      <c r="F197" s="9">
        <v>1</v>
      </c>
      <c r="G197" s="11">
        <v>482.31</v>
      </c>
      <c r="H197" s="46">
        <v>591.21</v>
      </c>
      <c r="I197" s="47"/>
      <c r="J197" s="11">
        <v>591.21</v>
      </c>
    </row>
    <row r="198" spans="1:10" ht="20.25" customHeight="1">
      <c r="A198" s="18" t="s">
        <v>330</v>
      </c>
      <c r="B198" s="19">
        <v>1370</v>
      </c>
      <c r="C198" s="18" t="s">
        <v>21</v>
      </c>
      <c r="D198" s="18" t="s">
        <v>126</v>
      </c>
      <c r="E198" s="20" t="s">
        <v>120</v>
      </c>
      <c r="F198" s="21">
        <v>1</v>
      </c>
      <c r="G198" s="22">
        <v>115.41</v>
      </c>
      <c r="H198" s="48">
        <v>141.46</v>
      </c>
      <c r="I198" s="49"/>
      <c r="J198" s="22">
        <v>141.46</v>
      </c>
    </row>
    <row r="199" spans="1:10" ht="30.3" customHeight="1">
      <c r="A199" s="18" t="s">
        <v>331</v>
      </c>
      <c r="B199" s="19">
        <v>10427</v>
      </c>
      <c r="C199" s="18" t="s">
        <v>21</v>
      </c>
      <c r="D199" s="18" t="s">
        <v>128</v>
      </c>
      <c r="E199" s="20" t="s">
        <v>120</v>
      </c>
      <c r="F199" s="21">
        <v>1</v>
      </c>
      <c r="G199" s="22">
        <v>486.81</v>
      </c>
      <c r="H199" s="48">
        <v>596.73</v>
      </c>
      <c r="I199" s="49"/>
      <c r="J199" s="22">
        <v>596.73</v>
      </c>
    </row>
    <row r="200" spans="1:10" ht="20.25" customHeight="1">
      <c r="A200" s="18" t="s">
        <v>332</v>
      </c>
      <c r="B200" s="19">
        <v>6136</v>
      </c>
      <c r="C200" s="18" t="s">
        <v>21</v>
      </c>
      <c r="D200" s="18" t="s">
        <v>130</v>
      </c>
      <c r="E200" s="20" t="s">
        <v>120</v>
      </c>
      <c r="F200" s="21">
        <v>1</v>
      </c>
      <c r="G200" s="22">
        <v>168.46</v>
      </c>
      <c r="H200" s="48">
        <v>206.49</v>
      </c>
      <c r="I200" s="49"/>
      <c r="J200" s="22">
        <v>206.49</v>
      </c>
    </row>
    <row r="201" spans="1:10" ht="22.5" customHeight="1">
      <c r="A201" s="8" t="s">
        <v>333</v>
      </c>
      <c r="B201" s="9">
        <v>86886</v>
      </c>
      <c r="C201" s="8" t="s">
        <v>21</v>
      </c>
      <c r="D201" s="13" t="s">
        <v>132</v>
      </c>
      <c r="E201" s="10" t="s">
        <v>120</v>
      </c>
      <c r="F201" s="9">
        <v>1</v>
      </c>
      <c r="G201" s="11">
        <v>43.27</v>
      </c>
      <c r="H201" s="46">
        <v>53.04</v>
      </c>
      <c r="I201" s="47"/>
      <c r="J201" s="11">
        <v>53.04</v>
      </c>
    </row>
    <row r="202" spans="1:10" ht="22.5" customHeight="1">
      <c r="A202" s="8" t="s">
        <v>334</v>
      </c>
      <c r="B202" s="9">
        <v>100860</v>
      </c>
      <c r="C202" s="8" t="s">
        <v>21</v>
      </c>
      <c r="D202" s="13" t="s">
        <v>335</v>
      </c>
      <c r="E202" s="10" t="s">
        <v>120</v>
      </c>
      <c r="F202" s="9">
        <v>1</v>
      </c>
      <c r="G202" s="11">
        <v>98.27</v>
      </c>
      <c r="H202" s="46">
        <v>120.45</v>
      </c>
      <c r="I202" s="47"/>
      <c r="J202" s="11">
        <v>120.45</v>
      </c>
    </row>
    <row r="203" spans="1:10" ht="30.3" customHeight="1">
      <c r="A203" s="8" t="s">
        <v>336</v>
      </c>
      <c r="B203" s="9">
        <v>89987</v>
      </c>
      <c r="C203" s="8" t="s">
        <v>21</v>
      </c>
      <c r="D203" s="13" t="s">
        <v>337</v>
      </c>
      <c r="E203" s="10" t="s">
        <v>120</v>
      </c>
      <c r="F203" s="9">
        <v>1</v>
      </c>
      <c r="G203" s="11">
        <v>94.11</v>
      </c>
      <c r="H203" s="46">
        <v>115.36</v>
      </c>
      <c r="I203" s="47"/>
      <c r="J203" s="11">
        <v>115.36</v>
      </c>
    </row>
    <row r="204" spans="1:10" ht="22.5" customHeight="1">
      <c r="A204" s="8" t="s">
        <v>338</v>
      </c>
      <c r="B204" s="9">
        <v>89351</v>
      </c>
      <c r="C204" s="8" t="s">
        <v>21</v>
      </c>
      <c r="D204" s="13" t="s">
        <v>339</v>
      </c>
      <c r="E204" s="10" t="s">
        <v>120</v>
      </c>
      <c r="F204" s="9">
        <v>1</v>
      </c>
      <c r="G204" s="11">
        <v>32.64</v>
      </c>
      <c r="H204" s="46">
        <v>40.01</v>
      </c>
      <c r="I204" s="47"/>
      <c r="J204" s="11">
        <v>40.01</v>
      </c>
    </row>
    <row r="205" spans="1:10" ht="22.5" customHeight="1">
      <c r="A205" s="8" t="s">
        <v>340</v>
      </c>
      <c r="B205" s="9">
        <v>94489</v>
      </c>
      <c r="C205" s="8" t="s">
        <v>21</v>
      </c>
      <c r="D205" s="13" t="s">
        <v>144</v>
      </c>
      <c r="E205" s="10" t="s">
        <v>120</v>
      </c>
      <c r="F205" s="9">
        <v>1</v>
      </c>
      <c r="G205" s="11">
        <v>21.8</v>
      </c>
      <c r="H205" s="46">
        <v>26.72</v>
      </c>
      <c r="I205" s="47"/>
      <c r="J205" s="11">
        <v>26.72</v>
      </c>
    </row>
    <row r="206" spans="1:10" ht="22.5" customHeight="1">
      <c r="A206" s="8" t="s">
        <v>341</v>
      </c>
      <c r="B206" s="9">
        <v>94490</v>
      </c>
      <c r="C206" s="8" t="s">
        <v>21</v>
      </c>
      <c r="D206" s="13" t="s">
        <v>342</v>
      </c>
      <c r="E206" s="10" t="s">
        <v>120</v>
      </c>
      <c r="F206" s="9">
        <v>1</v>
      </c>
      <c r="G206" s="11">
        <v>31.88</v>
      </c>
      <c r="H206" s="46">
        <v>39.07</v>
      </c>
      <c r="I206" s="47"/>
      <c r="J206" s="11">
        <v>39.07</v>
      </c>
    </row>
    <row r="207" spans="1:10" ht="40.200000000000003" customHeight="1">
      <c r="A207" s="8" t="s">
        <v>343</v>
      </c>
      <c r="B207" s="9">
        <v>94656</v>
      </c>
      <c r="C207" s="8" t="s">
        <v>21</v>
      </c>
      <c r="D207" s="8" t="s">
        <v>146</v>
      </c>
      <c r="E207" s="10" t="s">
        <v>120</v>
      </c>
      <c r="F207" s="9">
        <v>1</v>
      </c>
      <c r="G207" s="11">
        <v>2.92</v>
      </c>
      <c r="H207" s="46">
        <v>3.57</v>
      </c>
      <c r="I207" s="47"/>
      <c r="J207" s="11">
        <v>3.57</v>
      </c>
    </row>
    <row r="208" spans="1:10" ht="30.3" customHeight="1">
      <c r="A208" s="8" t="s">
        <v>344</v>
      </c>
      <c r="B208" s="9">
        <v>89364</v>
      </c>
      <c r="C208" s="8" t="s">
        <v>21</v>
      </c>
      <c r="D208" s="8" t="s">
        <v>150</v>
      </c>
      <c r="E208" s="10" t="s">
        <v>120</v>
      </c>
      <c r="F208" s="9">
        <v>7</v>
      </c>
      <c r="G208" s="11">
        <v>10.33</v>
      </c>
      <c r="H208" s="46">
        <v>12.66</v>
      </c>
      <c r="I208" s="47"/>
      <c r="J208" s="11">
        <v>88.62</v>
      </c>
    </row>
    <row r="209" spans="1:10" ht="30.3" customHeight="1">
      <c r="A209" s="8" t="s">
        <v>345</v>
      </c>
      <c r="B209" s="9">
        <v>89365</v>
      </c>
      <c r="C209" s="8" t="s">
        <v>21</v>
      </c>
      <c r="D209" s="8" t="s">
        <v>346</v>
      </c>
      <c r="E209" s="10" t="s">
        <v>120</v>
      </c>
      <c r="F209" s="9">
        <v>2</v>
      </c>
      <c r="G209" s="11">
        <v>9.83</v>
      </c>
      <c r="H209" s="46">
        <v>12.04</v>
      </c>
      <c r="I209" s="47"/>
      <c r="J209" s="11">
        <v>24.08</v>
      </c>
    </row>
    <row r="210" spans="1:10" ht="30.3" customHeight="1">
      <c r="A210" s="8" t="s">
        <v>347</v>
      </c>
      <c r="B210" s="9">
        <v>89363</v>
      </c>
      <c r="C210" s="8" t="s">
        <v>21</v>
      </c>
      <c r="D210" s="8" t="s">
        <v>154</v>
      </c>
      <c r="E210" s="10" t="s">
        <v>120</v>
      </c>
      <c r="F210" s="9">
        <v>2</v>
      </c>
      <c r="G210" s="11">
        <v>8.93</v>
      </c>
      <c r="H210" s="46">
        <v>10.94</v>
      </c>
      <c r="I210" s="47"/>
      <c r="J210" s="11">
        <v>21.88</v>
      </c>
    </row>
    <row r="211" spans="1:10" ht="30.3" customHeight="1">
      <c r="A211" s="8" t="s">
        <v>348</v>
      </c>
      <c r="B211" s="9">
        <v>89408</v>
      </c>
      <c r="C211" s="8" t="s">
        <v>21</v>
      </c>
      <c r="D211" s="13" t="s">
        <v>156</v>
      </c>
      <c r="E211" s="10" t="s">
        <v>120</v>
      </c>
      <c r="F211" s="9">
        <v>6</v>
      </c>
      <c r="G211" s="11">
        <v>7.49</v>
      </c>
      <c r="H211" s="46">
        <v>9.18</v>
      </c>
      <c r="I211" s="47"/>
      <c r="J211" s="11">
        <v>55.08</v>
      </c>
    </row>
    <row r="212" spans="1:10" ht="30.3" customHeight="1">
      <c r="A212" s="8" t="s">
        <v>349</v>
      </c>
      <c r="B212" s="9">
        <v>89367</v>
      </c>
      <c r="C212" s="8" t="s">
        <v>21</v>
      </c>
      <c r="D212" s="8" t="s">
        <v>350</v>
      </c>
      <c r="E212" s="10" t="s">
        <v>120</v>
      </c>
      <c r="F212" s="9">
        <v>3</v>
      </c>
      <c r="G212" s="11">
        <v>11.37</v>
      </c>
      <c r="H212" s="46">
        <v>13.93</v>
      </c>
      <c r="I212" s="47"/>
      <c r="J212" s="11">
        <v>41.79</v>
      </c>
    </row>
    <row r="213" spans="1:10" ht="22.5" customHeight="1">
      <c r="A213" s="8" t="s">
        <v>351</v>
      </c>
      <c r="B213" s="9">
        <v>89528</v>
      </c>
      <c r="C213" s="8" t="s">
        <v>21</v>
      </c>
      <c r="D213" s="13" t="s">
        <v>352</v>
      </c>
      <c r="E213" s="10" t="s">
        <v>120</v>
      </c>
      <c r="F213" s="9">
        <v>1</v>
      </c>
      <c r="G213" s="11">
        <v>3.61</v>
      </c>
      <c r="H213" s="46">
        <v>4.42</v>
      </c>
      <c r="I213" s="47"/>
      <c r="J213" s="11">
        <v>4.42</v>
      </c>
    </row>
    <row r="214" spans="1:10" ht="30.3" customHeight="1">
      <c r="A214" s="8" t="s">
        <v>353</v>
      </c>
      <c r="B214" s="9">
        <v>89381</v>
      </c>
      <c r="C214" s="8" t="s">
        <v>21</v>
      </c>
      <c r="D214" s="13" t="s">
        <v>354</v>
      </c>
      <c r="E214" s="10" t="s">
        <v>120</v>
      </c>
      <c r="F214" s="9">
        <v>1</v>
      </c>
      <c r="G214" s="11">
        <v>11.06</v>
      </c>
      <c r="H214" s="46">
        <v>13.55</v>
      </c>
      <c r="I214" s="47"/>
      <c r="J214" s="11">
        <v>13.55</v>
      </c>
    </row>
    <row r="215" spans="1:10" ht="22.5" customHeight="1">
      <c r="A215" s="8" t="s">
        <v>355</v>
      </c>
      <c r="B215" s="9">
        <v>89617</v>
      </c>
      <c r="C215" s="8" t="s">
        <v>21</v>
      </c>
      <c r="D215" s="13" t="s">
        <v>162</v>
      </c>
      <c r="E215" s="10" t="s">
        <v>120</v>
      </c>
      <c r="F215" s="9">
        <v>6</v>
      </c>
      <c r="G215" s="11">
        <v>6.45</v>
      </c>
      <c r="H215" s="46">
        <v>7.9</v>
      </c>
      <c r="I215" s="47"/>
      <c r="J215" s="11">
        <v>47.4</v>
      </c>
    </row>
    <row r="216" spans="1:10" ht="22.5" customHeight="1">
      <c r="A216" s="8" t="s">
        <v>356</v>
      </c>
      <c r="B216" s="9">
        <v>89620</v>
      </c>
      <c r="C216" s="8" t="s">
        <v>21</v>
      </c>
      <c r="D216" s="13" t="s">
        <v>357</v>
      </c>
      <c r="E216" s="10" t="s">
        <v>120</v>
      </c>
      <c r="F216" s="9">
        <v>1</v>
      </c>
      <c r="G216" s="11">
        <v>10.220000000000001</v>
      </c>
      <c r="H216" s="46">
        <v>12.52</v>
      </c>
      <c r="I216" s="47"/>
      <c r="J216" s="11">
        <v>12.52</v>
      </c>
    </row>
    <row r="217" spans="1:10" ht="22.5" customHeight="1">
      <c r="A217" s="8" t="s">
        <v>358</v>
      </c>
      <c r="B217" s="9">
        <v>89446</v>
      </c>
      <c r="C217" s="8" t="s">
        <v>21</v>
      </c>
      <c r="D217" s="13" t="s">
        <v>166</v>
      </c>
      <c r="E217" s="10" t="s">
        <v>26</v>
      </c>
      <c r="F217" s="11">
        <v>26.14</v>
      </c>
      <c r="G217" s="11">
        <v>4.97</v>
      </c>
      <c r="H217" s="46">
        <v>6.09</v>
      </c>
      <c r="I217" s="47"/>
      <c r="J217" s="11">
        <v>159.19</v>
      </c>
    </row>
    <row r="218" spans="1:10" ht="22.5" customHeight="1">
      <c r="A218" s="8" t="s">
        <v>359</v>
      </c>
      <c r="B218" s="9">
        <v>89447</v>
      </c>
      <c r="C218" s="8" t="s">
        <v>21</v>
      </c>
      <c r="D218" s="13" t="s">
        <v>360</v>
      </c>
      <c r="E218" s="10" t="s">
        <v>26</v>
      </c>
      <c r="F218" s="11">
        <v>2.62</v>
      </c>
      <c r="G218" s="11">
        <v>9.92</v>
      </c>
      <c r="H218" s="46">
        <v>12.15</v>
      </c>
      <c r="I218" s="47"/>
      <c r="J218" s="11">
        <v>31.83</v>
      </c>
    </row>
    <row r="219" spans="1:10" ht="18.75" customHeight="1">
      <c r="A219" s="6" t="s">
        <v>361</v>
      </c>
      <c r="B219" s="5"/>
      <c r="C219" s="5"/>
      <c r="D219" s="6" t="s">
        <v>567</v>
      </c>
      <c r="E219" s="5"/>
      <c r="F219" s="5"/>
      <c r="G219" s="5"/>
      <c r="H219" s="44"/>
      <c r="I219" s="45"/>
      <c r="J219" s="7">
        <v>3565.19</v>
      </c>
    </row>
    <row r="220" spans="1:10" ht="30.3" customHeight="1">
      <c r="A220" s="8" t="s">
        <v>362</v>
      </c>
      <c r="B220" s="9">
        <v>91893</v>
      </c>
      <c r="C220" s="8" t="s">
        <v>21</v>
      </c>
      <c r="D220" s="13" t="s">
        <v>363</v>
      </c>
      <c r="E220" s="10" t="s">
        <v>120</v>
      </c>
      <c r="F220" s="9">
        <v>2</v>
      </c>
      <c r="G220" s="11">
        <v>13.36</v>
      </c>
      <c r="H220" s="46">
        <v>16.37</v>
      </c>
      <c r="I220" s="47"/>
      <c r="J220" s="11">
        <v>32.74</v>
      </c>
    </row>
    <row r="221" spans="1:10" ht="30.3" customHeight="1">
      <c r="A221" s="8" t="s">
        <v>364</v>
      </c>
      <c r="B221" s="9">
        <v>95741</v>
      </c>
      <c r="C221" s="8" t="s">
        <v>21</v>
      </c>
      <c r="D221" s="8" t="s">
        <v>365</v>
      </c>
      <c r="E221" s="10" t="s">
        <v>120</v>
      </c>
      <c r="F221" s="9">
        <v>1</v>
      </c>
      <c r="G221" s="11">
        <v>13.08</v>
      </c>
      <c r="H221" s="46">
        <v>16.03</v>
      </c>
      <c r="I221" s="47"/>
      <c r="J221" s="11">
        <v>16.03</v>
      </c>
    </row>
    <row r="222" spans="1:10" ht="30.3" customHeight="1">
      <c r="A222" s="8" t="s">
        <v>366</v>
      </c>
      <c r="B222" s="9">
        <v>104447</v>
      </c>
      <c r="C222" s="8" t="s">
        <v>21</v>
      </c>
      <c r="D222" s="8" t="s">
        <v>367</v>
      </c>
      <c r="E222" s="10" t="s">
        <v>120</v>
      </c>
      <c r="F222" s="9">
        <v>4</v>
      </c>
      <c r="G222" s="11">
        <v>9.0299999999999994</v>
      </c>
      <c r="H222" s="46">
        <v>11.06</v>
      </c>
      <c r="I222" s="47"/>
      <c r="J222" s="11">
        <v>44.24</v>
      </c>
    </row>
    <row r="223" spans="1:10" ht="30.3" customHeight="1">
      <c r="A223" s="8" t="s">
        <v>368</v>
      </c>
      <c r="B223" s="9">
        <v>91953</v>
      </c>
      <c r="C223" s="8" t="s">
        <v>21</v>
      </c>
      <c r="D223" s="8" t="s">
        <v>186</v>
      </c>
      <c r="E223" s="10" t="s">
        <v>120</v>
      </c>
      <c r="F223" s="9">
        <v>1</v>
      </c>
      <c r="G223" s="11">
        <v>26.24</v>
      </c>
      <c r="H223" s="46">
        <v>32.159999999999997</v>
      </c>
      <c r="I223" s="47"/>
      <c r="J223" s="11">
        <v>32.159999999999997</v>
      </c>
    </row>
    <row r="224" spans="1:10" ht="30.3" customHeight="1">
      <c r="A224" s="8" t="s">
        <v>369</v>
      </c>
      <c r="B224" s="9">
        <v>92023</v>
      </c>
      <c r="C224" s="8" t="s">
        <v>21</v>
      </c>
      <c r="D224" s="13" t="s">
        <v>370</v>
      </c>
      <c r="E224" s="10" t="s">
        <v>120</v>
      </c>
      <c r="F224" s="9">
        <v>1</v>
      </c>
      <c r="G224" s="11">
        <v>44.66</v>
      </c>
      <c r="H224" s="46">
        <v>54.74</v>
      </c>
      <c r="I224" s="47"/>
      <c r="J224" s="11">
        <v>54.74</v>
      </c>
    </row>
    <row r="225" spans="1:10" ht="22.5" customHeight="1">
      <c r="A225" s="18" t="s">
        <v>371</v>
      </c>
      <c r="B225" s="19">
        <v>1872</v>
      </c>
      <c r="C225" s="18" t="s">
        <v>21</v>
      </c>
      <c r="D225" s="24" t="s">
        <v>372</v>
      </c>
      <c r="E225" s="20" t="s">
        <v>120</v>
      </c>
      <c r="F225" s="21">
        <v>1</v>
      </c>
      <c r="G225" s="22">
        <v>1.26</v>
      </c>
      <c r="H225" s="48">
        <v>1.54</v>
      </c>
      <c r="I225" s="49"/>
      <c r="J225" s="22">
        <v>1.54</v>
      </c>
    </row>
    <row r="226" spans="1:10" ht="30.3" customHeight="1">
      <c r="A226" s="8" t="s">
        <v>373</v>
      </c>
      <c r="B226" s="9">
        <v>101876</v>
      </c>
      <c r="C226" s="8" t="s">
        <v>21</v>
      </c>
      <c r="D226" s="13" t="s">
        <v>374</v>
      </c>
      <c r="E226" s="23" t="s">
        <v>120</v>
      </c>
      <c r="F226" s="9">
        <v>1</v>
      </c>
      <c r="G226" s="11">
        <v>97.32</v>
      </c>
      <c r="H226" s="46">
        <v>119.29</v>
      </c>
      <c r="I226" s="47"/>
      <c r="J226" s="11">
        <v>119.29</v>
      </c>
    </row>
    <row r="227" spans="1:10" ht="30.3" customHeight="1">
      <c r="A227" s="8" t="s">
        <v>375</v>
      </c>
      <c r="B227" s="9">
        <v>91996</v>
      </c>
      <c r="C227" s="8" t="s">
        <v>21</v>
      </c>
      <c r="D227" s="8" t="s">
        <v>376</v>
      </c>
      <c r="E227" s="23" t="s">
        <v>120</v>
      </c>
      <c r="F227" s="9">
        <v>1</v>
      </c>
      <c r="G227" s="11">
        <v>31</v>
      </c>
      <c r="H227" s="46">
        <v>37.99</v>
      </c>
      <c r="I227" s="47"/>
      <c r="J227" s="11">
        <v>37.99</v>
      </c>
    </row>
    <row r="228" spans="1:10" ht="30.3" customHeight="1">
      <c r="A228" s="8" t="s">
        <v>377</v>
      </c>
      <c r="B228" s="9">
        <v>92004</v>
      </c>
      <c r="C228" s="8" t="s">
        <v>21</v>
      </c>
      <c r="D228" s="8" t="s">
        <v>200</v>
      </c>
      <c r="E228" s="23" t="s">
        <v>120</v>
      </c>
      <c r="F228" s="9">
        <v>1</v>
      </c>
      <c r="G228" s="11">
        <v>49.45</v>
      </c>
      <c r="H228" s="46">
        <v>60.61</v>
      </c>
      <c r="I228" s="47"/>
      <c r="J228" s="11">
        <v>60.61</v>
      </c>
    </row>
    <row r="229" spans="1:10" ht="30.3" customHeight="1">
      <c r="A229" s="8" t="s">
        <v>378</v>
      </c>
      <c r="B229" s="9">
        <v>91924</v>
      </c>
      <c r="C229" s="8" t="s">
        <v>21</v>
      </c>
      <c r="D229" s="13" t="s">
        <v>204</v>
      </c>
      <c r="E229" s="23" t="s">
        <v>26</v>
      </c>
      <c r="F229" s="15">
        <v>16.600000000000001</v>
      </c>
      <c r="G229" s="11">
        <v>3.04</v>
      </c>
      <c r="H229" s="46">
        <v>3.72</v>
      </c>
      <c r="I229" s="47"/>
      <c r="J229" s="11">
        <v>61.75</v>
      </c>
    </row>
    <row r="230" spans="1:10" ht="30.3" customHeight="1">
      <c r="A230" s="8" t="s">
        <v>379</v>
      </c>
      <c r="B230" s="9">
        <v>91926</v>
      </c>
      <c r="C230" s="8" t="s">
        <v>21</v>
      </c>
      <c r="D230" s="13" t="s">
        <v>206</v>
      </c>
      <c r="E230" s="23" t="s">
        <v>26</v>
      </c>
      <c r="F230" s="15">
        <v>52.2</v>
      </c>
      <c r="G230" s="11">
        <v>4.47</v>
      </c>
      <c r="H230" s="46">
        <v>5.47</v>
      </c>
      <c r="I230" s="47"/>
      <c r="J230" s="11">
        <v>285.52999999999997</v>
      </c>
    </row>
    <row r="231" spans="1:10" ht="30.3" customHeight="1">
      <c r="A231" s="8" t="s">
        <v>380</v>
      </c>
      <c r="B231" s="9">
        <v>91931</v>
      </c>
      <c r="C231" s="8" t="s">
        <v>21</v>
      </c>
      <c r="D231" s="13" t="s">
        <v>202</v>
      </c>
      <c r="E231" s="23" t="s">
        <v>26</v>
      </c>
      <c r="F231" s="15">
        <v>112.2</v>
      </c>
      <c r="G231" s="11">
        <v>10.62</v>
      </c>
      <c r="H231" s="46">
        <v>13.01</v>
      </c>
      <c r="I231" s="47"/>
      <c r="J231" s="12">
        <v>1459.72</v>
      </c>
    </row>
    <row r="232" spans="1:10" ht="30.3" customHeight="1">
      <c r="A232" s="8" t="s">
        <v>381</v>
      </c>
      <c r="B232" s="9">
        <v>91869</v>
      </c>
      <c r="C232" s="8" t="s">
        <v>21</v>
      </c>
      <c r="D232" s="13" t="s">
        <v>382</v>
      </c>
      <c r="E232" s="23" t="s">
        <v>26</v>
      </c>
      <c r="F232" s="11">
        <v>33.450000000000003</v>
      </c>
      <c r="G232" s="11">
        <v>16.649999999999999</v>
      </c>
      <c r="H232" s="46">
        <v>20.399999999999999</v>
      </c>
      <c r="I232" s="47"/>
      <c r="J232" s="11">
        <v>682.38</v>
      </c>
    </row>
    <row r="233" spans="1:10" ht="22.5" customHeight="1">
      <c r="A233" s="8" t="s">
        <v>383</v>
      </c>
      <c r="B233" s="9">
        <v>95728</v>
      </c>
      <c r="C233" s="8" t="s">
        <v>21</v>
      </c>
      <c r="D233" s="13" t="s">
        <v>384</v>
      </c>
      <c r="E233" s="23" t="s">
        <v>26</v>
      </c>
      <c r="F233" s="11">
        <v>2.2799999999999998</v>
      </c>
      <c r="G233" s="11">
        <v>23.59</v>
      </c>
      <c r="H233" s="46">
        <v>28.91</v>
      </c>
      <c r="I233" s="47"/>
      <c r="J233" s="11">
        <v>65.91</v>
      </c>
    </row>
    <row r="234" spans="1:10" ht="30.3" customHeight="1">
      <c r="A234" s="8" t="s">
        <v>385</v>
      </c>
      <c r="B234" s="9">
        <v>91854</v>
      </c>
      <c r="C234" s="8" t="s">
        <v>21</v>
      </c>
      <c r="D234" s="13" t="s">
        <v>212</v>
      </c>
      <c r="E234" s="23" t="s">
        <v>26</v>
      </c>
      <c r="F234" s="11">
        <v>18.309999999999999</v>
      </c>
      <c r="G234" s="11">
        <v>8.82</v>
      </c>
      <c r="H234" s="46">
        <v>10.81</v>
      </c>
      <c r="I234" s="47"/>
      <c r="J234" s="11">
        <v>197.93</v>
      </c>
    </row>
    <row r="235" spans="1:10" ht="22.5" customHeight="1">
      <c r="A235" s="18" t="s">
        <v>386</v>
      </c>
      <c r="B235" s="19">
        <v>39469</v>
      </c>
      <c r="C235" s="18" t="s">
        <v>21</v>
      </c>
      <c r="D235" s="24" t="s">
        <v>387</v>
      </c>
      <c r="E235" s="25" t="s">
        <v>120</v>
      </c>
      <c r="F235" s="21">
        <v>1</v>
      </c>
      <c r="G235" s="22">
        <v>59.52</v>
      </c>
      <c r="H235" s="48">
        <v>72.95</v>
      </c>
      <c r="I235" s="49"/>
      <c r="J235" s="22">
        <v>72.95</v>
      </c>
    </row>
    <row r="236" spans="1:10" ht="22.5" customHeight="1">
      <c r="A236" s="18" t="s">
        <v>388</v>
      </c>
      <c r="B236" s="19">
        <v>39470</v>
      </c>
      <c r="C236" s="18" t="s">
        <v>21</v>
      </c>
      <c r="D236" s="24" t="s">
        <v>175</v>
      </c>
      <c r="E236" s="25" t="s">
        <v>120</v>
      </c>
      <c r="F236" s="21">
        <v>1</v>
      </c>
      <c r="G236" s="22">
        <v>73.13</v>
      </c>
      <c r="H236" s="48">
        <v>89.64</v>
      </c>
      <c r="I236" s="49"/>
      <c r="J236" s="22">
        <v>89.64</v>
      </c>
    </row>
    <row r="237" spans="1:10" ht="22.5" customHeight="1">
      <c r="A237" s="8" t="s">
        <v>389</v>
      </c>
      <c r="B237" s="9">
        <v>16</v>
      </c>
      <c r="C237" s="8" t="s">
        <v>94</v>
      </c>
      <c r="D237" s="13" t="s">
        <v>177</v>
      </c>
      <c r="E237" s="26" t="s">
        <v>178</v>
      </c>
      <c r="F237" s="9">
        <v>1</v>
      </c>
      <c r="G237" s="11">
        <v>160.38999999999999</v>
      </c>
      <c r="H237" s="46">
        <v>196.6</v>
      </c>
      <c r="I237" s="47"/>
      <c r="J237" s="11">
        <v>196.6</v>
      </c>
    </row>
    <row r="238" spans="1:10" ht="22.5" customHeight="1">
      <c r="A238" s="8" t="s">
        <v>390</v>
      </c>
      <c r="B238" s="9">
        <v>93653</v>
      </c>
      <c r="C238" s="8" t="s">
        <v>21</v>
      </c>
      <c r="D238" s="13" t="s">
        <v>180</v>
      </c>
      <c r="E238" s="23" t="s">
        <v>120</v>
      </c>
      <c r="F238" s="9">
        <v>3</v>
      </c>
      <c r="G238" s="11">
        <v>10.130000000000001</v>
      </c>
      <c r="H238" s="46">
        <v>12.41</v>
      </c>
      <c r="I238" s="47"/>
      <c r="J238" s="11">
        <v>37.229999999999997</v>
      </c>
    </row>
    <row r="239" spans="1:10" ht="22.5" customHeight="1">
      <c r="A239" s="8" t="s">
        <v>391</v>
      </c>
      <c r="B239" s="9">
        <v>93657</v>
      </c>
      <c r="C239" s="8" t="s">
        <v>21</v>
      </c>
      <c r="D239" s="13" t="s">
        <v>184</v>
      </c>
      <c r="E239" s="23" t="s">
        <v>120</v>
      </c>
      <c r="F239" s="9">
        <v>1</v>
      </c>
      <c r="G239" s="11">
        <v>13.23</v>
      </c>
      <c r="H239" s="46">
        <v>16.21</v>
      </c>
      <c r="I239" s="47"/>
      <c r="J239" s="11">
        <v>16.21</v>
      </c>
    </row>
    <row r="240" spans="1:10" ht="18.75" customHeight="1">
      <c r="A240" s="6" t="s">
        <v>392</v>
      </c>
      <c r="B240" s="5"/>
      <c r="C240" s="5"/>
      <c r="D240" s="6" t="s">
        <v>568</v>
      </c>
      <c r="E240" s="5"/>
      <c r="F240" s="5"/>
      <c r="G240" s="5"/>
      <c r="H240" s="44"/>
      <c r="I240" s="45"/>
      <c r="J240" s="7">
        <v>7039.64</v>
      </c>
    </row>
    <row r="241" spans="1:10" ht="30.3" customHeight="1">
      <c r="A241" s="8" t="s">
        <v>393</v>
      </c>
      <c r="B241" s="9">
        <v>98102</v>
      </c>
      <c r="C241" s="8" t="s">
        <v>21</v>
      </c>
      <c r="D241" s="13" t="s">
        <v>394</v>
      </c>
      <c r="E241" s="23" t="s">
        <v>120</v>
      </c>
      <c r="F241" s="9">
        <v>1</v>
      </c>
      <c r="G241" s="11">
        <v>189.43</v>
      </c>
      <c r="H241" s="46">
        <v>232.2</v>
      </c>
      <c r="I241" s="47"/>
      <c r="J241" s="11">
        <v>232.2</v>
      </c>
    </row>
    <row r="242" spans="1:10" ht="30.3" customHeight="1">
      <c r="A242" s="8" t="s">
        <v>395</v>
      </c>
      <c r="B242" s="9">
        <v>104063</v>
      </c>
      <c r="C242" s="8" t="s">
        <v>21</v>
      </c>
      <c r="D242" s="8" t="s">
        <v>396</v>
      </c>
      <c r="E242" s="23" t="s">
        <v>120</v>
      </c>
      <c r="F242" s="9">
        <v>1</v>
      </c>
      <c r="G242" s="11">
        <v>59.54</v>
      </c>
      <c r="H242" s="46">
        <v>72.98</v>
      </c>
      <c r="I242" s="47"/>
      <c r="J242" s="11">
        <v>72.98</v>
      </c>
    </row>
    <row r="243" spans="1:10" ht="40.200000000000003" customHeight="1">
      <c r="A243" s="8" t="s">
        <v>397</v>
      </c>
      <c r="B243" s="9">
        <v>89726</v>
      </c>
      <c r="C243" s="8" t="s">
        <v>21</v>
      </c>
      <c r="D243" s="8" t="s">
        <v>222</v>
      </c>
      <c r="E243" s="10" t="s">
        <v>120</v>
      </c>
      <c r="F243" s="9">
        <v>3</v>
      </c>
      <c r="G243" s="11">
        <v>8.94</v>
      </c>
      <c r="H243" s="46">
        <v>10.95</v>
      </c>
      <c r="I243" s="47"/>
      <c r="J243" s="11">
        <v>32.85</v>
      </c>
    </row>
    <row r="244" spans="1:10" ht="40.200000000000003" customHeight="1">
      <c r="A244" s="8" t="s">
        <v>398</v>
      </c>
      <c r="B244" s="9">
        <v>89732</v>
      </c>
      <c r="C244" s="8" t="s">
        <v>21</v>
      </c>
      <c r="D244" s="8" t="s">
        <v>224</v>
      </c>
      <c r="E244" s="10" t="s">
        <v>120</v>
      </c>
      <c r="F244" s="9">
        <v>3</v>
      </c>
      <c r="G244" s="11">
        <v>14.54</v>
      </c>
      <c r="H244" s="46">
        <v>17.82</v>
      </c>
      <c r="I244" s="47"/>
      <c r="J244" s="11">
        <v>53.46</v>
      </c>
    </row>
    <row r="245" spans="1:10" ht="40.200000000000003" customHeight="1">
      <c r="A245" s="8" t="s">
        <v>399</v>
      </c>
      <c r="B245" s="9">
        <v>89724</v>
      </c>
      <c r="C245" s="8" t="s">
        <v>21</v>
      </c>
      <c r="D245" s="8" t="s">
        <v>226</v>
      </c>
      <c r="E245" s="10" t="s">
        <v>120</v>
      </c>
      <c r="F245" s="9">
        <v>4</v>
      </c>
      <c r="G245" s="11">
        <v>8.73</v>
      </c>
      <c r="H245" s="46">
        <v>10.7</v>
      </c>
      <c r="I245" s="47"/>
      <c r="J245" s="11">
        <v>42.8</v>
      </c>
    </row>
    <row r="246" spans="1:10" ht="40.200000000000003" customHeight="1">
      <c r="A246" s="8" t="s">
        <v>400</v>
      </c>
      <c r="B246" s="9">
        <v>89731</v>
      </c>
      <c r="C246" s="8" t="s">
        <v>21</v>
      </c>
      <c r="D246" s="8" t="s">
        <v>158</v>
      </c>
      <c r="E246" s="10" t="s">
        <v>120</v>
      </c>
      <c r="F246" s="9">
        <v>3</v>
      </c>
      <c r="G246" s="11">
        <v>13.89</v>
      </c>
      <c r="H246" s="46">
        <v>17.02</v>
      </c>
      <c r="I246" s="47"/>
      <c r="J246" s="11">
        <v>51.06</v>
      </c>
    </row>
    <row r="247" spans="1:10" ht="40.200000000000003" customHeight="1">
      <c r="A247" s="8" t="s">
        <v>401</v>
      </c>
      <c r="B247" s="9">
        <v>89744</v>
      </c>
      <c r="C247" s="8" t="s">
        <v>21</v>
      </c>
      <c r="D247" s="8" t="s">
        <v>229</v>
      </c>
      <c r="E247" s="10" t="s">
        <v>120</v>
      </c>
      <c r="F247" s="9">
        <v>1</v>
      </c>
      <c r="G247" s="11">
        <v>25.4</v>
      </c>
      <c r="H247" s="46">
        <v>31.13</v>
      </c>
      <c r="I247" s="47"/>
      <c r="J247" s="11">
        <v>31.13</v>
      </c>
    </row>
    <row r="248" spans="1:10" ht="40.200000000000003" customHeight="1">
      <c r="A248" s="8" t="s">
        <v>402</v>
      </c>
      <c r="B248" s="9">
        <v>104353</v>
      </c>
      <c r="C248" s="8" t="s">
        <v>21</v>
      </c>
      <c r="D248" s="8" t="s">
        <v>233</v>
      </c>
      <c r="E248" s="10" t="s">
        <v>120</v>
      </c>
      <c r="F248" s="9">
        <v>1</v>
      </c>
      <c r="G248" s="11">
        <v>38.19</v>
      </c>
      <c r="H248" s="46">
        <v>46.81</v>
      </c>
      <c r="I248" s="47"/>
      <c r="J248" s="11">
        <v>46.81</v>
      </c>
    </row>
    <row r="249" spans="1:10" ht="40.200000000000003" customHeight="1">
      <c r="A249" s="8" t="s">
        <v>403</v>
      </c>
      <c r="B249" s="9">
        <v>89779</v>
      </c>
      <c r="C249" s="8" t="s">
        <v>21</v>
      </c>
      <c r="D249" s="8" t="s">
        <v>404</v>
      </c>
      <c r="E249" s="10" t="s">
        <v>120</v>
      </c>
      <c r="F249" s="9">
        <v>1</v>
      </c>
      <c r="G249" s="11">
        <v>31.55</v>
      </c>
      <c r="H249" s="46">
        <v>38.67</v>
      </c>
      <c r="I249" s="47"/>
      <c r="J249" s="11">
        <v>38.67</v>
      </c>
    </row>
    <row r="250" spans="1:10" ht="40.200000000000003" customHeight="1">
      <c r="A250" s="8" t="s">
        <v>405</v>
      </c>
      <c r="B250" s="9">
        <v>104348</v>
      </c>
      <c r="C250" s="8" t="s">
        <v>21</v>
      </c>
      <c r="D250" s="8" t="s">
        <v>235</v>
      </c>
      <c r="E250" s="10" t="s">
        <v>120</v>
      </c>
      <c r="F250" s="9">
        <v>1</v>
      </c>
      <c r="G250" s="11">
        <v>9.5</v>
      </c>
      <c r="H250" s="46">
        <v>11.64</v>
      </c>
      <c r="I250" s="47"/>
      <c r="J250" s="11">
        <v>11.64</v>
      </c>
    </row>
    <row r="251" spans="1:10" ht="30.3" customHeight="1">
      <c r="A251" s="8" t="s">
        <v>406</v>
      </c>
      <c r="B251" s="9">
        <v>89696</v>
      </c>
      <c r="C251" s="8" t="s">
        <v>21</v>
      </c>
      <c r="D251" s="13" t="s">
        <v>407</v>
      </c>
      <c r="E251" s="10" t="s">
        <v>120</v>
      </c>
      <c r="F251" s="9">
        <v>1</v>
      </c>
      <c r="G251" s="11">
        <v>75.38</v>
      </c>
      <c r="H251" s="46">
        <v>92.4</v>
      </c>
      <c r="I251" s="47"/>
      <c r="J251" s="11">
        <v>92.4</v>
      </c>
    </row>
    <row r="252" spans="1:10" ht="40.200000000000003" customHeight="1">
      <c r="A252" s="8" t="s">
        <v>408</v>
      </c>
      <c r="B252" s="9">
        <v>104329</v>
      </c>
      <c r="C252" s="8" t="s">
        <v>21</v>
      </c>
      <c r="D252" s="8" t="s">
        <v>241</v>
      </c>
      <c r="E252" s="10" t="s">
        <v>120</v>
      </c>
      <c r="F252" s="9">
        <v>1</v>
      </c>
      <c r="G252" s="11">
        <v>63.21</v>
      </c>
      <c r="H252" s="46">
        <v>77.48</v>
      </c>
      <c r="I252" s="47"/>
      <c r="J252" s="11">
        <v>77.48</v>
      </c>
    </row>
    <row r="253" spans="1:10" ht="22.5" customHeight="1">
      <c r="A253" s="18" t="s">
        <v>409</v>
      </c>
      <c r="B253" s="19">
        <v>11745</v>
      </c>
      <c r="C253" s="18" t="s">
        <v>21</v>
      </c>
      <c r="D253" s="24" t="s">
        <v>410</v>
      </c>
      <c r="E253" s="20" t="s">
        <v>120</v>
      </c>
      <c r="F253" s="21">
        <v>1</v>
      </c>
      <c r="G253" s="22">
        <v>11.96</v>
      </c>
      <c r="H253" s="48">
        <v>14.66</v>
      </c>
      <c r="I253" s="49"/>
      <c r="J253" s="22">
        <v>14.66</v>
      </c>
    </row>
    <row r="254" spans="1:10" ht="30.3" customHeight="1">
      <c r="A254" s="8" t="s">
        <v>411</v>
      </c>
      <c r="B254" s="9">
        <v>89711</v>
      </c>
      <c r="C254" s="8" t="s">
        <v>21</v>
      </c>
      <c r="D254" s="13" t="s">
        <v>412</v>
      </c>
      <c r="E254" s="10" t="s">
        <v>26</v>
      </c>
      <c r="F254" s="11">
        <v>2.54</v>
      </c>
      <c r="G254" s="11">
        <v>19.02</v>
      </c>
      <c r="H254" s="46">
        <v>23.31</v>
      </c>
      <c r="I254" s="47"/>
      <c r="J254" s="11">
        <v>59.2</v>
      </c>
    </row>
    <row r="255" spans="1:10" ht="30.3" customHeight="1">
      <c r="A255" s="8" t="s">
        <v>413</v>
      </c>
      <c r="B255" s="9">
        <v>89712</v>
      </c>
      <c r="C255" s="8" t="s">
        <v>21</v>
      </c>
      <c r="D255" s="13" t="s">
        <v>247</v>
      </c>
      <c r="E255" s="10" t="s">
        <v>26</v>
      </c>
      <c r="F255" s="11">
        <v>5.05</v>
      </c>
      <c r="G255" s="11">
        <v>24.11</v>
      </c>
      <c r="H255" s="46">
        <v>29.55</v>
      </c>
      <c r="I255" s="47"/>
      <c r="J255" s="11">
        <v>149.22</v>
      </c>
    </row>
    <row r="256" spans="1:10" ht="30.3" customHeight="1">
      <c r="A256" s="8" t="s">
        <v>414</v>
      </c>
      <c r="B256" s="9">
        <v>89714</v>
      </c>
      <c r="C256" s="8" t="s">
        <v>21</v>
      </c>
      <c r="D256" s="13" t="s">
        <v>251</v>
      </c>
      <c r="E256" s="10" t="s">
        <v>26</v>
      </c>
      <c r="F256" s="11">
        <v>13.78</v>
      </c>
      <c r="G256" s="11">
        <v>33.56</v>
      </c>
      <c r="H256" s="46">
        <v>41.13</v>
      </c>
      <c r="I256" s="47"/>
      <c r="J256" s="11">
        <v>566.77</v>
      </c>
    </row>
    <row r="257" spans="1:11" ht="30.3" customHeight="1">
      <c r="A257" s="8" t="s">
        <v>415</v>
      </c>
      <c r="B257" s="9">
        <v>89696</v>
      </c>
      <c r="C257" s="8" t="s">
        <v>21</v>
      </c>
      <c r="D257" s="13" t="s">
        <v>407</v>
      </c>
      <c r="E257" s="10" t="s">
        <v>120</v>
      </c>
      <c r="F257" s="9">
        <v>1</v>
      </c>
      <c r="G257" s="11">
        <v>75.38</v>
      </c>
      <c r="H257" s="46">
        <v>92.4</v>
      </c>
      <c r="I257" s="47"/>
      <c r="J257" s="11">
        <v>92.4</v>
      </c>
    </row>
    <row r="258" spans="1:11" ht="40.200000000000003" customHeight="1">
      <c r="A258" s="8" t="s">
        <v>416</v>
      </c>
      <c r="B258" s="9">
        <v>98083</v>
      </c>
      <c r="C258" s="8" t="s">
        <v>21</v>
      </c>
      <c r="D258" s="8" t="s">
        <v>417</v>
      </c>
      <c r="E258" s="10" t="s">
        <v>120</v>
      </c>
      <c r="F258" s="9">
        <v>1</v>
      </c>
      <c r="G258" s="12">
        <v>4384.01</v>
      </c>
      <c r="H258" s="50">
        <v>5373.91</v>
      </c>
      <c r="I258" s="51"/>
      <c r="J258" s="12">
        <v>5373.91</v>
      </c>
    </row>
    <row r="259" spans="1:11" ht="18.75" customHeight="1">
      <c r="A259" s="6" t="s">
        <v>418</v>
      </c>
      <c r="B259" s="5"/>
      <c r="C259" s="5"/>
      <c r="D259" s="6" t="s">
        <v>560</v>
      </c>
      <c r="E259" s="5"/>
      <c r="F259" s="5"/>
      <c r="G259" s="5"/>
      <c r="H259" s="44"/>
      <c r="I259" s="45"/>
      <c r="J259" s="7">
        <v>4274.7</v>
      </c>
    </row>
    <row r="260" spans="1:11" ht="30.3" customHeight="1">
      <c r="A260" s="8" t="s">
        <v>419</v>
      </c>
      <c r="B260" s="9">
        <v>94204</v>
      </c>
      <c r="C260" s="8" t="s">
        <v>21</v>
      </c>
      <c r="D260" s="8" t="s">
        <v>255</v>
      </c>
      <c r="E260" s="10" t="s">
        <v>23</v>
      </c>
      <c r="F260" s="11">
        <v>13.28</v>
      </c>
      <c r="G260" s="11">
        <v>43.2</v>
      </c>
      <c r="H260" s="46">
        <v>52.95</v>
      </c>
      <c r="I260" s="47"/>
      <c r="J260" s="11">
        <v>703.17</v>
      </c>
    </row>
    <row r="261" spans="1:11" ht="40.200000000000003" customHeight="1">
      <c r="A261" s="8" t="s">
        <v>420</v>
      </c>
      <c r="B261" s="9">
        <v>92540</v>
      </c>
      <c r="C261" s="8" t="s">
        <v>21</v>
      </c>
      <c r="D261" s="13" t="s">
        <v>257</v>
      </c>
      <c r="E261" s="10" t="s">
        <v>23</v>
      </c>
      <c r="F261" s="11">
        <v>13.28</v>
      </c>
      <c r="G261" s="11">
        <v>75.66</v>
      </c>
      <c r="H261" s="46">
        <v>92.74</v>
      </c>
      <c r="I261" s="47"/>
      <c r="J261" s="12">
        <v>1231.58</v>
      </c>
    </row>
    <row r="262" spans="1:11" ht="30.3" customHeight="1">
      <c r="A262" s="8" t="s">
        <v>421</v>
      </c>
      <c r="B262" s="9">
        <v>92545</v>
      </c>
      <c r="C262" s="8" t="s">
        <v>21</v>
      </c>
      <c r="D262" s="13" t="s">
        <v>422</v>
      </c>
      <c r="E262" s="10" t="s">
        <v>120</v>
      </c>
      <c r="F262" s="9">
        <v>2</v>
      </c>
      <c r="G262" s="11">
        <v>912.78</v>
      </c>
      <c r="H262" s="50">
        <v>1118.8800000000001</v>
      </c>
      <c r="I262" s="51"/>
      <c r="J262" s="12">
        <v>2237.7600000000002</v>
      </c>
    </row>
    <row r="263" spans="1:11" ht="40.200000000000003" customHeight="1">
      <c r="A263" s="8" t="s">
        <v>423</v>
      </c>
      <c r="B263" s="9">
        <v>94221</v>
      </c>
      <c r="C263" s="8" t="s">
        <v>21</v>
      </c>
      <c r="D263" s="8" t="s">
        <v>424</v>
      </c>
      <c r="E263" s="10" t="s">
        <v>26</v>
      </c>
      <c r="F263" s="15">
        <v>3.2</v>
      </c>
      <c r="G263" s="11">
        <v>21.47</v>
      </c>
      <c r="H263" s="46">
        <v>26.31</v>
      </c>
      <c r="I263" s="47"/>
      <c r="J263" s="11">
        <v>84.19</v>
      </c>
    </row>
    <row r="264" spans="1:11" ht="20.25" customHeight="1">
      <c r="A264" s="8" t="s">
        <v>425</v>
      </c>
      <c r="B264" s="9">
        <v>102233</v>
      </c>
      <c r="C264" s="8" t="s">
        <v>21</v>
      </c>
      <c r="D264" s="8" t="s">
        <v>263</v>
      </c>
      <c r="E264" s="10" t="s">
        <v>23</v>
      </c>
      <c r="F264" s="11">
        <v>1.33</v>
      </c>
      <c r="G264" s="11">
        <v>11.05</v>
      </c>
      <c r="H264" s="46">
        <v>13.54</v>
      </c>
      <c r="I264" s="47"/>
      <c r="J264" s="11">
        <v>18</v>
      </c>
    </row>
    <row r="265" spans="1:11" ht="18.75" customHeight="1">
      <c r="A265" s="6" t="s">
        <v>426</v>
      </c>
      <c r="B265" s="5"/>
      <c r="C265" s="5"/>
      <c r="D265" s="6" t="s">
        <v>561</v>
      </c>
      <c r="E265" s="5"/>
      <c r="F265" s="5"/>
      <c r="G265" s="5"/>
      <c r="H265" s="44"/>
      <c r="I265" s="45"/>
      <c r="J265" s="7">
        <v>1059.28</v>
      </c>
    </row>
    <row r="266" spans="1:11" ht="30.3" customHeight="1">
      <c r="A266" s="8" t="s">
        <v>427</v>
      </c>
      <c r="B266" s="9">
        <v>90822</v>
      </c>
      <c r="C266" s="8" t="s">
        <v>21</v>
      </c>
      <c r="D266" s="13" t="s">
        <v>428</v>
      </c>
      <c r="E266" s="10" t="s">
        <v>120</v>
      </c>
      <c r="F266" s="9">
        <v>1</v>
      </c>
      <c r="G266" s="11">
        <v>362.03</v>
      </c>
      <c r="H266" s="46">
        <v>443.77</v>
      </c>
      <c r="I266" s="47"/>
      <c r="J266" s="11">
        <v>443.77</v>
      </c>
    </row>
    <row r="267" spans="1:11" ht="30.3" customHeight="1">
      <c r="A267" s="8" t="s">
        <v>429</v>
      </c>
      <c r="B267" s="9">
        <v>91010</v>
      </c>
      <c r="C267" s="8" t="s">
        <v>21</v>
      </c>
      <c r="D267" s="13" t="s">
        <v>430</v>
      </c>
      <c r="E267" s="10" t="s">
        <v>120</v>
      </c>
      <c r="F267" s="9">
        <v>1</v>
      </c>
      <c r="G267" s="11">
        <v>350.5</v>
      </c>
      <c r="H267" s="46">
        <v>429.64</v>
      </c>
      <c r="I267" s="47"/>
      <c r="J267" s="11">
        <v>429.64</v>
      </c>
    </row>
    <row r="268" spans="1:11" ht="30.3" customHeight="1">
      <c r="A268" s="8" t="s">
        <v>431</v>
      </c>
      <c r="B268" s="9">
        <v>101162</v>
      </c>
      <c r="C268" s="8" t="s">
        <v>21</v>
      </c>
      <c r="D268" s="13" t="s">
        <v>432</v>
      </c>
      <c r="E268" s="10" t="s">
        <v>23</v>
      </c>
      <c r="F268" s="11">
        <v>1.08</v>
      </c>
      <c r="G268" s="11">
        <v>140.41</v>
      </c>
      <c r="H268" s="46">
        <v>172.11</v>
      </c>
      <c r="I268" s="47"/>
      <c r="J268" s="11">
        <v>185.87</v>
      </c>
    </row>
    <row r="269" spans="1:11" ht="18.75" customHeight="1">
      <c r="A269" s="4">
        <v>4</v>
      </c>
      <c r="B269" s="5"/>
      <c r="C269" s="5"/>
      <c r="D269" s="6" t="s">
        <v>569</v>
      </c>
      <c r="E269" s="5"/>
      <c r="F269" s="5"/>
      <c r="G269" s="5"/>
      <c r="H269" s="44"/>
      <c r="I269" s="45"/>
      <c r="J269" s="7">
        <v>92758</v>
      </c>
      <c r="K269" s="30">
        <f>J270+J273+J285</f>
        <v>34630.85</v>
      </c>
    </row>
    <row r="270" spans="1:11" ht="18.75" customHeight="1">
      <c r="A270" s="6" t="s">
        <v>433</v>
      </c>
      <c r="B270" s="5"/>
      <c r="C270" s="5"/>
      <c r="D270" s="6" t="s">
        <v>547</v>
      </c>
      <c r="E270" s="5"/>
      <c r="F270" s="5"/>
      <c r="G270" s="5"/>
      <c r="H270" s="44"/>
      <c r="I270" s="45"/>
      <c r="J270" s="7">
        <v>3514.02</v>
      </c>
      <c r="K270" s="30">
        <f>SUM(J270,J273,J285,J286,J287,J288,J289)</f>
        <v>47661.67</v>
      </c>
    </row>
    <row r="271" spans="1:11" ht="18.75" customHeight="1">
      <c r="A271" s="8" t="s">
        <v>434</v>
      </c>
      <c r="B271" s="9">
        <v>93358</v>
      </c>
      <c r="C271" s="8" t="s">
        <v>21</v>
      </c>
      <c r="D271" s="8" t="s">
        <v>34</v>
      </c>
      <c r="E271" s="10" t="s">
        <v>35</v>
      </c>
      <c r="F271" s="11">
        <v>30.57</v>
      </c>
      <c r="G271" s="11">
        <v>78.989999999999995</v>
      </c>
      <c r="H271" s="46">
        <v>96.82</v>
      </c>
      <c r="I271" s="47"/>
      <c r="J271" s="12">
        <v>2959.78</v>
      </c>
    </row>
    <row r="272" spans="1:11" ht="20.25" customHeight="1">
      <c r="A272" s="8" t="s">
        <v>435</v>
      </c>
      <c r="B272" s="9">
        <v>104737</v>
      </c>
      <c r="C272" s="8" t="s">
        <v>21</v>
      </c>
      <c r="D272" s="8" t="s">
        <v>37</v>
      </c>
      <c r="E272" s="10" t="s">
        <v>35</v>
      </c>
      <c r="F272" s="11">
        <v>22.43</v>
      </c>
      <c r="G272" s="11">
        <v>20.16</v>
      </c>
      <c r="H272" s="46">
        <v>24.71</v>
      </c>
      <c r="I272" s="47"/>
      <c r="J272" s="11">
        <v>554.24</v>
      </c>
    </row>
    <row r="273" spans="1:10" ht="18.75" customHeight="1">
      <c r="A273" s="6" t="s">
        <v>436</v>
      </c>
      <c r="B273" s="5"/>
      <c r="C273" s="5"/>
      <c r="D273" s="6" t="s">
        <v>548</v>
      </c>
      <c r="E273" s="5"/>
      <c r="F273" s="5"/>
      <c r="G273" s="5"/>
      <c r="H273" s="44"/>
      <c r="I273" s="45"/>
      <c r="J273" s="7">
        <v>24777.85</v>
      </c>
    </row>
    <row r="274" spans="1:10" ht="30.3" customHeight="1">
      <c r="A274" s="8" t="s">
        <v>437</v>
      </c>
      <c r="B274" s="9">
        <v>96619</v>
      </c>
      <c r="C274" s="8" t="s">
        <v>21</v>
      </c>
      <c r="D274" s="8" t="s">
        <v>40</v>
      </c>
      <c r="E274" s="10" t="s">
        <v>23</v>
      </c>
      <c r="F274" s="11">
        <v>20.49</v>
      </c>
      <c r="G274" s="11">
        <v>36.630000000000003</v>
      </c>
      <c r="H274" s="46">
        <v>44.9</v>
      </c>
      <c r="I274" s="47"/>
      <c r="J274" s="11">
        <v>920</v>
      </c>
    </row>
    <row r="275" spans="1:10" ht="22.5" customHeight="1">
      <c r="A275" s="8" t="s">
        <v>438</v>
      </c>
      <c r="B275" s="9">
        <v>101616</v>
      </c>
      <c r="C275" s="8" t="s">
        <v>21</v>
      </c>
      <c r="D275" s="13" t="s">
        <v>42</v>
      </c>
      <c r="E275" s="10" t="s">
        <v>23</v>
      </c>
      <c r="F275" s="9">
        <v>35</v>
      </c>
      <c r="G275" s="11">
        <v>5.77</v>
      </c>
      <c r="H275" s="46">
        <v>7.07</v>
      </c>
      <c r="I275" s="47"/>
      <c r="J275" s="11">
        <v>247.45</v>
      </c>
    </row>
    <row r="276" spans="1:10" ht="30.3" customHeight="1">
      <c r="A276" s="8" t="s">
        <v>439</v>
      </c>
      <c r="B276" s="9">
        <v>94971</v>
      </c>
      <c r="C276" s="8" t="s">
        <v>21</v>
      </c>
      <c r="D276" s="13" t="s">
        <v>44</v>
      </c>
      <c r="E276" s="10" t="s">
        <v>35</v>
      </c>
      <c r="F276" s="11">
        <v>8.14</v>
      </c>
      <c r="G276" s="11">
        <v>456.69</v>
      </c>
      <c r="H276" s="46">
        <v>559.80999999999995</v>
      </c>
      <c r="I276" s="47"/>
      <c r="J276" s="12">
        <v>4556.8500000000004</v>
      </c>
    </row>
    <row r="277" spans="1:10" ht="22.5" customHeight="1">
      <c r="A277" s="8" t="s">
        <v>440</v>
      </c>
      <c r="B277" s="9">
        <v>103670</v>
      </c>
      <c r="C277" s="8" t="s">
        <v>21</v>
      </c>
      <c r="D277" s="13" t="s">
        <v>46</v>
      </c>
      <c r="E277" s="10" t="s">
        <v>35</v>
      </c>
      <c r="F277" s="11">
        <v>8.14</v>
      </c>
      <c r="G277" s="11">
        <v>270.14</v>
      </c>
      <c r="H277" s="46">
        <v>331.13</v>
      </c>
      <c r="I277" s="47"/>
      <c r="J277" s="12">
        <v>2695.39</v>
      </c>
    </row>
    <row r="278" spans="1:10" ht="30.3" customHeight="1">
      <c r="A278" s="8" t="s">
        <v>441</v>
      </c>
      <c r="B278" s="9">
        <v>104927</v>
      </c>
      <c r="C278" s="8" t="s">
        <v>21</v>
      </c>
      <c r="D278" s="8" t="s">
        <v>48</v>
      </c>
      <c r="E278" s="10" t="s">
        <v>23</v>
      </c>
      <c r="F278" s="11">
        <v>22.77</v>
      </c>
      <c r="G278" s="11">
        <v>76.37</v>
      </c>
      <c r="H278" s="46">
        <v>93.61</v>
      </c>
      <c r="I278" s="47"/>
      <c r="J278" s="12">
        <v>2131.4899999999998</v>
      </c>
    </row>
    <row r="279" spans="1:10" ht="30.3" customHeight="1">
      <c r="A279" s="8" t="s">
        <v>442</v>
      </c>
      <c r="B279" s="9">
        <v>96542</v>
      </c>
      <c r="C279" s="8" t="s">
        <v>21</v>
      </c>
      <c r="D279" s="13" t="s">
        <v>50</v>
      </c>
      <c r="E279" s="10" t="s">
        <v>23</v>
      </c>
      <c r="F279" s="11">
        <v>45.05</v>
      </c>
      <c r="G279" s="11">
        <v>84.01</v>
      </c>
      <c r="H279" s="46">
        <v>102.97</v>
      </c>
      <c r="I279" s="47"/>
      <c r="J279" s="12">
        <v>4638.79</v>
      </c>
    </row>
    <row r="280" spans="1:10" ht="30.3" customHeight="1">
      <c r="A280" s="8" t="s">
        <v>443</v>
      </c>
      <c r="B280" s="9">
        <v>104917</v>
      </c>
      <c r="C280" s="8" t="s">
        <v>21</v>
      </c>
      <c r="D280" s="8" t="s">
        <v>52</v>
      </c>
      <c r="E280" s="10" t="s">
        <v>53</v>
      </c>
      <c r="F280" s="15">
        <v>138.69999999999999</v>
      </c>
      <c r="G280" s="11">
        <v>14.2</v>
      </c>
      <c r="H280" s="46">
        <v>17.399999999999999</v>
      </c>
      <c r="I280" s="47"/>
      <c r="J280" s="12">
        <v>2413.38</v>
      </c>
    </row>
    <row r="281" spans="1:10" ht="30.3" customHeight="1">
      <c r="A281" s="8" t="s">
        <v>444</v>
      </c>
      <c r="B281" s="9">
        <v>104916</v>
      </c>
      <c r="C281" s="8" t="s">
        <v>21</v>
      </c>
      <c r="D281" s="8" t="s">
        <v>55</v>
      </c>
      <c r="E281" s="10" t="s">
        <v>53</v>
      </c>
      <c r="F281" s="9">
        <v>89</v>
      </c>
      <c r="G281" s="11">
        <v>15.3</v>
      </c>
      <c r="H281" s="46">
        <v>18.75</v>
      </c>
      <c r="I281" s="47"/>
      <c r="J281" s="12">
        <v>1668.75</v>
      </c>
    </row>
    <row r="282" spans="1:10" ht="30.3" customHeight="1">
      <c r="A282" s="8" t="s">
        <v>445</v>
      </c>
      <c r="B282" s="9">
        <v>104918</v>
      </c>
      <c r="C282" s="8" t="s">
        <v>21</v>
      </c>
      <c r="D282" s="8" t="s">
        <v>57</v>
      </c>
      <c r="E282" s="10" t="s">
        <v>53</v>
      </c>
      <c r="F282" s="15">
        <v>122.8</v>
      </c>
      <c r="G282" s="11">
        <v>13.19</v>
      </c>
      <c r="H282" s="46">
        <v>16.16</v>
      </c>
      <c r="I282" s="47"/>
      <c r="J282" s="12">
        <v>1984.44</v>
      </c>
    </row>
    <row r="283" spans="1:10" ht="22.5" customHeight="1">
      <c r="A283" s="16">
        <v>40270</v>
      </c>
      <c r="B283" s="9">
        <v>98557</v>
      </c>
      <c r="C283" s="8" t="s">
        <v>21</v>
      </c>
      <c r="D283" s="13" t="s">
        <v>58</v>
      </c>
      <c r="E283" s="10" t="s">
        <v>23</v>
      </c>
      <c r="F283" s="11">
        <v>65.27</v>
      </c>
      <c r="G283" s="11">
        <v>44.02</v>
      </c>
      <c r="H283" s="46">
        <v>53.95</v>
      </c>
      <c r="I283" s="47"/>
      <c r="J283" s="12">
        <v>3521.31</v>
      </c>
    </row>
    <row r="284" spans="1:10" ht="18.75" customHeight="1">
      <c r="A284" s="6" t="s">
        <v>446</v>
      </c>
      <c r="B284" s="5"/>
      <c r="C284" s="5"/>
      <c r="D284" s="6" t="s">
        <v>570</v>
      </c>
      <c r="E284" s="5"/>
      <c r="F284" s="5"/>
      <c r="G284" s="5"/>
      <c r="H284" s="44"/>
      <c r="I284" s="45"/>
      <c r="J284" s="7">
        <v>25900.38</v>
      </c>
    </row>
    <row r="285" spans="1:10" ht="40.200000000000003" customHeight="1">
      <c r="A285" s="8" t="s">
        <v>447</v>
      </c>
      <c r="B285" s="9">
        <v>92429</v>
      </c>
      <c r="C285" s="8" t="s">
        <v>21</v>
      </c>
      <c r="D285" s="8" t="s">
        <v>61</v>
      </c>
      <c r="E285" s="10" t="s">
        <v>23</v>
      </c>
      <c r="F285" s="11">
        <v>77.22</v>
      </c>
      <c r="G285" s="11">
        <v>66.97</v>
      </c>
      <c r="H285" s="46">
        <v>82.09</v>
      </c>
      <c r="I285" s="47"/>
      <c r="J285" s="12">
        <v>6338.98</v>
      </c>
    </row>
    <row r="286" spans="1:10" ht="30.3" customHeight="1">
      <c r="A286" s="8" t="s">
        <v>448</v>
      </c>
      <c r="B286" s="9">
        <v>92476</v>
      </c>
      <c r="C286" s="8" t="s">
        <v>21</v>
      </c>
      <c r="D286" s="13" t="s">
        <v>449</v>
      </c>
      <c r="E286" s="10" t="s">
        <v>23</v>
      </c>
      <c r="F286" s="11">
        <v>45.51</v>
      </c>
      <c r="G286" s="11">
        <v>82.76</v>
      </c>
      <c r="H286" s="46">
        <v>101.44</v>
      </c>
      <c r="I286" s="47"/>
      <c r="J286" s="12">
        <v>4616.53</v>
      </c>
    </row>
    <row r="287" spans="1:10" ht="30.3" customHeight="1">
      <c r="A287" s="8" t="s">
        <v>450</v>
      </c>
      <c r="B287" s="9">
        <v>92759</v>
      </c>
      <c r="C287" s="8" t="s">
        <v>21</v>
      </c>
      <c r="D287" s="13" t="s">
        <v>451</v>
      </c>
      <c r="E287" s="10" t="s">
        <v>53</v>
      </c>
      <c r="F287" s="15">
        <v>143.80000000000001</v>
      </c>
      <c r="G287" s="11">
        <v>12.95</v>
      </c>
      <c r="H287" s="46">
        <v>15.87</v>
      </c>
      <c r="I287" s="47"/>
      <c r="J287" s="12">
        <v>2282.1</v>
      </c>
    </row>
    <row r="288" spans="1:10" ht="30.3" customHeight="1">
      <c r="A288" s="8" t="s">
        <v>452</v>
      </c>
      <c r="B288" s="9">
        <v>104108</v>
      </c>
      <c r="C288" s="8" t="s">
        <v>21</v>
      </c>
      <c r="D288" s="13" t="s">
        <v>69</v>
      </c>
      <c r="E288" s="10" t="s">
        <v>53</v>
      </c>
      <c r="F288" s="15">
        <v>305.89999999999998</v>
      </c>
      <c r="G288" s="11">
        <v>11.83</v>
      </c>
      <c r="H288" s="46">
        <v>14.5</v>
      </c>
      <c r="I288" s="47"/>
      <c r="J288" s="12">
        <v>4435.55</v>
      </c>
    </row>
    <row r="289" spans="1:10" ht="30.3" customHeight="1">
      <c r="A289" s="8" t="s">
        <v>453</v>
      </c>
      <c r="B289" s="9">
        <v>92761</v>
      </c>
      <c r="C289" s="8" t="s">
        <v>21</v>
      </c>
      <c r="D289" s="13" t="s">
        <v>454</v>
      </c>
      <c r="E289" s="10" t="s">
        <v>53</v>
      </c>
      <c r="F289" s="15">
        <v>120.5</v>
      </c>
      <c r="G289" s="11">
        <v>11.49</v>
      </c>
      <c r="H289" s="46">
        <v>14.08</v>
      </c>
      <c r="I289" s="47"/>
      <c r="J289" s="12">
        <v>1696.64</v>
      </c>
    </row>
    <row r="290" spans="1:10" ht="30.3" customHeight="1">
      <c r="A290" s="8" t="s">
        <v>455</v>
      </c>
      <c r="B290" s="9">
        <v>94971</v>
      </c>
      <c r="C290" s="8" t="s">
        <v>21</v>
      </c>
      <c r="D290" s="13" t="s">
        <v>44</v>
      </c>
      <c r="E290" s="10" t="s">
        <v>35</v>
      </c>
      <c r="F290" s="11">
        <v>7.33</v>
      </c>
      <c r="G290" s="11">
        <v>456.69</v>
      </c>
      <c r="H290" s="46">
        <v>559.80999999999995</v>
      </c>
      <c r="I290" s="47"/>
      <c r="J290" s="12">
        <v>4103.3999999999996</v>
      </c>
    </row>
    <row r="291" spans="1:10" ht="22.5" customHeight="1">
      <c r="A291" s="8" t="s">
        <v>456</v>
      </c>
      <c r="B291" s="9">
        <v>103670</v>
      </c>
      <c r="C291" s="8" t="s">
        <v>21</v>
      </c>
      <c r="D291" s="13" t="s">
        <v>46</v>
      </c>
      <c r="E291" s="10" t="s">
        <v>35</v>
      </c>
      <c r="F291" s="11">
        <v>7.33</v>
      </c>
      <c r="G291" s="11">
        <v>270.14</v>
      </c>
      <c r="H291" s="46">
        <v>331.13</v>
      </c>
      <c r="I291" s="47"/>
      <c r="J291" s="12">
        <v>2427.1799999999998</v>
      </c>
    </row>
    <row r="292" spans="1:10" ht="18.75" customHeight="1">
      <c r="A292" s="6" t="s">
        <v>457</v>
      </c>
      <c r="B292" s="5"/>
      <c r="C292" s="5"/>
      <c r="D292" s="6" t="s">
        <v>571</v>
      </c>
      <c r="E292" s="5"/>
      <c r="F292" s="5"/>
      <c r="G292" s="5"/>
      <c r="H292" s="44"/>
      <c r="I292" s="45"/>
      <c r="J292" s="7">
        <v>38565.75</v>
      </c>
    </row>
    <row r="293" spans="1:10" ht="40.200000000000003" customHeight="1">
      <c r="A293" s="8" t="s">
        <v>458</v>
      </c>
      <c r="B293" s="9">
        <v>103356</v>
      </c>
      <c r="C293" s="8" t="s">
        <v>21</v>
      </c>
      <c r="D293" s="8" t="s">
        <v>80</v>
      </c>
      <c r="E293" s="10" t="s">
        <v>23</v>
      </c>
      <c r="F293" s="11">
        <v>126.59</v>
      </c>
      <c r="G293" s="11">
        <v>55.26</v>
      </c>
      <c r="H293" s="46">
        <v>67.73</v>
      </c>
      <c r="I293" s="47"/>
      <c r="J293" s="12">
        <v>8573.94</v>
      </c>
    </row>
    <row r="294" spans="1:10" ht="40.200000000000003" customHeight="1">
      <c r="A294" s="8" t="s">
        <v>459</v>
      </c>
      <c r="B294" s="9">
        <v>87894</v>
      </c>
      <c r="C294" s="8" t="s">
        <v>21</v>
      </c>
      <c r="D294" s="8" t="s">
        <v>460</v>
      </c>
      <c r="E294" s="10" t="s">
        <v>23</v>
      </c>
      <c r="F294" s="11">
        <v>253.19</v>
      </c>
      <c r="G294" s="11">
        <v>6.17</v>
      </c>
      <c r="H294" s="46">
        <v>7.56</v>
      </c>
      <c r="I294" s="47"/>
      <c r="J294" s="12">
        <v>1914.11</v>
      </c>
    </row>
    <row r="295" spans="1:10" ht="40.200000000000003" customHeight="1">
      <c r="A295" s="8" t="s">
        <v>461</v>
      </c>
      <c r="B295" s="9">
        <v>87792</v>
      </c>
      <c r="C295" s="8" t="s">
        <v>21</v>
      </c>
      <c r="D295" s="13" t="s">
        <v>462</v>
      </c>
      <c r="E295" s="10" t="s">
        <v>23</v>
      </c>
      <c r="F295" s="11">
        <v>253.19</v>
      </c>
      <c r="G295" s="11">
        <v>36.49</v>
      </c>
      <c r="H295" s="46">
        <v>44.72</v>
      </c>
      <c r="I295" s="47"/>
      <c r="J295" s="12">
        <v>11322.65</v>
      </c>
    </row>
    <row r="296" spans="1:10" ht="22.5" customHeight="1">
      <c r="A296" s="8" t="s">
        <v>463</v>
      </c>
      <c r="B296" s="9">
        <v>88485</v>
      </c>
      <c r="C296" s="8" t="s">
        <v>21</v>
      </c>
      <c r="D296" s="13" t="s">
        <v>315</v>
      </c>
      <c r="E296" s="10" t="s">
        <v>23</v>
      </c>
      <c r="F296" s="11">
        <v>102.07</v>
      </c>
      <c r="G296" s="11">
        <v>3.49</v>
      </c>
      <c r="H296" s="46">
        <v>4.2699999999999996</v>
      </c>
      <c r="I296" s="47"/>
      <c r="J296" s="11">
        <v>435.83</v>
      </c>
    </row>
    <row r="297" spans="1:10" ht="22.5" customHeight="1">
      <c r="A297" s="8" t="s">
        <v>464</v>
      </c>
      <c r="B297" s="9">
        <v>88497</v>
      </c>
      <c r="C297" s="8" t="s">
        <v>21</v>
      </c>
      <c r="D297" s="13" t="s">
        <v>310</v>
      </c>
      <c r="E297" s="10" t="s">
        <v>23</v>
      </c>
      <c r="F297" s="11">
        <v>253.19</v>
      </c>
      <c r="G297" s="11">
        <v>15.05</v>
      </c>
      <c r="H297" s="46">
        <v>18.440000000000001</v>
      </c>
      <c r="I297" s="47"/>
      <c r="J297" s="12">
        <v>4668.82</v>
      </c>
    </row>
    <row r="298" spans="1:10" ht="22.5" customHeight="1">
      <c r="A298" s="8" t="s">
        <v>465</v>
      </c>
      <c r="B298" s="9">
        <v>88489</v>
      </c>
      <c r="C298" s="8" t="s">
        <v>21</v>
      </c>
      <c r="D298" s="13" t="s">
        <v>312</v>
      </c>
      <c r="E298" s="10" t="s">
        <v>23</v>
      </c>
      <c r="F298" s="11">
        <v>253.19</v>
      </c>
      <c r="G298" s="11">
        <v>11.47</v>
      </c>
      <c r="H298" s="46">
        <v>14.05</v>
      </c>
      <c r="I298" s="47"/>
      <c r="J298" s="12">
        <v>3557.31</v>
      </c>
    </row>
    <row r="299" spans="1:10" ht="30.3" customHeight="1">
      <c r="A299" s="8" t="s">
        <v>466</v>
      </c>
      <c r="B299" s="9">
        <v>10</v>
      </c>
      <c r="C299" s="8" t="s">
        <v>94</v>
      </c>
      <c r="D299" s="13" t="s">
        <v>467</v>
      </c>
      <c r="E299" s="10" t="s">
        <v>23</v>
      </c>
      <c r="F299" s="9">
        <v>30</v>
      </c>
      <c r="G299" s="11">
        <v>154.75</v>
      </c>
      <c r="H299" s="46">
        <v>189.69</v>
      </c>
      <c r="I299" s="47"/>
      <c r="J299" s="12">
        <v>5690.7</v>
      </c>
    </row>
    <row r="300" spans="1:10" ht="18.75" customHeight="1">
      <c r="A300" s="8" t="s">
        <v>468</v>
      </c>
      <c r="B300" s="9">
        <v>24</v>
      </c>
      <c r="C300" s="8" t="s">
        <v>94</v>
      </c>
      <c r="D300" s="8" t="s">
        <v>469</v>
      </c>
      <c r="E300" s="10" t="s">
        <v>26</v>
      </c>
      <c r="F300" s="11">
        <v>39.96</v>
      </c>
      <c r="G300" s="11">
        <v>49.05</v>
      </c>
      <c r="H300" s="46">
        <v>60.12</v>
      </c>
      <c r="I300" s="47"/>
      <c r="J300" s="12">
        <v>2402.39</v>
      </c>
    </row>
    <row r="301" spans="1:10" ht="18.75" customHeight="1">
      <c r="A301" s="4">
        <v>5</v>
      </c>
      <c r="B301" s="5"/>
      <c r="C301" s="5"/>
      <c r="D301" s="6" t="s">
        <v>572</v>
      </c>
      <c r="E301" s="5"/>
      <c r="F301" s="5"/>
      <c r="G301" s="5"/>
      <c r="H301" s="44"/>
      <c r="I301" s="45"/>
      <c r="J301" s="7">
        <v>82217.37</v>
      </c>
    </row>
    <row r="302" spans="1:10" ht="18.75" customHeight="1">
      <c r="A302" s="6" t="s">
        <v>470</v>
      </c>
      <c r="B302" s="5"/>
      <c r="C302" s="5"/>
      <c r="D302" s="6" t="s">
        <v>573</v>
      </c>
      <c r="E302" s="5"/>
      <c r="F302" s="5"/>
      <c r="G302" s="5"/>
      <c r="H302" s="44"/>
      <c r="I302" s="45"/>
      <c r="J302" s="7">
        <v>71588.160000000003</v>
      </c>
    </row>
    <row r="303" spans="1:10" ht="30.3" customHeight="1">
      <c r="A303" s="8" t="s">
        <v>471</v>
      </c>
      <c r="B303" s="9">
        <v>93679</v>
      </c>
      <c r="C303" s="8" t="s">
        <v>21</v>
      </c>
      <c r="D303" s="8" t="s">
        <v>472</v>
      </c>
      <c r="E303" s="10" t="s">
        <v>23</v>
      </c>
      <c r="F303" s="9">
        <v>192</v>
      </c>
      <c r="G303" s="11">
        <v>76.56</v>
      </c>
      <c r="H303" s="46">
        <v>93.84</v>
      </c>
      <c r="I303" s="47"/>
      <c r="J303" s="12">
        <v>18017.28</v>
      </c>
    </row>
    <row r="304" spans="1:10" ht="40.200000000000003" customHeight="1">
      <c r="A304" s="8" t="s">
        <v>473</v>
      </c>
      <c r="B304" s="9">
        <v>94275</v>
      </c>
      <c r="C304" s="8" t="s">
        <v>21</v>
      </c>
      <c r="D304" s="13" t="s">
        <v>474</v>
      </c>
      <c r="E304" s="10" t="s">
        <v>26</v>
      </c>
      <c r="F304" s="11">
        <v>132.02000000000001</v>
      </c>
      <c r="G304" s="11">
        <v>32.590000000000003</v>
      </c>
      <c r="H304" s="46">
        <v>39.94</v>
      </c>
      <c r="I304" s="47"/>
      <c r="J304" s="12">
        <v>5272.87</v>
      </c>
    </row>
    <row r="305" spans="1:10" ht="40.200000000000003" customHeight="1">
      <c r="A305" s="8" t="s">
        <v>475</v>
      </c>
      <c r="B305" s="9">
        <v>94276</v>
      </c>
      <c r="C305" s="8" t="s">
        <v>21</v>
      </c>
      <c r="D305" s="13" t="s">
        <v>476</v>
      </c>
      <c r="E305" s="10" t="s">
        <v>26</v>
      </c>
      <c r="F305" s="11">
        <v>121.37</v>
      </c>
      <c r="G305" s="11">
        <v>35.130000000000003</v>
      </c>
      <c r="H305" s="46">
        <v>43.06</v>
      </c>
      <c r="I305" s="47"/>
      <c r="J305" s="12">
        <v>5226.1899999999996</v>
      </c>
    </row>
    <row r="306" spans="1:10" ht="30.3" customHeight="1">
      <c r="A306" s="8" t="s">
        <v>477</v>
      </c>
      <c r="B306" s="9">
        <v>92397</v>
      </c>
      <c r="C306" s="8" t="s">
        <v>21</v>
      </c>
      <c r="D306" s="13" t="s">
        <v>478</v>
      </c>
      <c r="E306" s="10" t="s">
        <v>23</v>
      </c>
      <c r="F306" s="9">
        <v>400</v>
      </c>
      <c r="G306" s="11">
        <v>60.31</v>
      </c>
      <c r="H306" s="46">
        <v>73.92</v>
      </c>
      <c r="I306" s="47"/>
      <c r="J306" s="12">
        <v>29568</v>
      </c>
    </row>
    <row r="307" spans="1:10" ht="30.3" customHeight="1">
      <c r="A307" s="8" t="s">
        <v>479</v>
      </c>
      <c r="B307" s="9">
        <v>105004</v>
      </c>
      <c r="C307" s="8" t="s">
        <v>21</v>
      </c>
      <c r="D307" s="13" t="s">
        <v>480</v>
      </c>
      <c r="E307" s="10" t="s">
        <v>23</v>
      </c>
      <c r="F307" s="15">
        <v>5.0999999999999996</v>
      </c>
      <c r="G307" s="11">
        <v>109.87</v>
      </c>
      <c r="H307" s="46">
        <v>134.66999999999999</v>
      </c>
      <c r="I307" s="47"/>
      <c r="J307" s="11">
        <v>686.81</v>
      </c>
    </row>
    <row r="308" spans="1:10" ht="22.5" customHeight="1">
      <c r="A308" s="8" t="s">
        <v>481</v>
      </c>
      <c r="B308" s="9">
        <v>102498</v>
      </c>
      <c r="C308" s="8" t="s">
        <v>21</v>
      </c>
      <c r="D308" s="13" t="s">
        <v>482</v>
      </c>
      <c r="E308" s="10" t="s">
        <v>26</v>
      </c>
      <c r="F308" s="11">
        <v>253.39</v>
      </c>
      <c r="G308" s="11">
        <v>1.45</v>
      </c>
      <c r="H308" s="46">
        <v>1.77</v>
      </c>
      <c r="I308" s="47"/>
      <c r="J308" s="11">
        <v>448.5</v>
      </c>
    </row>
    <row r="309" spans="1:10" ht="22.5" customHeight="1">
      <c r="A309" s="8" t="s">
        <v>483</v>
      </c>
      <c r="B309" s="9">
        <v>104658</v>
      </c>
      <c r="C309" s="8" t="s">
        <v>21</v>
      </c>
      <c r="D309" s="13" t="s">
        <v>484</v>
      </c>
      <c r="E309" s="10" t="s">
        <v>23</v>
      </c>
      <c r="F309" s="9">
        <v>38</v>
      </c>
      <c r="G309" s="11">
        <v>127.59</v>
      </c>
      <c r="H309" s="46">
        <v>156.38999999999999</v>
      </c>
      <c r="I309" s="47"/>
      <c r="J309" s="12">
        <v>5942.82</v>
      </c>
    </row>
    <row r="310" spans="1:10" ht="22.5" customHeight="1">
      <c r="A310" s="8" t="s">
        <v>485</v>
      </c>
      <c r="B310" s="9">
        <v>104658</v>
      </c>
      <c r="C310" s="8" t="s">
        <v>21</v>
      </c>
      <c r="D310" s="13" t="s">
        <v>484</v>
      </c>
      <c r="E310" s="10" t="s">
        <v>23</v>
      </c>
      <c r="F310" s="9">
        <v>1</v>
      </c>
      <c r="G310" s="11">
        <v>127.59</v>
      </c>
      <c r="H310" s="46">
        <v>156.38999999999999</v>
      </c>
      <c r="I310" s="47"/>
      <c r="J310" s="11">
        <v>156.38999999999999</v>
      </c>
    </row>
    <row r="311" spans="1:10" ht="22.5" customHeight="1">
      <c r="A311" s="8" t="s">
        <v>486</v>
      </c>
      <c r="B311" s="9">
        <v>102494</v>
      </c>
      <c r="C311" s="8" t="s">
        <v>21</v>
      </c>
      <c r="D311" s="13" t="s">
        <v>487</v>
      </c>
      <c r="E311" s="10" t="s">
        <v>23</v>
      </c>
      <c r="F311" s="15">
        <v>5.0999999999999996</v>
      </c>
      <c r="G311" s="11">
        <v>55.08</v>
      </c>
      <c r="H311" s="46">
        <v>67.510000000000005</v>
      </c>
      <c r="I311" s="47"/>
      <c r="J311" s="11">
        <v>344.3</v>
      </c>
    </row>
    <row r="312" spans="1:10" ht="22.5" customHeight="1">
      <c r="A312" s="16">
        <v>40299</v>
      </c>
      <c r="B312" s="9">
        <v>103946</v>
      </c>
      <c r="C312" s="8" t="s">
        <v>21</v>
      </c>
      <c r="D312" s="13" t="s">
        <v>488</v>
      </c>
      <c r="E312" s="10" t="s">
        <v>23</v>
      </c>
      <c r="F312" s="9">
        <v>250</v>
      </c>
      <c r="G312" s="11">
        <v>19.34</v>
      </c>
      <c r="H312" s="46">
        <v>23.7</v>
      </c>
      <c r="I312" s="47"/>
      <c r="J312" s="12">
        <v>5925</v>
      </c>
    </row>
    <row r="313" spans="1:10" ht="18.75" customHeight="1">
      <c r="A313" s="6" t="s">
        <v>489</v>
      </c>
      <c r="B313" s="5"/>
      <c r="C313" s="5"/>
      <c r="D313" s="6" t="s">
        <v>574</v>
      </c>
      <c r="E313" s="5"/>
      <c r="F313" s="5"/>
      <c r="G313" s="5"/>
      <c r="H313" s="44"/>
      <c r="I313" s="45"/>
      <c r="J313" s="7">
        <v>2906.46</v>
      </c>
    </row>
    <row r="314" spans="1:10" ht="22.5" customHeight="1">
      <c r="A314" s="8" t="s">
        <v>490</v>
      </c>
      <c r="B314" s="9">
        <v>103946</v>
      </c>
      <c r="C314" s="8" t="s">
        <v>21</v>
      </c>
      <c r="D314" s="13" t="s">
        <v>488</v>
      </c>
      <c r="E314" s="10" t="s">
        <v>23</v>
      </c>
      <c r="F314" s="11">
        <v>25.69</v>
      </c>
      <c r="G314" s="11">
        <v>19.34</v>
      </c>
      <c r="H314" s="46">
        <v>23.7</v>
      </c>
      <c r="I314" s="47"/>
      <c r="J314" s="11">
        <v>608.85</v>
      </c>
    </row>
    <row r="315" spans="1:10" ht="20.25" customHeight="1">
      <c r="A315" s="8" t="s">
        <v>491</v>
      </c>
      <c r="B315" s="9">
        <v>105521</v>
      </c>
      <c r="C315" s="8" t="s">
        <v>21</v>
      </c>
      <c r="D315" s="8" t="s">
        <v>492</v>
      </c>
      <c r="E315" s="10" t="s">
        <v>23</v>
      </c>
      <c r="F315" s="11">
        <v>25.69</v>
      </c>
      <c r="G315" s="11">
        <v>3.05</v>
      </c>
      <c r="H315" s="46">
        <v>3.73</v>
      </c>
      <c r="I315" s="47"/>
      <c r="J315" s="11">
        <v>95.82</v>
      </c>
    </row>
    <row r="316" spans="1:10" ht="50.55" customHeight="1">
      <c r="A316" s="8" t="s">
        <v>493</v>
      </c>
      <c r="B316" s="9">
        <v>25</v>
      </c>
      <c r="C316" s="8" t="s">
        <v>94</v>
      </c>
      <c r="D316" s="8" t="s">
        <v>494</v>
      </c>
      <c r="E316" s="10" t="s">
        <v>178</v>
      </c>
      <c r="F316" s="9">
        <v>3</v>
      </c>
      <c r="G316" s="11">
        <v>598.74</v>
      </c>
      <c r="H316" s="46">
        <v>733.93</v>
      </c>
      <c r="I316" s="47"/>
      <c r="J316" s="12">
        <v>2201.79</v>
      </c>
    </row>
    <row r="317" spans="1:10" ht="18.75" customHeight="1">
      <c r="A317" s="6" t="s">
        <v>495</v>
      </c>
      <c r="B317" s="5"/>
      <c r="C317" s="5"/>
      <c r="D317" s="6" t="s">
        <v>575</v>
      </c>
      <c r="E317" s="5"/>
      <c r="F317" s="5"/>
      <c r="G317" s="5"/>
      <c r="H317" s="44"/>
      <c r="I317" s="45"/>
      <c r="J317" s="7">
        <v>7722.75</v>
      </c>
    </row>
    <row r="318" spans="1:10" ht="18.75" customHeight="1">
      <c r="A318" s="8" t="s">
        <v>496</v>
      </c>
      <c r="B318" s="9">
        <v>93358</v>
      </c>
      <c r="C318" s="8" t="s">
        <v>21</v>
      </c>
      <c r="D318" s="8" t="s">
        <v>34</v>
      </c>
      <c r="E318" s="10" t="s">
        <v>35</v>
      </c>
      <c r="F318" s="11">
        <v>1.92</v>
      </c>
      <c r="G318" s="11">
        <v>78.989999999999995</v>
      </c>
      <c r="H318" s="46">
        <v>96.82</v>
      </c>
      <c r="I318" s="47"/>
      <c r="J318" s="11">
        <v>185.89</v>
      </c>
    </row>
    <row r="319" spans="1:10" ht="22.5" customHeight="1">
      <c r="A319" s="8" t="s">
        <v>497</v>
      </c>
      <c r="B319" s="9">
        <v>101616</v>
      </c>
      <c r="C319" s="8" t="s">
        <v>21</v>
      </c>
      <c r="D319" s="13" t="s">
        <v>42</v>
      </c>
      <c r="E319" s="10" t="s">
        <v>23</v>
      </c>
      <c r="F319" s="15">
        <v>6.4</v>
      </c>
      <c r="G319" s="11">
        <v>5.77</v>
      </c>
      <c r="H319" s="46">
        <v>7.07</v>
      </c>
      <c r="I319" s="47"/>
      <c r="J319" s="11">
        <v>45.24</v>
      </c>
    </row>
    <row r="320" spans="1:10" ht="30.3" customHeight="1">
      <c r="A320" s="8" t="s">
        <v>498</v>
      </c>
      <c r="B320" s="9">
        <v>96619</v>
      </c>
      <c r="C320" s="8" t="s">
        <v>21</v>
      </c>
      <c r="D320" s="8" t="s">
        <v>40</v>
      </c>
      <c r="E320" s="23" t="s">
        <v>23</v>
      </c>
      <c r="F320" s="15">
        <v>6.4</v>
      </c>
      <c r="G320" s="11">
        <v>36.630000000000003</v>
      </c>
      <c r="H320" s="46">
        <v>44.9</v>
      </c>
      <c r="I320" s="47"/>
      <c r="J320" s="11">
        <v>287.36</v>
      </c>
    </row>
    <row r="321" spans="1:10" ht="50.55" customHeight="1">
      <c r="A321" s="8" t="s">
        <v>499</v>
      </c>
      <c r="B321" s="9">
        <v>8</v>
      </c>
      <c r="C321" s="8" t="s">
        <v>94</v>
      </c>
      <c r="D321" s="8" t="s">
        <v>500</v>
      </c>
      <c r="E321" s="23" t="s">
        <v>23</v>
      </c>
      <c r="F321" s="11">
        <v>1.92</v>
      </c>
      <c r="G321" s="11">
        <v>98.24</v>
      </c>
      <c r="H321" s="46">
        <v>120.42</v>
      </c>
      <c r="I321" s="47"/>
      <c r="J321" s="11">
        <v>231.2</v>
      </c>
    </row>
    <row r="322" spans="1:10" ht="30.3" customHeight="1">
      <c r="A322" s="8" t="s">
        <v>501</v>
      </c>
      <c r="B322" s="9">
        <v>87878</v>
      </c>
      <c r="C322" s="8" t="s">
        <v>21</v>
      </c>
      <c r="D322" s="13" t="s">
        <v>502</v>
      </c>
      <c r="E322" s="23" t="s">
        <v>23</v>
      </c>
      <c r="F322" s="15">
        <v>14.4</v>
      </c>
      <c r="G322" s="11">
        <v>4.5</v>
      </c>
      <c r="H322" s="46">
        <v>5.51</v>
      </c>
      <c r="I322" s="47"/>
      <c r="J322" s="11">
        <v>79.34</v>
      </c>
    </row>
    <row r="323" spans="1:10" ht="40.200000000000003" customHeight="1">
      <c r="A323" s="8" t="s">
        <v>503</v>
      </c>
      <c r="B323" s="9">
        <v>87528</v>
      </c>
      <c r="C323" s="8" t="s">
        <v>21</v>
      </c>
      <c r="D323" s="8" t="s">
        <v>504</v>
      </c>
      <c r="E323" s="23" t="s">
        <v>23</v>
      </c>
      <c r="F323" s="15">
        <v>14.4</v>
      </c>
      <c r="G323" s="11">
        <v>39.79</v>
      </c>
      <c r="H323" s="46">
        <v>48.77</v>
      </c>
      <c r="I323" s="47"/>
      <c r="J323" s="11">
        <v>702.28</v>
      </c>
    </row>
    <row r="324" spans="1:10" ht="22.5" customHeight="1">
      <c r="A324" s="8" t="s">
        <v>505</v>
      </c>
      <c r="B324" s="9">
        <v>95305</v>
      </c>
      <c r="C324" s="8" t="s">
        <v>21</v>
      </c>
      <c r="D324" s="13" t="s">
        <v>506</v>
      </c>
      <c r="E324" s="23" t="s">
        <v>23</v>
      </c>
      <c r="F324" s="15">
        <v>14.4</v>
      </c>
      <c r="G324" s="11">
        <v>12.14</v>
      </c>
      <c r="H324" s="46">
        <v>14.88</v>
      </c>
      <c r="I324" s="47"/>
      <c r="J324" s="11">
        <v>214.27</v>
      </c>
    </row>
    <row r="325" spans="1:10" ht="50.55" customHeight="1">
      <c r="A325" s="8" t="s">
        <v>507</v>
      </c>
      <c r="B325" s="9">
        <v>8</v>
      </c>
      <c r="C325" s="8" t="s">
        <v>94</v>
      </c>
      <c r="D325" s="8" t="s">
        <v>500</v>
      </c>
      <c r="E325" s="23" t="s">
        <v>23</v>
      </c>
      <c r="F325" s="15">
        <v>14.4</v>
      </c>
      <c r="G325" s="11">
        <v>98.24</v>
      </c>
      <c r="H325" s="46">
        <v>120.42</v>
      </c>
      <c r="I325" s="47"/>
      <c r="J325" s="12">
        <v>1734.04</v>
      </c>
    </row>
    <row r="326" spans="1:10" ht="22.5" customHeight="1">
      <c r="A326" s="8" t="s">
        <v>508</v>
      </c>
      <c r="B326" s="9">
        <v>7</v>
      </c>
      <c r="C326" s="8" t="s">
        <v>94</v>
      </c>
      <c r="D326" s="13" t="s">
        <v>509</v>
      </c>
      <c r="E326" s="23" t="s">
        <v>23</v>
      </c>
      <c r="F326" s="15">
        <v>6.5</v>
      </c>
      <c r="G326" s="11">
        <v>532.54999999999995</v>
      </c>
      <c r="H326" s="46">
        <v>652.79</v>
      </c>
      <c r="I326" s="47"/>
      <c r="J326" s="12">
        <v>4243.13</v>
      </c>
    </row>
    <row r="327" spans="1:10" ht="18.75" customHeight="1">
      <c r="A327" s="4">
        <v>6</v>
      </c>
      <c r="B327" s="5"/>
      <c r="C327" s="5"/>
      <c r="D327" s="6" t="s">
        <v>576</v>
      </c>
      <c r="E327" s="5"/>
      <c r="F327" s="5"/>
      <c r="G327" s="5"/>
      <c r="H327" s="44"/>
      <c r="I327" s="45"/>
      <c r="J327" s="7">
        <v>46833.66</v>
      </c>
    </row>
    <row r="328" spans="1:10" ht="18.75" customHeight="1">
      <c r="A328" s="8" t="s">
        <v>510</v>
      </c>
      <c r="B328" s="9">
        <v>93358</v>
      </c>
      <c r="C328" s="8" t="s">
        <v>21</v>
      </c>
      <c r="D328" s="8" t="s">
        <v>34</v>
      </c>
      <c r="E328" s="23" t="s">
        <v>35</v>
      </c>
      <c r="F328" s="11">
        <v>13.41</v>
      </c>
      <c r="G328" s="11">
        <v>78.989999999999995</v>
      </c>
      <c r="H328" s="46">
        <v>96.82</v>
      </c>
      <c r="I328" s="47"/>
      <c r="J328" s="12">
        <v>1298.3499999999999</v>
      </c>
    </row>
    <row r="329" spans="1:10" ht="30.3" customHeight="1">
      <c r="A329" s="8" t="s">
        <v>511</v>
      </c>
      <c r="B329" s="9">
        <v>97882</v>
      </c>
      <c r="C329" s="8" t="s">
        <v>21</v>
      </c>
      <c r="D329" s="13" t="s">
        <v>512</v>
      </c>
      <c r="E329" s="23" t="s">
        <v>120</v>
      </c>
      <c r="F329" s="9">
        <v>15</v>
      </c>
      <c r="G329" s="11">
        <v>220.39</v>
      </c>
      <c r="H329" s="46">
        <v>270.14999999999998</v>
      </c>
      <c r="I329" s="47"/>
      <c r="J329" s="12">
        <v>4052.25</v>
      </c>
    </row>
    <row r="330" spans="1:10" ht="22.5" customHeight="1">
      <c r="A330" s="8" t="s">
        <v>513</v>
      </c>
      <c r="B330" s="9">
        <v>20</v>
      </c>
      <c r="C330" s="8" t="s">
        <v>94</v>
      </c>
      <c r="D330" s="13" t="s">
        <v>514</v>
      </c>
      <c r="E330" s="26" t="s">
        <v>178</v>
      </c>
      <c r="F330" s="9">
        <v>1</v>
      </c>
      <c r="G330" s="11">
        <v>7.22</v>
      </c>
      <c r="H330" s="46">
        <v>8.85</v>
      </c>
      <c r="I330" s="47"/>
      <c r="J330" s="11">
        <v>8.85</v>
      </c>
    </row>
    <row r="331" spans="1:10" ht="30.3" customHeight="1">
      <c r="A331" s="8" t="s">
        <v>515</v>
      </c>
      <c r="B331" s="9">
        <v>91914</v>
      </c>
      <c r="C331" s="8" t="s">
        <v>21</v>
      </c>
      <c r="D331" s="13" t="s">
        <v>171</v>
      </c>
      <c r="E331" s="23" t="s">
        <v>120</v>
      </c>
      <c r="F331" s="9">
        <v>3</v>
      </c>
      <c r="G331" s="11">
        <v>15.16</v>
      </c>
      <c r="H331" s="46">
        <v>18.579999999999998</v>
      </c>
      <c r="I331" s="47"/>
      <c r="J331" s="11">
        <v>55.74</v>
      </c>
    </row>
    <row r="332" spans="1:10" ht="30.3" customHeight="1">
      <c r="A332" s="8" t="s">
        <v>516</v>
      </c>
      <c r="B332" s="9">
        <v>91902</v>
      </c>
      <c r="C332" s="8" t="s">
        <v>21</v>
      </c>
      <c r="D332" s="13" t="s">
        <v>517</v>
      </c>
      <c r="E332" s="23" t="s">
        <v>120</v>
      </c>
      <c r="F332" s="9">
        <v>3</v>
      </c>
      <c r="G332" s="11">
        <v>8.99</v>
      </c>
      <c r="H332" s="46">
        <v>11.01</v>
      </c>
      <c r="I332" s="47"/>
      <c r="J332" s="11">
        <v>33.03</v>
      </c>
    </row>
    <row r="333" spans="1:10" ht="30.3" customHeight="1">
      <c r="A333" s="8" t="s">
        <v>518</v>
      </c>
      <c r="B333" s="9">
        <v>91884</v>
      </c>
      <c r="C333" s="8" t="s">
        <v>21</v>
      </c>
      <c r="D333" s="13" t="s">
        <v>173</v>
      </c>
      <c r="E333" s="23" t="s">
        <v>120</v>
      </c>
      <c r="F333" s="9">
        <v>6</v>
      </c>
      <c r="G333" s="11">
        <v>9.77</v>
      </c>
      <c r="H333" s="46">
        <v>11.97</v>
      </c>
      <c r="I333" s="47"/>
      <c r="J333" s="11">
        <v>71.819999999999993</v>
      </c>
    </row>
    <row r="334" spans="1:10" ht="40.200000000000003" customHeight="1">
      <c r="A334" s="8" t="s">
        <v>519</v>
      </c>
      <c r="B334" s="9">
        <v>93013</v>
      </c>
      <c r="C334" s="8" t="s">
        <v>21</v>
      </c>
      <c r="D334" s="8" t="s">
        <v>520</v>
      </c>
      <c r="E334" s="23" t="s">
        <v>120</v>
      </c>
      <c r="F334" s="9">
        <v>8</v>
      </c>
      <c r="G334" s="11">
        <v>12.3</v>
      </c>
      <c r="H334" s="46">
        <v>15.07</v>
      </c>
      <c r="I334" s="47"/>
      <c r="J334" s="11">
        <v>120.56</v>
      </c>
    </row>
    <row r="335" spans="1:10" ht="22.5" customHeight="1">
      <c r="A335" s="18" t="s">
        <v>521</v>
      </c>
      <c r="B335" s="19">
        <v>39470</v>
      </c>
      <c r="C335" s="18" t="s">
        <v>21</v>
      </c>
      <c r="D335" s="24" t="s">
        <v>175</v>
      </c>
      <c r="E335" s="25" t="s">
        <v>120</v>
      </c>
      <c r="F335" s="21">
        <v>2</v>
      </c>
      <c r="G335" s="22">
        <v>73.13</v>
      </c>
      <c r="H335" s="48">
        <v>89.64</v>
      </c>
      <c r="I335" s="49"/>
      <c r="J335" s="22">
        <v>179.28</v>
      </c>
    </row>
    <row r="336" spans="1:10" ht="22.5" customHeight="1">
      <c r="A336" s="8" t="s">
        <v>522</v>
      </c>
      <c r="B336" s="9">
        <v>93656</v>
      </c>
      <c r="C336" s="8" t="s">
        <v>21</v>
      </c>
      <c r="D336" s="13" t="s">
        <v>523</v>
      </c>
      <c r="E336" s="23" t="s">
        <v>120</v>
      </c>
      <c r="F336" s="9">
        <v>2</v>
      </c>
      <c r="G336" s="11">
        <v>11.85</v>
      </c>
      <c r="H336" s="46">
        <v>14.52</v>
      </c>
      <c r="I336" s="47"/>
      <c r="J336" s="11">
        <v>29.04</v>
      </c>
    </row>
    <row r="337" spans="1:10" ht="22.5" customHeight="1">
      <c r="A337" s="8" t="s">
        <v>524</v>
      </c>
      <c r="B337" s="9">
        <v>93657</v>
      </c>
      <c r="C337" s="8" t="s">
        <v>21</v>
      </c>
      <c r="D337" s="13" t="s">
        <v>184</v>
      </c>
      <c r="E337" s="23" t="s">
        <v>120</v>
      </c>
      <c r="F337" s="9">
        <v>1</v>
      </c>
      <c r="G337" s="11">
        <v>13.23</v>
      </c>
      <c r="H337" s="46">
        <v>16.21</v>
      </c>
      <c r="I337" s="47"/>
      <c r="J337" s="11">
        <v>16.21</v>
      </c>
    </row>
    <row r="338" spans="1:10" ht="30.3" customHeight="1">
      <c r="A338" s="18" t="s">
        <v>525</v>
      </c>
      <c r="B338" s="19">
        <v>39396</v>
      </c>
      <c r="C338" s="18" t="s">
        <v>21</v>
      </c>
      <c r="D338" s="18" t="s">
        <v>526</v>
      </c>
      <c r="E338" s="25" t="s">
        <v>120</v>
      </c>
      <c r="F338" s="21">
        <v>2</v>
      </c>
      <c r="G338" s="22">
        <v>65.39</v>
      </c>
      <c r="H338" s="48">
        <v>80.150000000000006</v>
      </c>
      <c r="I338" s="49"/>
      <c r="J338" s="22">
        <v>160.30000000000001</v>
      </c>
    </row>
    <row r="339" spans="1:10" ht="22.5" customHeight="1">
      <c r="A339" s="8" t="s">
        <v>527</v>
      </c>
      <c r="B339" s="9">
        <v>21</v>
      </c>
      <c r="C339" s="8" t="s">
        <v>94</v>
      </c>
      <c r="D339" s="13" t="s">
        <v>528</v>
      </c>
      <c r="E339" s="26" t="s">
        <v>178</v>
      </c>
      <c r="F339" s="9">
        <v>1</v>
      </c>
      <c r="G339" s="12">
        <v>6522.01</v>
      </c>
      <c r="H339" s="50">
        <v>7994.67</v>
      </c>
      <c r="I339" s="51"/>
      <c r="J339" s="12">
        <v>7994.67</v>
      </c>
    </row>
    <row r="340" spans="1:10" ht="30.3" customHeight="1">
      <c r="A340" s="8" t="s">
        <v>529</v>
      </c>
      <c r="B340" s="9">
        <v>101876</v>
      </c>
      <c r="C340" s="8" t="s">
        <v>21</v>
      </c>
      <c r="D340" s="13" t="s">
        <v>374</v>
      </c>
      <c r="E340" s="23" t="s">
        <v>120</v>
      </c>
      <c r="F340" s="9">
        <v>1</v>
      </c>
      <c r="G340" s="11">
        <v>97.32</v>
      </c>
      <c r="H340" s="46">
        <v>119.29</v>
      </c>
      <c r="I340" s="47"/>
      <c r="J340" s="11">
        <v>119.29</v>
      </c>
    </row>
    <row r="341" spans="1:10" ht="30.3" customHeight="1">
      <c r="A341" s="8" t="s">
        <v>530</v>
      </c>
      <c r="B341" s="9">
        <v>97886</v>
      </c>
      <c r="C341" s="8" t="s">
        <v>21</v>
      </c>
      <c r="D341" s="13" t="s">
        <v>531</v>
      </c>
      <c r="E341" s="23" t="s">
        <v>120</v>
      </c>
      <c r="F341" s="9">
        <v>16</v>
      </c>
      <c r="G341" s="11">
        <v>149.16999999999999</v>
      </c>
      <c r="H341" s="46">
        <v>182.85</v>
      </c>
      <c r="I341" s="47"/>
      <c r="J341" s="12">
        <v>2925.6</v>
      </c>
    </row>
    <row r="342" spans="1:10" ht="22.5" customHeight="1">
      <c r="A342" s="8" t="s">
        <v>532</v>
      </c>
      <c r="B342" s="9">
        <v>17</v>
      </c>
      <c r="C342" s="8" t="s">
        <v>94</v>
      </c>
      <c r="D342" s="13" t="s">
        <v>196</v>
      </c>
      <c r="E342" s="26" t="s">
        <v>178</v>
      </c>
      <c r="F342" s="9">
        <v>16</v>
      </c>
      <c r="G342" s="11">
        <v>58.17</v>
      </c>
      <c r="H342" s="46">
        <v>71.3</v>
      </c>
      <c r="I342" s="47"/>
      <c r="J342" s="12">
        <v>1140.8</v>
      </c>
    </row>
    <row r="343" spans="1:10" ht="22.5" customHeight="1">
      <c r="A343" s="8" t="s">
        <v>533</v>
      </c>
      <c r="B343" s="9">
        <v>96985</v>
      </c>
      <c r="C343" s="8" t="s">
        <v>21</v>
      </c>
      <c r="D343" s="13" t="s">
        <v>194</v>
      </c>
      <c r="E343" s="23" t="s">
        <v>120</v>
      </c>
      <c r="F343" s="9">
        <v>16</v>
      </c>
      <c r="G343" s="11">
        <v>81.489999999999995</v>
      </c>
      <c r="H343" s="46">
        <v>99.89</v>
      </c>
      <c r="I343" s="47"/>
      <c r="J343" s="12">
        <v>1598.24</v>
      </c>
    </row>
    <row r="344" spans="1:10" ht="30.3" customHeight="1">
      <c r="A344" s="8" t="s">
        <v>534</v>
      </c>
      <c r="B344" s="9">
        <v>91929</v>
      </c>
      <c r="C344" s="8" t="s">
        <v>21</v>
      </c>
      <c r="D344" s="13" t="s">
        <v>535</v>
      </c>
      <c r="E344" s="23" t="s">
        <v>26</v>
      </c>
      <c r="F344" s="15">
        <v>569.70000000000005</v>
      </c>
      <c r="G344" s="11">
        <v>7.48</v>
      </c>
      <c r="H344" s="46">
        <v>9.16</v>
      </c>
      <c r="I344" s="47"/>
      <c r="J344" s="12">
        <v>5218.45</v>
      </c>
    </row>
    <row r="345" spans="1:10" ht="30.3" customHeight="1">
      <c r="A345" s="8" t="s">
        <v>536</v>
      </c>
      <c r="B345" s="9">
        <v>91931</v>
      </c>
      <c r="C345" s="8" t="s">
        <v>21</v>
      </c>
      <c r="D345" s="13" t="s">
        <v>202</v>
      </c>
      <c r="E345" s="23" t="s">
        <v>26</v>
      </c>
      <c r="F345" s="15">
        <v>24.3</v>
      </c>
      <c r="G345" s="11">
        <v>10.62</v>
      </c>
      <c r="H345" s="46">
        <v>13.01</v>
      </c>
      <c r="I345" s="47"/>
      <c r="J345" s="11">
        <v>316.14</v>
      </c>
    </row>
    <row r="346" spans="1:10" ht="50.55" customHeight="1">
      <c r="A346" s="8" t="s">
        <v>537</v>
      </c>
      <c r="B346" s="9">
        <v>29</v>
      </c>
      <c r="C346" s="8" t="s">
        <v>94</v>
      </c>
      <c r="D346" s="8" t="s">
        <v>538</v>
      </c>
      <c r="E346" s="26" t="s">
        <v>178</v>
      </c>
      <c r="F346" s="9">
        <v>16</v>
      </c>
      <c r="G346" s="12">
        <v>1095.97</v>
      </c>
      <c r="H346" s="50">
        <v>1343.44</v>
      </c>
      <c r="I346" s="51"/>
      <c r="J346" s="12">
        <v>21495.040000000001</v>
      </c>
    </row>
    <row r="347" spans="1:10">
      <c r="I347" s="27" t="s">
        <v>539</v>
      </c>
      <c r="J347" s="28">
        <v>308904.31</v>
      </c>
    </row>
    <row r="348" spans="1:10">
      <c r="I348" s="27" t="s">
        <v>540</v>
      </c>
      <c r="J348" s="28">
        <v>69696.92</v>
      </c>
    </row>
    <row r="349" spans="1:10">
      <c r="I349" s="27" t="s">
        <v>541</v>
      </c>
      <c r="J349" s="28">
        <v>378601.23</v>
      </c>
    </row>
  </sheetData>
  <mergeCells count="367">
    <mergeCell ref="H346:I34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A7:D7"/>
    <mergeCell ref="E7:F7"/>
    <mergeCell ref="G7:H7"/>
    <mergeCell ref="I7:J7"/>
    <mergeCell ref="H8:I8"/>
    <mergeCell ref="H9:I9"/>
    <mergeCell ref="H10:I10"/>
    <mergeCell ref="H11:I11"/>
    <mergeCell ref="H12:I12"/>
    <mergeCell ref="A4:D4"/>
    <mergeCell ref="E4:F4"/>
    <mergeCell ref="G4:H4"/>
    <mergeCell ref="I4:J4"/>
    <mergeCell ref="A5:D5"/>
    <mergeCell ref="E5:F5"/>
    <mergeCell ref="G5:H5"/>
    <mergeCell ref="I5:J5"/>
    <mergeCell ref="A6:D6"/>
    <mergeCell ref="E6:F6"/>
    <mergeCell ref="G6:H6"/>
    <mergeCell ref="I6:J6"/>
    <mergeCell ref="A1:D1"/>
    <mergeCell ref="E1:F1"/>
    <mergeCell ref="G1:H1"/>
    <mergeCell ref="I1:J1"/>
    <mergeCell ref="A2:D2"/>
    <mergeCell ref="E2:F2"/>
    <mergeCell ref="G2:H2"/>
    <mergeCell ref="I2:J2"/>
    <mergeCell ref="A3:D3"/>
    <mergeCell ref="E3:F3"/>
    <mergeCell ref="G3:H3"/>
    <mergeCell ref="I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CONSTRUÇÃO DA PRAÇA NOVA, NO  - Orçamento Sintético.xlsx</dc:title>
  <cp:lastModifiedBy>DOUGLAS WESLEY</cp:lastModifiedBy>
  <dcterms:created xsi:type="dcterms:W3CDTF">2026-03-13T12:56:18Z</dcterms:created>
  <dcterms:modified xsi:type="dcterms:W3CDTF">2026-03-26T22:26:51Z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2026-02-23T00:00:00Z</vt:filetime>
  </property>
  <property fmtid="{D5CDD505-2E9C-101B-9397-08002B2CF9AE}" pid="3" name="LastSaved">
    <vt:filetime>2026-03-13T00:00:00Z</vt:filetime>
  </property>
  <property fmtid="{D5CDD505-2E9C-101B-9397-08002B2CF9AE}" pid="4" name="Producer">
    <vt:lpwstr>Microsoft: Print To PDF</vt:lpwstr>
  </property>
</Properties>
</file>