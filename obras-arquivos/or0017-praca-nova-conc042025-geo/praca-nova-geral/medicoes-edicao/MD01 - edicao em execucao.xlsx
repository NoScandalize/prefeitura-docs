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ougl\Desktop\Eng\Work\RELATÓRIOS\prefeitura-docs\obras-arquivos\or0017-praca-nova-conc042025-geo\praca-nova-geral\medicoes-edicao\"/>
    </mc:Choice>
  </mc:AlternateContent>
  <xr:revisionPtr revIDLastSave="0" documentId="13_ncr:1_{F57087AE-91EB-40EF-A5CA-1458678F573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LANILHA DE MEDIÇÃO" sheetId="1" r:id="rId1"/>
    <sheet name="MEMORIAL DE CALCULO" sheetId="3" r:id="rId2"/>
  </sheets>
  <definedNames>
    <definedName name="_xlnm.Print_Area" localSheetId="1">'MEMORIAL DE CALCULO'!$A$1:$X$128</definedName>
    <definedName name="_xlnm.Print_Area" localSheetId="0">'PLANILHA DE MEDIÇÃO'!$A$1:$L$350</definedName>
    <definedName name="JR_PAGE_ANCHOR_0_1" localSheetId="1">'MEMORIAL DE CALCULO'!#REF!</definedName>
    <definedName name="JR_PAGE_ANCHOR_0_1">'PLANILHA DE MEDIÇÃO'!#REF!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41" i="1" l="1"/>
  <c r="H324" i="1"/>
  <c r="H314" i="1"/>
  <c r="H299" i="1"/>
  <c r="H289" i="1"/>
  <c r="H281" i="1"/>
  <c r="H270" i="1"/>
  <c r="H267" i="1"/>
  <c r="H262" i="1"/>
  <c r="H256" i="1"/>
  <c r="H237" i="1"/>
  <c r="H186" i="1"/>
  <c r="H181" i="1"/>
  <c r="H173" i="1"/>
  <c r="H169" i="1"/>
  <c r="H158" i="1"/>
  <c r="H147" i="1"/>
  <c r="H144" i="1"/>
  <c r="H142" i="1"/>
  <c r="H130" i="1"/>
  <c r="H108" i="1"/>
  <c r="H86" i="1"/>
  <c r="H52" i="1"/>
  <c r="H42" i="1"/>
  <c r="H27" i="1"/>
  <c r="H16" i="1"/>
  <c r="H13" i="1"/>
  <c r="H325" i="1"/>
  <c r="H323" i="1"/>
  <c r="H322" i="1"/>
  <c r="H320" i="1"/>
  <c r="H318" i="1"/>
  <c r="H316" i="1"/>
  <c r="H304" i="1"/>
  <c r="H301" i="1"/>
  <c r="H297" i="1"/>
  <c r="H295" i="1"/>
  <c r="H294" i="1"/>
  <c r="H293" i="1"/>
  <c r="H292" i="1"/>
  <c r="H291" i="1"/>
  <c r="H287" i="1"/>
  <c r="H284" i="1"/>
  <c r="H282" i="1"/>
  <c r="H280" i="1"/>
  <c r="H279" i="1"/>
  <c r="H276" i="1"/>
  <c r="H275" i="1"/>
  <c r="H274" i="1"/>
  <c r="H269" i="1"/>
  <c r="H268" i="1"/>
  <c r="H265" i="1"/>
  <c r="H261" i="1"/>
  <c r="H258" i="1"/>
  <c r="H257" i="1"/>
  <c r="H252" i="1"/>
  <c r="H251" i="1"/>
  <c r="H189" i="1"/>
  <c r="H188" i="1"/>
  <c r="H187" i="1"/>
  <c r="H184" i="1"/>
  <c r="H179" i="1"/>
  <c r="H178" i="1"/>
  <c r="H177" i="1"/>
  <c r="H175" i="1"/>
  <c r="H174" i="1"/>
  <c r="H172" i="1"/>
  <c r="H168" i="1"/>
  <c r="H166" i="1"/>
  <c r="H165" i="1"/>
  <c r="H160" i="1"/>
  <c r="H156" i="1"/>
  <c r="H150" i="1"/>
  <c r="H146" i="1"/>
  <c r="H143" i="1"/>
  <c r="H131" i="1"/>
  <c r="H128" i="1"/>
  <c r="H106" i="1"/>
  <c r="H105" i="1"/>
  <c r="H102" i="1"/>
  <c r="H54" i="1"/>
  <c r="H50" i="1"/>
  <c r="H48" i="1"/>
  <c r="H43" i="1"/>
  <c r="H36" i="1"/>
  <c r="H35" i="1"/>
  <c r="H33" i="1"/>
  <c r="H31" i="1"/>
  <c r="H30" i="1"/>
  <c r="H29" i="1"/>
  <c r="H24" i="1"/>
  <c r="H22" i="1"/>
  <c r="H21" i="1"/>
  <c r="H15" i="1"/>
  <c r="L273" i="1"/>
  <c r="L274" i="1"/>
  <c r="L275" i="1"/>
  <c r="L269" i="1"/>
  <c r="J286" i="1"/>
  <c r="L286" i="1" s="1"/>
  <c r="J285" i="1"/>
  <c r="L285" i="1" s="1"/>
  <c r="J284" i="1"/>
  <c r="L284" i="1" s="1"/>
  <c r="J283" i="1"/>
  <c r="L283" i="1" s="1"/>
  <c r="J282" i="1"/>
  <c r="L282" i="1" s="1"/>
  <c r="J280" i="1"/>
  <c r="J279" i="1"/>
  <c r="L279" i="1" s="1"/>
  <c r="J278" i="1"/>
  <c r="L278" i="1" s="1"/>
  <c r="J277" i="1"/>
  <c r="L277" i="1" s="1"/>
  <c r="J276" i="1"/>
  <c r="L276" i="1" s="1"/>
  <c r="J275" i="1"/>
  <c r="J274" i="1"/>
  <c r="J273" i="1"/>
  <c r="J272" i="1"/>
  <c r="L272" i="1" s="1"/>
  <c r="J271" i="1"/>
  <c r="L271" i="1" s="1"/>
  <c r="J269" i="1"/>
  <c r="J268" i="1"/>
  <c r="L268" i="1" s="1"/>
  <c r="J160" i="1"/>
  <c r="J161" i="1"/>
  <c r="L161" i="1" s="1"/>
  <c r="J162" i="1"/>
  <c r="L162" i="1" s="1"/>
  <c r="J163" i="1"/>
  <c r="L163" i="1" s="1"/>
  <c r="J164" i="1"/>
  <c r="L164" i="1" s="1"/>
  <c r="J165" i="1"/>
  <c r="L165" i="1" s="1"/>
  <c r="J166" i="1"/>
  <c r="L166" i="1" s="1"/>
  <c r="J167" i="1"/>
  <c r="L167" i="1" s="1"/>
  <c r="J168" i="1"/>
  <c r="L168" i="1" s="1"/>
  <c r="J159" i="1"/>
  <c r="L159" i="1" s="1"/>
  <c r="J157" i="1"/>
  <c r="L157" i="1" s="1"/>
  <c r="J149" i="1"/>
  <c r="L149" i="1" s="1"/>
  <c r="J150" i="1"/>
  <c r="L150" i="1" s="1"/>
  <c r="J151" i="1"/>
  <c r="L151" i="1" s="1"/>
  <c r="J152" i="1"/>
  <c r="L152" i="1" s="1"/>
  <c r="J153" i="1"/>
  <c r="L153" i="1" s="1"/>
  <c r="J154" i="1"/>
  <c r="L154" i="1" s="1"/>
  <c r="J155" i="1"/>
  <c r="L155" i="1" s="1"/>
  <c r="J156" i="1"/>
  <c r="L156" i="1" s="1"/>
  <c r="J148" i="1"/>
  <c r="L148" i="1" s="1"/>
  <c r="J146" i="1"/>
  <c r="L146" i="1" s="1"/>
  <c r="J145" i="1"/>
  <c r="L145" i="1" s="1"/>
  <c r="J143" i="1"/>
  <c r="L143" i="1" s="1"/>
  <c r="J29" i="1"/>
  <c r="L29" i="1" s="1"/>
  <c r="J30" i="1"/>
  <c r="J28" i="1"/>
  <c r="J18" i="1"/>
  <c r="J19" i="1"/>
  <c r="J20" i="1"/>
  <c r="J21" i="1"/>
  <c r="J22" i="1"/>
  <c r="J23" i="1"/>
  <c r="J24" i="1"/>
  <c r="L24" i="1" s="1"/>
  <c r="J25" i="1"/>
  <c r="L25" i="1" s="1"/>
  <c r="J26" i="1"/>
  <c r="J17" i="1"/>
  <c r="J15" i="1"/>
  <c r="J14" i="1"/>
  <c r="J12" i="1"/>
  <c r="L12" i="1" s="1"/>
  <c r="J8" i="1"/>
  <c r="J9" i="1"/>
  <c r="L30" i="1"/>
  <c r="L28" i="1"/>
  <c r="L18" i="1"/>
  <c r="L19" i="1"/>
  <c r="L20" i="1"/>
  <c r="L21" i="1"/>
  <c r="L22" i="1"/>
  <c r="L23" i="1"/>
  <c r="L26" i="1"/>
  <c r="L17" i="1"/>
  <c r="L15" i="1"/>
  <c r="L14" i="1"/>
  <c r="L280" i="1" l="1"/>
  <c r="L160" i="1"/>
  <c r="L8" i="1"/>
  <c r="L9" i="1"/>
  <c r="L7" i="1"/>
  <c r="J7" i="1"/>
  <c r="H298" i="1"/>
  <c r="H310" i="1"/>
  <c r="H266" i="1"/>
  <c r="H190" i="1"/>
  <c r="H216" i="1"/>
  <c r="H191" i="1"/>
  <c r="H59" i="1"/>
  <c r="H60" i="1"/>
  <c r="H38" i="1"/>
  <c r="H28" i="1"/>
  <c r="H12" i="1"/>
  <c r="H11" i="1"/>
  <c r="H7" i="1"/>
  <c r="H55" i="1"/>
  <c r="H10" i="1" l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17" i="1"/>
  <c r="H319" i="1"/>
  <c r="H321" i="1"/>
  <c r="H315" i="1"/>
  <c r="H312" i="1"/>
  <c r="H313" i="1"/>
  <c r="H311" i="1"/>
  <c r="H302" i="1"/>
  <c r="H303" i="1"/>
  <c r="H305" i="1"/>
  <c r="H306" i="1"/>
  <c r="H307" i="1"/>
  <c r="H308" i="1"/>
  <c r="H309" i="1"/>
  <c r="H300" i="1"/>
  <c r="H296" i="1"/>
  <c r="H290" i="1"/>
  <c r="H283" i="1"/>
  <c r="H285" i="1"/>
  <c r="H286" i="1"/>
  <c r="H288" i="1"/>
  <c r="H272" i="1"/>
  <c r="H273" i="1"/>
  <c r="H277" i="1"/>
  <c r="H278" i="1"/>
  <c r="H271" i="1"/>
  <c r="H264" i="1"/>
  <c r="H263" i="1"/>
  <c r="H259" i="1"/>
  <c r="H260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3" i="1"/>
  <c r="H254" i="1"/>
  <c r="H255" i="1"/>
  <c r="H238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17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192" i="1"/>
  <c r="H183" i="1"/>
  <c r="H185" i="1"/>
  <c r="H182" i="1"/>
  <c r="H176" i="1"/>
  <c r="H180" i="1"/>
  <c r="H171" i="1"/>
  <c r="H170" i="1"/>
  <c r="H161" i="1"/>
  <c r="H162" i="1"/>
  <c r="H163" i="1"/>
  <c r="H164" i="1"/>
  <c r="H167" i="1"/>
  <c r="H159" i="1"/>
  <c r="H149" i="1"/>
  <c r="H151" i="1"/>
  <c r="H152" i="1"/>
  <c r="H153" i="1"/>
  <c r="H154" i="1"/>
  <c r="H155" i="1"/>
  <c r="H157" i="1"/>
  <c r="H148" i="1"/>
  <c r="H145" i="1"/>
  <c r="H139" i="1"/>
  <c r="H140" i="1"/>
  <c r="H138" i="1"/>
  <c r="H132" i="1"/>
  <c r="H133" i="1"/>
  <c r="H134" i="1"/>
  <c r="H135" i="1"/>
  <c r="H136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9" i="1"/>
  <c r="H109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3" i="1"/>
  <c r="H104" i="1"/>
  <c r="H107" i="1"/>
  <c r="H87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61" i="1"/>
  <c r="H57" i="1"/>
  <c r="H58" i="1"/>
  <c r="H56" i="1"/>
  <c r="H53" i="1"/>
  <c r="H44" i="1"/>
  <c r="H45" i="1"/>
  <c r="H46" i="1"/>
  <c r="H47" i="1"/>
  <c r="H49" i="1"/>
  <c r="H51" i="1"/>
  <c r="H40" i="1"/>
  <c r="H41" i="1"/>
  <c r="H39" i="1"/>
  <c r="H32" i="1"/>
  <c r="H34" i="1"/>
  <c r="H37" i="1"/>
  <c r="H18" i="1"/>
  <c r="H19" i="1"/>
  <c r="H20" i="1"/>
  <c r="H23" i="1"/>
  <c r="H25" i="1"/>
  <c r="H26" i="1"/>
  <c r="H17" i="1"/>
  <c r="H14" i="1"/>
  <c r="H8" i="1"/>
  <c r="H9" i="1"/>
  <c r="I2" i="3" l="1"/>
  <c r="W124" i="3"/>
  <c r="W122" i="3"/>
  <c r="X122" i="3" s="1"/>
  <c r="U122" i="3"/>
  <c r="W120" i="3"/>
  <c r="X120" i="3" s="1"/>
  <c r="U120" i="3"/>
  <c r="W119" i="3"/>
  <c r="X119" i="3" s="1"/>
  <c r="U119" i="3"/>
  <c r="W118" i="3"/>
  <c r="X118" i="3" s="1"/>
  <c r="U118" i="3"/>
  <c r="W117" i="3"/>
  <c r="X117" i="3" s="1"/>
  <c r="U117" i="3"/>
  <c r="W116" i="3"/>
  <c r="X116" i="3" s="1"/>
  <c r="U116" i="3"/>
  <c r="W115" i="3"/>
  <c r="X115" i="3" s="1"/>
  <c r="U115" i="3"/>
  <c r="W114" i="3"/>
  <c r="X114" i="3" s="1"/>
  <c r="U114" i="3"/>
  <c r="W113" i="3"/>
  <c r="X113" i="3" s="1"/>
  <c r="U113" i="3"/>
  <c r="W111" i="3"/>
  <c r="X111" i="3" s="1"/>
  <c r="U111" i="3"/>
  <c r="W110" i="3"/>
  <c r="X110" i="3" s="1"/>
  <c r="U110" i="3"/>
  <c r="W108" i="3"/>
  <c r="X108" i="3" s="1"/>
  <c r="U108" i="3"/>
  <c r="W107" i="3"/>
  <c r="X107" i="3" s="1"/>
  <c r="U107" i="3"/>
  <c r="W106" i="3"/>
  <c r="X106" i="3" s="1"/>
  <c r="U106" i="3"/>
  <c r="W105" i="3"/>
  <c r="X105" i="3" s="1"/>
  <c r="U105" i="3"/>
  <c r="W104" i="3"/>
  <c r="X104" i="3" s="1"/>
  <c r="U104" i="3"/>
  <c r="W103" i="3"/>
  <c r="X103" i="3" s="1"/>
  <c r="U103" i="3"/>
  <c r="W102" i="3"/>
  <c r="X102" i="3" s="1"/>
  <c r="U102" i="3"/>
  <c r="W101" i="3"/>
  <c r="X101" i="3" s="1"/>
  <c r="U101" i="3"/>
  <c r="W100" i="3"/>
  <c r="X100" i="3" s="1"/>
  <c r="U100" i="3"/>
  <c r="W99" i="3"/>
  <c r="X99" i="3" s="1"/>
  <c r="U99" i="3"/>
  <c r="W97" i="3"/>
  <c r="X97" i="3" s="1"/>
  <c r="U97" i="3"/>
  <c r="W96" i="3"/>
  <c r="X96" i="3" s="1"/>
  <c r="U96" i="3"/>
  <c r="W95" i="3"/>
  <c r="X95" i="3" s="1"/>
  <c r="U95" i="3"/>
  <c r="W94" i="3"/>
  <c r="X94" i="3" s="1"/>
  <c r="U94" i="3"/>
  <c r="W93" i="3"/>
  <c r="X93" i="3" s="1"/>
  <c r="U93" i="3"/>
  <c r="W92" i="3"/>
  <c r="X92" i="3" s="1"/>
  <c r="U92" i="3"/>
  <c r="W90" i="3"/>
  <c r="X90" i="3" s="1"/>
  <c r="U90" i="3"/>
  <c r="Q90" i="3"/>
  <c r="R90" i="3" s="1"/>
  <c r="W89" i="3"/>
  <c r="X89" i="3" s="1"/>
  <c r="U89" i="3"/>
  <c r="W88" i="3"/>
  <c r="X88" i="3" s="1"/>
  <c r="U88" i="3"/>
  <c r="W87" i="3"/>
  <c r="X87" i="3" s="1"/>
  <c r="U87" i="3"/>
  <c r="W86" i="3"/>
  <c r="X86" i="3" s="1"/>
  <c r="U86" i="3"/>
  <c r="W85" i="3"/>
  <c r="X85" i="3" s="1"/>
  <c r="U85" i="3"/>
  <c r="W84" i="3"/>
  <c r="X84" i="3" s="1"/>
  <c r="U84" i="3"/>
  <c r="W83" i="3"/>
  <c r="X83" i="3" s="1"/>
  <c r="U83" i="3"/>
  <c r="W82" i="3"/>
  <c r="X82" i="3" s="1"/>
  <c r="U82" i="3"/>
  <c r="W81" i="3"/>
  <c r="X81" i="3" s="1"/>
  <c r="U81" i="3"/>
  <c r="W80" i="3"/>
  <c r="X80" i="3" s="1"/>
  <c r="U80" i="3"/>
  <c r="W79" i="3"/>
  <c r="X79" i="3" s="1"/>
  <c r="U79" i="3"/>
  <c r="W78" i="3"/>
  <c r="X78" i="3" s="1"/>
  <c r="U78" i="3"/>
  <c r="W77" i="3"/>
  <c r="X77" i="3" s="1"/>
  <c r="U77" i="3"/>
  <c r="W76" i="3"/>
  <c r="X76" i="3" s="1"/>
  <c r="U76" i="3"/>
  <c r="W75" i="3"/>
  <c r="X75" i="3" s="1"/>
  <c r="U75" i="3"/>
  <c r="W74" i="3"/>
  <c r="X74" i="3" s="1"/>
  <c r="U74" i="3"/>
  <c r="W73" i="3"/>
  <c r="X73" i="3" s="1"/>
  <c r="U73" i="3"/>
  <c r="W72" i="3"/>
  <c r="X72" i="3" s="1"/>
  <c r="U72" i="3"/>
  <c r="W70" i="3"/>
  <c r="U70" i="3"/>
  <c r="Q70" i="3"/>
  <c r="R70" i="3" s="1"/>
  <c r="W69" i="3"/>
  <c r="U69" i="3"/>
  <c r="Q69" i="3"/>
  <c r="R69" i="3" s="1"/>
  <c r="W68" i="3"/>
  <c r="U68" i="3"/>
  <c r="W67" i="3"/>
  <c r="U67" i="3"/>
  <c r="Q67" i="3"/>
  <c r="R67" i="3" s="1"/>
  <c r="W66" i="3"/>
  <c r="U66" i="3"/>
  <c r="Q66" i="3"/>
  <c r="R66" i="3" s="1"/>
  <c r="W65" i="3"/>
  <c r="U65" i="3"/>
  <c r="Q65" i="3"/>
  <c r="W64" i="3"/>
  <c r="U64" i="3"/>
  <c r="Q64" i="3"/>
  <c r="R64" i="3" s="1"/>
  <c r="W63" i="3"/>
  <c r="X63" i="3" s="1"/>
  <c r="U63" i="3"/>
  <c r="W62" i="3"/>
  <c r="U62" i="3"/>
  <c r="W61" i="3"/>
  <c r="X61" i="3" s="1"/>
  <c r="U61" i="3"/>
  <c r="Q61" i="3"/>
  <c r="R61" i="3" s="1"/>
  <c r="W60" i="3"/>
  <c r="U60" i="3"/>
  <c r="Q60" i="3"/>
  <c r="R60" i="3" s="1"/>
  <c r="W59" i="3"/>
  <c r="U59" i="3"/>
  <c r="Q59" i="3"/>
  <c r="R59" i="3" s="1"/>
  <c r="W58" i="3"/>
  <c r="X58" i="3" s="1"/>
  <c r="U58" i="3"/>
  <c r="W57" i="3"/>
  <c r="U57" i="3"/>
  <c r="W54" i="3"/>
  <c r="X54" i="3" s="1"/>
  <c r="U54" i="3"/>
  <c r="W53" i="3"/>
  <c r="U53" i="3"/>
  <c r="W51" i="3"/>
  <c r="U51" i="3"/>
  <c r="W50" i="3"/>
  <c r="U50" i="3"/>
  <c r="Q50" i="3"/>
  <c r="R50" i="3" s="1"/>
  <c r="W49" i="3"/>
  <c r="U49" i="3"/>
  <c r="Q49" i="3"/>
  <c r="R49" i="3" s="1"/>
  <c r="W48" i="3"/>
  <c r="U48" i="3"/>
  <c r="Q48" i="3"/>
  <c r="W46" i="3"/>
  <c r="U46" i="3"/>
  <c r="N46" i="3"/>
  <c r="O46" i="3" s="1"/>
  <c r="K46" i="3"/>
  <c r="W44" i="3"/>
  <c r="U44" i="3"/>
  <c r="W43" i="3"/>
  <c r="X43" i="3" s="1"/>
  <c r="U43" i="3"/>
  <c r="W42" i="3"/>
  <c r="X42" i="3" s="1"/>
  <c r="U42" i="3"/>
  <c r="W41" i="3"/>
  <c r="U41" i="3"/>
  <c r="H134" i="3"/>
  <c r="W40" i="3"/>
  <c r="U40" i="3"/>
  <c r="W39" i="3"/>
  <c r="X39" i="3" s="1"/>
  <c r="U39" i="3"/>
  <c r="W37" i="3"/>
  <c r="X37" i="3" s="1"/>
  <c r="U37" i="3"/>
  <c r="N37" i="3"/>
  <c r="O37" i="3" s="1"/>
  <c r="W36" i="3"/>
  <c r="X36" i="3" s="1"/>
  <c r="U36" i="3"/>
  <c r="Q36" i="3"/>
  <c r="R36" i="3" s="1"/>
  <c r="N36" i="3"/>
  <c r="W35" i="3"/>
  <c r="X35" i="3" s="1"/>
  <c r="U35" i="3"/>
  <c r="Q35" i="3"/>
  <c r="R35" i="3" s="1"/>
  <c r="N35" i="3"/>
  <c r="O35" i="3" s="1"/>
  <c r="W34" i="3"/>
  <c r="X34" i="3" s="1"/>
  <c r="U34" i="3"/>
  <c r="Q34" i="3"/>
  <c r="R34" i="3" s="1"/>
  <c r="N34" i="3"/>
  <c r="W33" i="3"/>
  <c r="X33" i="3" s="1"/>
  <c r="U33" i="3"/>
  <c r="Q33" i="3"/>
  <c r="N33" i="3"/>
  <c r="O33" i="3" s="1"/>
  <c r="W32" i="3"/>
  <c r="X32" i="3" s="1"/>
  <c r="U32" i="3"/>
  <c r="Q32" i="3"/>
  <c r="R32" i="3" s="1"/>
  <c r="N32" i="3"/>
  <c r="O32" i="3" s="1"/>
  <c r="W31" i="3"/>
  <c r="X31" i="3" s="1"/>
  <c r="U31" i="3"/>
  <c r="Q31" i="3"/>
  <c r="R31" i="3" s="1"/>
  <c r="N31" i="3"/>
  <c r="O31" i="3" s="1"/>
  <c r="W29" i="3"/>
  <c r="U29" i="3"/>
  <c r="Q29" i="3"/>
  <c r="R29" i="3" s="1"/>
  <c r="N29" i="3"/>
  <c r="O29" i="3" s="1"/>
  <c r="K29" i="3"/>
  <c r="W28" i="3"/>
  <c r="X28" i="3" s="1"/>
  <c r="U28" i="3"/>
  <c r="Q28" i="3"/>
  <c r="R28" i="3" s="1"/>
  <c r="K28" i="3"/>
  <c r="L28" i="3" s="1"/>
  <c r="W27" i="3"/>
  <c r="X27" i="3" s="1"/>
  <c r="U27" i="3"/>
  <c r="Q27" i="3"/>
  <c r="R27" i="3" s="1"/>
  <c r="K27" i="3"/>
  <c r="L27" i="3" s="1"/>
  <c r="W26" i="3"/>
  <c r="X26" i="3" s="1"/>
  <c r="U26" i="3"/>
  <c r="Q26" i="3"/>
  <c r="R26" i="3" s="1"/>
  <c r="K26" i="3"/>
  <c r="W25" i="3"/>
  <c r="X25" i="3" s="1"/>
  <c r="U25" i="3"/>
  <c r="Q25" i="3"/>
  <c r="R25" i="3" s="1"/>
  <c r="N25" i="3"/>
  <c r="O25" i="3" s="1"/>
  <c r="K25" i="3"/>
  <c r="W24" i="3"/>
  <c r="X24" i="3" s="1"/>
  <c r="U24" i="3"/>
  <c r="Q24" i="3"/>
  <c r="R24" i="3" s="1"/>
  <c r="N24" i="3"/>
  <c r="O24" i="3" s="1"/>
  <c r="K24" i="3"/>
  <c r="W21" i="3"/>
  <c r="X21" i="3" s="1"/>
  <c r="U21" i="3"/>
  <c r="N21" i="3"/>
  <c r="O21" i="3" s="1"/>
  <c r="K21" i="3"/>
  <c r="W20" i="3"/>
  <c r="X20" i="3" s="1"/>
  <c r="U20" i="3"/>
  <c r="N20" i="3"/>
  <c r="O20" i="3" s="1"/>
  <c r="K20" i="3"/>
  <c r="W19" i="3"/>
  <c r="X19" i="3" s="1"/>
  <c r="U19" i="3"/>
  <c r="N19" i="3"/>
  <c r="O19" i="3" s="1"/>
  <c r="K19" i="3"/>
  <c r="L19" i="3" s="1"/>
  <c r="W18" i="3"/>
  <c r="X18" i="3" s="1"/>
  <c r="U18" i="3"/>
  <c r="N18" i="3"/>
  <c r="O18" i="3" s="1"/>
  <c r="K18" i="3"/>
  <c r="L18" i="3" s="1"/>
  <c r="W17" i="3"/>
  <c r="X17" i="3" s="1"/>
  <c r="U17" i="3"/>
  <c r="N17" i="3"/>
  <c r="O17" i="3" s="1"/>
  <c r="K17" i="3"/>
  <c r="W16" i="3"/>
  <c r="X16" i="3" s="1"/>
  <c r="U16" i="3"/>
  <c r="N16" i="3"/>
  <c r="O16" i="3" s="1"/>
  <c r="K16" i="3"/>
  <c r="W12" i="3"/>
  <c r="X12" i="3" s="1"/>
  <c r="U12" i="3"/>
  <c r="K12" i="3"/>
  <c r="L12" i="3" s="1"/>
  <c r="W11" i="3"/>
  <c r="X11" i="3" s="1"/>
  <c r="U11" i="3"/>
  <c r="K11" i="3"/>
  <c r="L11" i="3" s="1"/>
  <c r="W10" i="3"/>
  <c r="X10" i="3" s="1"/>
  <c r="U10" i="3"/>
  <c r="K10" i="3"/>
  <c r="L10" i="3" s="1"/>
  <c r="W8" i="3"/>
  <c r="X8" i="3" s="1"/>
  <c r="U8" i="3"/>
  <c r="K8" i="3"/>
  <c r="L8" i="3" s="1"/>
  <c r="W7" i="3"/>
  <c r="X7" i="3" s="1"/>
  <c r="U7" i="3"/>
  <c r="Q7" i="3"/>
  <c r="N7" i="3"/>
  <c r="O7" i="3" s="1"/>
  <c r="K7" i="3"/>
  <c r="L7" i="3" s="1"/>
  <c r="L25" i="3" l="1"/>
  <c r="L17" i="3"/>
  <c r="L26" i="3"/>
  <c r="R7" i="3"/>
  <c r="X44" i="3"/>
  <c r="R65" i="3"/>
  <c r="X51" i="3"/>
  <c r="X57" i="3"/>
  <c r="H140" i="3"/>
  <c r="M134" i="3"/>
  <c r="M135" i="3" s="1"/>
  <c r="H137" i="3" s="1"/>
  <c r="X40" i="3"/>
  <c r="L21" i="3"/>
  <c r="L24" i="3"/>
  <c r="H133" i="3"/>
  <c r="H135" i="3" s="1"/>
  <c r="R33" i="3"/>
  <c r="O36" i="3"/>
  <c r="R48" i="3"/>
  <c r="L16" i="3"/>
  <c r="L20" i="3"/>
  <c r="L29" i="3"/>
  <c r="X41" i="3"/>
  <c r="L46" i="3"/>
  <c r="X62" i="3"/>
  <c r="X68" i="3"/>
  <c r="O34" i="3"/>
  <c r="L3" i="3" l="1"/>
  <c r="R3" i="3"/>
  <c r="H138" i="3"/>
  <c r="O3" i="3" l="1"/>
  <c r="X3" i="3"/>
  <c r="H137" i="1" l="1"/>
  <c r="H346" i="1" l="1"/>
  <c r="H6" i="1"/>
  <c r="L346" i="1" l="1"/>
  <c r="L3" i="1" l="1"/>
  <c r="J346" i="1"/>
</calcChain>
</file>

<file path=xl/sharedStrings.xml><?xml version="1.0" encoding="utf-8"?>
<sst xmlns="http://schemas.openxmlformats.org/spreadsheetml/2006/main" count="1586" uniqueCount="821">
  <si>
    <t>MEDIÇÕES</t>
  </si>
  <si>
    <t>ITEM</t>
  </si>
  <si>
    <t>CÓDIGO</t>
  </si>
  <si>
    <t>DESCRIÇÃO</t>
  </si>
  <si>
    <t>FONTE</t>
  </si>
  <si>
    <t>UND</t>
  </si>
  <si>
    <t>QUANTIDADE</t>
  </si>
  <si>
    <t>PREÇO
UNITÁRIO R$</t>
  </si>
  <si>
    <t>PREÇO
TOTAL R$</t>
  </si>
  <si>
    <t>AVANÇO PERCENTUAL NO PERÍODO</t>
  </si>
  <si>
    <t>QUANTIDADE MEDIDA NO PERÍODO</t>
  </si>
  <si>
    <t>VALOR MEDIDO NO PERÍODO</t>
  </si>
  <si>
    <t>SERVIÇOS PRELIMINARES</t>
  </si>
  <si>
    <t>MEDIÇÃO 01</t>
  </si>
  <si>
    <t>1.1</t>
  </si>
  <si>
    <t>1.2</t>
  </si>
  <si>
    <t>2.1</t>
  </si>
  <si>
    <t>2.2</t>
  </si>
  <si>
    <t>2.3</t>
  </si>
  <si>
    <t>3.1</t>
  </si>
  <si>
    <t>3.2</t>
  </si>
  <si>
    <t>COBERTURA</t>
  </si>
  <si>
    <t>4.1</t>
  </si>
  <si>
    <t>5.1</t>
  </si>
  <si>
    <t>6.1</t>
  </si>
  <si>
    <t>7.1</t>
  </si>
  <si>
    <t>7.2</t>
  </si>
  <si>
    <t>8.1</t>
  </si>
  <si>
    <t>8.2</t>
  </si>
  <si>
    <t>9.1</t>
  </si>
  <si>
    <t>10.1</t>
  </si>
  <si>
    <t>10.2</t>
  </si>
  <si>
    <t>VALOR BDI TOTAL:</t>
  </si>
  <si>
    <t>VALOR ORÇAMENTO:</t>
  </si>
  <si>
    <t>VALOR TOTAL:</t>
  </si>
  <si>
    <t>TOTAL DA MEDIÇÃO 01</t>
  </si>
  <si>
    <t>______________________________________
Fiscal do Contrato 
Prefeitura Municipal de Coremas - PB</t>
  </si>
  <si>
    <t>MEDIÇÃO 02</t>
  </si>
  <si>
    <t>MEDIÇÃO 03</t>
  </si>
  <si>
    <t>MEDIÇÃO 04</t>
  </si>
  <si>
    <t>MEDIÇÃO 05</t>
  </si>
  <si>
    <t>MOVIMENTO DE TERRA</t>
  </si>
  <si>
    <t>5.2</t>
  </si>
  <si>
    <t>5.3</t>
  </si>
  <si>
    <t>5.4</t>
  </si>
  <si>
    <t>PILARES</t>
  </si>
  <si>
    <t>VIGAS</t>
  </si>
  <si>
    <t>6.2</t>
  </si>
  <si>
    <t>8.3</t>
  </si>
  <si>
    <t>8.4</t>
  </si>
  <si>
    <t>8.5</t>
  </si>
  <si>
    <t>8.6</t>
  </si>
  <si>
    <t>11.1</t>
  </si>
  <si>
    <t>11.2</t>
  </si>
  <si>
    <t>11.3</t>
  </si>
  <si>
    <t>12.1</t>
  </si>
  <si>
    <t>13.1</t>
  </si>
  <si>
    <t>PINTURA</t>
  </si>
  <si>
    <t>INSTALAÇÕES SANITÁRIAS</t>
  </si>
  <si>
    <t>Placa de obra em chapa aco galvanizado, instalada - Rev 02_O1/2022</t>
  </si>
  <si>
    <t>LIMPEZA MANUAL DE VEGETAÇÃO EM TERRENO COM EXADA AF 03/2024</t>
  </si>
  <si>
    <t>SINAPI</t>
  </si>
  <si>
    <t>LOCAÇÃO CONVENCIONAL DE OBRA, UTILIZANDO DE GABARITO DE TÁBUAS CORRIDAS PONTALETADAS A CADA 2,00M - 2 UTILIZAÇÕES. AF_03/2024</t>
  </si>
  <si>
    <t>M</t>
  </si>
  <si>
    <t>ESCAVAÇÃO MANUAL DE VALA COM PROFUNDIDADE MENOR OU IGUAL A 1,30M AF 02/2021</t>
  </si>
  <si>
    <t>ATERRO MANUAL DE VALAS COM SOLO ARGILO-ARENOSO. AF_08/2023</t>
  </si>
  <si>
    <t>ESTRUTURA</t>
  </si>
  <si>
    <t>INFRAESTUTURA</t>
  </si>
  <si>
    <t>FUNDAÇÃO</t>
  </si>
  <si>
    <t>3.1.1</t>
  </si>
  <si>
    <t>3.1.1.1</t>
  </si>
  <si>
    <t>CONCRETO FCK = 15MPA, TRACO 13,4.3,4 (EM MASSA SECA DE CIMENTO / AREIA MÉDIA/ SEIXO ROLADO) - PREPARO MANUAL. AF_05/2021</t>
  </si>
  <si>
    <t>CONCRETO FCK = 25MPA, TRACO 12,3:2,7 (EM MASSA SECA DE CIMENTO/ AREIA MEDIA/ BRITA 1) - PREPARO MECANICO COM BETONEIRA 400 L. AF 05/2021</t>
  </si>
  <si>
    <t>ARMAÇÃO DE BLOCO UTILIZANDO AÇO CA-50 DE 6,3 MM - MONTAGEM. AF 01/2024</t>
  </si>
  <si>
    <t>KG</t>
  </si>
  <si>
    <t>ARMAÇÃO DE BLOCO UTILZANDO AÇO CASO DE 8 MM - MONTAGEM. AF 01/2024</t>
  </si>
  <si>
    <t>ARMAÇÃO DE BLOCO UTILIZANDO AÇO CA-60 DE 5 MM - MONTAGEM. AF 01/2024</t>
  </si>
  <si>
    <t>IMPERMEABILIZAÇÃO DE SUPERFÍCIE COM EMULSÃO ASFÁLTICA, 2 DEMÃOS. AF 09/2023</t>
  </si>
  <si>
    <t>3.1.1.2</t>
  </si>
  <si>
    <t>3.1.1.3</t>
  </si>
  <si>
    <t>3.1.1.4</t>
  </si>
  <si>
    <t>3.1.1.5</t>
  </si>
  <si>
    <t>3.1.1.6</t>
  </si>
  <si>
    <t>3.2.1</t>
  </si>
  <si>
    <t>SUPERESTRUTURA</t>
  </si>
  <si>
    <t>3.2.1.1</t>
  </si>
  <si>
    <t>3.2.1.2</t>
  </si>
  <si>
    <t>3.2.1.3</t>
  </si>
  <si>
    <t>3.2.1.4</t>
  </si>
  <si>
    <t>3.2.1.5</t>
  </si>
  <si>
    <t>3.2.1.6</t>
  </si>
  <si>
    <t>CONCRETO FCK = 25MPA, TRACO 1:2,2:2,5 (EM MASSA SECA DE CIMENTO/ AREIA MEDIA/ SEIXO ROLADO) - PREPARO MECANICO COM BETONEIRA 400 L. AF 05/2021</t>
  </si>
  <si>
    <t>ARMAÇÃO DE BLOCO UTILIZANDO AÇO CA-SO DE 10 MM - MONTAGEM. AF 01/2024</t>
  </si>
  <si>
    <t>ARMAÇÃO DE BLOCO UTILIZANDO AÇO CA-CO DE 5 MM - MONTAGEM. AF 01/2024</t>
  </si>
  <si>
    <t>ARMAÇÃO DE BLOCO UTILZANDO AÇO CA-50 DES MM - MONTAGEM, AF 01/2024</t>
  </si>
  <si>
    <t>ARMAÇÃO DE BLOCO, VIGA BALDRAME OU SAPATA UTILIZANDO AÇO CA- 50 DE 12,5 MM - MONTAGEM. AF 06/2017</t>
  </si>
  <si>
    <t>FABRICAÇÃO, MONTAGEM E DESMONTAGEM DE FÔRMA PARA ESCADA HIDRAULICA, EM CHAPA DE MADEIRA COMPENSADA RESINADA, E = 17 MM, 3 UTILIZAÇÕES. AF 08/2022</t>
  </si>
  <si>
    <t>3.2.2</t>
  </si>
  <si>
    <t>3.2.2.1</t>
  </si>
  <si>
    <t>3.2.2.2</t>
  </si>
  <si>
    <t>3.2.2.3</t>
  </si>
  <si>
    <t>3.2.2.4</t>
  </si>
  <si>
    <t>3.2.2.5</t>
  </si>
  <si>
    <t>3.2.2.6</t>
  </si>
  <si>
    <t>3.2.2.7</t>
  </si>
  <si>
    <t>CONCRETO FCK = 25MPA, TRAGO 12,2:2,5 (EM MASSA SECA DE CIMENTO/ AREIA MEDIA/ SEIXO ROLADO) - PREPARO MECANICO COM BETONEIRA 400 L. AF 05/2021</t>
  </si>
  <si>
    <t>ARMAÇÃO DE PILAR OU VIGA DE ESTRUTURA CONVENCIONAL DE CONCRETO ARMADO UTILIZANDO AÇO CA-50 06 8,3 MM - MONTAGEM. AF 06/2022</t>
  </si>
  <si>
    <t>ARMAÇÃO DE PILAR OU VIGA DE ESTRUTURA CONVENCIONAL DE CONCRETO ARMADO UTILIZANDO AÇO CA-50 DE 8,0 MM - MONTAGEM. AF 06/2022</t>
  </si>
  <si>
    <t>ARMAÇÃO DE PILAR OU VIGA DE ESTRUTURA CONVENCIONAL DE CONCRETO ARMADO UTILIZANDO AÇO CA-50 DE 10,0 MM - MONTAGEM. AF 06/2022</t>
  </si>
  <si>
    <t>ARMAÇÃO DE PILAR OU VIGA DE ESTRUTURA CONVENCIONAL DE CONCRETO ARMADO UTILZANDO AÇO CA-50 DE 12,5 MM - MONTAGEM. AF 06/2022</t>
  </si>
  <si>
    <t>ARMAÇÃO DE PILAR OU VIGA DE ESTRUTURA CONVENCIONAL DE CONCRETO ARMADO UTILIZANDO AÇO CA-CO DE 5,0 MM - MONTAGEM. AF 06/2022</t>
  </si>
  <si>
    <t>FABRICAÇÃO DE FORMA PARA VIGAS, EM CHAPA DE MADEIRA COMPENSADA RESINADA, E = 17 MM. AF 09/2020</t>
  </si>
  <si>
    <t>3.2.3</t>
  </si>
  <si>
    <t>3.2.3.1</t>
  </si>
  <si>
    <t xml:space="preserve">LAJE </t>
  </si>
  <si>
    <t>3.2.3.2</t>
  </si>
  <si>
    <t>3.2.3.3</t>
  </si>
  <si>
    <t>3.2.3.4</t>
  </si>
  <si>
    <t>3.2.3.5</t>
  </si>
  <si>
    <t>3.2.3.6</t>
  </si>
  <si>
    <t>CONCRETO FCK = 25MPA, TRACO 1:2,3:2,7 (EM MASSA SECA DE CIMENTO/AREIA MEDIA/ BRITA 1) - PREPARO MECANICO COM BETONEIRA 400 L. AF 05/2021</t>
  </si>
  <si>
    <t>FABRICAÇÃO DE FÔRMA PARA LAJES, EM CHAPA DE MADEIRA COMPENSADA RESINADA, E = 17 MM. AF 09/2020</t>
  </si>
  <si>
    <t>ARMAÇÃO DE LAJE DE ESTRUTURA CONVENCIONAL DE CONCRETO ARMADO UTILIZANDO AÇO CA-SO DE 6,3 MM - MONTAGEM. AF_06/2022</t>
  </si>
  <si>
    <t>ARMAÇÃO DE LAJE DE ESTRUTURA CONVENCIONAL DE CONCRETO ARMADO UTILIZANDO AÇO CA-SO DE 8,0 MM - MONTAGEM. AF_06/2022</t>
  </si>
  <si>
    <t>ARMAÇAO DE LAJE DE ESTRUTURA CONVENCIONAL DE CONCRETO ARMADO UTILIZANDO AÇO CA-50 DE 10,0 MM - MONTAGEM. AF_08/2022</t>
  </si>
  <si>
    <t>ARMAÇÃO DE LAJE DE ESTRUTURA CONVENCIONAL DE CONCRETO ARMADO UTILIZANDO AÇO CA-CO DE 5,0 MM - MONTAGEM. AF_06/2022</t>
  </si>
  <si>
    <t>ELEVAÇÃO</t>
  </si>
  <si>
    <t>ALVENARIA DE VEDAÇÃO DE BLOCOS CERAMICOS FURADOS NA HORIZONTAL DE 9X19X19 CM (ESPESSURA 9 CM) E ARGAMASSA DE ASSENTAMENTO COM PREPARO EM BETONEIRA. AF_12/2021</t>
  </si>
  <si>
    <t>REVESTIMENTO</t>
  </si>
  <si>
    <t>CHAPISCO APLICADO EM ALVENARIA (SEM PRESENÇA DE VÃOS) E ESTRUTURAS DE CONCRETO DE FACHADA, COM COLHER DE PEDREIRO. ARGAMASSA TRAÇO 1.3 COM PREPARO EM BETONEIRA 400L. AF_10/2022</t>
  </si>
  <si>
    <t>MASSA ÚNICA, EM ARGAMASSA TRAÇO 1:2:8, PREPARO MANUAL, APLICADA MANUALMENTE EM PAREDES INTERNAS DE AMBIENTES COM ÁREA ENTRE 5M² E 10M², E = 10MM, COM TALISCAS, AF_03/2024</t>
  </si>
  <si>
    <t>REVESTIMENTO CERÂMICO PARA PAREDES INTERNAS COM PLACAS TIPO PASTILHA DE DIMENSÕES 5 X 5 CM (PLACAS DE 30 X 30 CM) CM APLICADAS A MEIA ALTURA DAS PAREDES. AF_02/2023</t>
  </si>
  <si>
    <t>REVESTIMENTO CERÂMICO PARA PISO COM PLACAS TIPO PORCELANATO DE DIMENSÕES 60X60 CM APLICADA EM AMBIENTES DE ÁREA ENTRE 5 M² E 10 M². AF 02/2023 PE</t>
  </si>
  <si>
    <t>PISO</t>
  </si>
  <si>
    <t>ARGAMASSA TRAÇO 1:3 (EM VOLUME DE CIMENTO E AREIA MÉDIA ÚMIDA) PARA CONTRAPISO, PREPARO MECANICO COM BETONEIRA 400 L. AF 08/2019</t>
  </si>
  <si>
    <t>REVESTIMENTO CERÂMICO PARA PISO COM PLACAS TIPO PORCELANATO DE DIMENSOES 80X80 CM APLICADA EM AMBIENTES DE AREA ENTRE 556
E 10 M'. AF 022023 PE</t>
  </si>
  <si>
    <t>7.1.1</t>
  </si>
  <si>
    <t>7.1.2</t>
  </si>
  <si>
    <t>7.1.3</t>
  </si>
  <si>
    <t>SANITÁRIA</t>
  </si>
  <si>
    <t>7.1.4</t>
  </si>
  <si>
    <t>7.1.5</t>
  </si>
  <si>
    <t>7.1.6</t>
  </si>
  <si>
    <t>7.1.7</t>
  </si>
  <si>
    <t>7.1.8</t>
  </si>
  <si>
    <t>7.1.9</t>
  </si>
  <si>
    <t>7.1.10</t>
  </si>
  <si>
    <t>7.1.11</t>
  </si>
  <si>
    <t>7.1.12</t>
  </si>
  <si>
    <t>7.1.13</t>
  </si>
  <si>
    <t>7.1.14</t>
  </si>
  <si>
    <t>VASO SANITARIO SIFONADO COM CAIXA ACOPLADA LOUÇA BRANCA, INCLUSO ENGATE FLEXÍVEL EM PLASTICO BRANCO, 1/2 X 40CM - FORNECIMENTO E INSTALAÇÃO. AF_01/2020</t>
  </si>
  <si>
    <t>LAVATÓRIO LOUÇA BRANCA COM COLUNA, *44 X 35,5* CM, PADRÃO POPULAR, INCLUSO SIFAO FLEXÍVEL EM PVC, VALVULA E ENGATE FLEXÍVEL 30CM EM PLASTICO E COM TORNEIRA CROMADA PADRAO POPULAR-FORNECIMENTO E INSTALAÇÃO. AF_01/2020</t>
  </si>
  <si>
    <t>TUBO PVC, SERIE NORMAL, ESGOTO PREDIAL, DN 100 MM, FORNECIDO E INSTALADO EM RAMAL DE DESCARGA OU RAMAL DE ESGOTO SANITARIO. AF 08/2022</t>
  </si>
  <si>
    <t>TUBO PVC, SERIE NORMAL, ESGOTO PREDIAL, DN 40 MM, FORNECIDO E INSTALADO EM RAMAL DE DESCARGA OU RAMAL DE ESGOTO SANITARIO. AF 08/2022</t>
  </si>
  <si>
    <t>TUBO PVC, SERIE NORMAL, ESGOTO PREDIAL, DN 50 MM, FORNECIDO E INSTALADO EM PRUMADA DE ESGOTO SANITARIO OU VENTILAÇÃO. AF 08/2022</t>
  </si>
  <si>
    <t>RALO SECO CONICO, PVC, DN 100 X 40 MM, JUNTA SOLDAVEL, FORNECIDO E INSTALADO EM RAMAL DE DESCARGA OU EM RAMAL DE ESGOTO SANITARIO. AF 08/2022</t>
  </si>
  <si>
    <t>RALO SIFONADO REDONDO, PVC, DN 100 X 40 MM, JUNTA SOLDAVEL, FORNECIDO E INSTALADO EM RAMAL DE DESCARGA OU EM RAMAL DE ESGOTO SANITARIO. AF 08/2022</t>
  </si>
  <si>
    <t>JOELHO 45 GRAUS, PVC, SERIE NORMAL, ESGOTO PREDIAL, DN 40 MM, JUNTA SOLDAVEL, FORNECIDO E INSTALADO EM RAMAL DE DESCARGA OU RAMAL DE ESGOTO SANITARIO. AF 08/2022</t>
  </si>
  <si>
    <t>JOELHO 45 GRAUS, PVC, SERIE NORMAL, ESGOTO PREDIAL, DN 50 MM, JUNTA ELASTICA, FORNECIDO E INSTALADO EM RAMAL DE DESCARGA OU RAMAL DE ESGOTO SANITARIO. AF 08/2022</t>
  </si>
  <si>
    <t>JOELHO 90 GRAUS, PVC, SERIE NORMAL, ESGOTO PREDIAL, DN 100 MM, JUNTA ELASTICA, FORNECIDO E INSTALADO EM PRUMADA DE ESGOTO SANITARIO OU VENTILACAO. AF_08/2022</t>
  </si>
  <si>
    <t>JOELHO 45 GRAUS, PVC, SERIE NORMAL, ESGOTO PREDIAL, DN 100 MM, JUNTA ELASTICA, FORNECIDO E INSTALADO EM PRUMADA DE ESGOTO SANITARIO OU VENTILACAO. AF_08/2022</t>
  </si>
  <si>
    <t>BARRA DE APOIO EM "L", EM ACO INOX POLIDO 80 X 80 CM, FIXADA NA PAREDE - FORNECIMENTO E INSTALAÇÃO. AF 01/2020</t>
  </si>
  <si>
    <t>TE, PVC, SERIE NORMAL, ESGOTO PREDIAL, DN 100 X 100 MM, JUNTA ELASTICA, FORNECIDO E INSTALADO EM PRUMADA DE ESGOTO SANITARIO OU VENTILAÇÃO. AF_08/2022</t>
  </si>
  <si>
    <t>JUNÇÃO DUPLA DE PVC, SERIE NORMAL, PARA ESGOTO PREDIAL, DN 100  X 100 X 100 MM, INSTALADA EM DRENO - FORNECIMENTO E INSTALAÇÃO. AF 07/2021</t>
  </si>
  <si>
    <t>7.2.1</t>
  </si>
  <si>
    <t>7.2.2</t>
  </si>
  <si>
    <t>7.2.3</t>
  </si>
  <si>
    <t>7.2.4</t>
  </si>
  <si>
    <t>7.2.5</t>
  </si>
  <si>
    <t>7.2.6</t>
  </si>
  <si>
    <t>7.2.7</t>
  </si>
  <si>
    <t>7.2.8</t>
  </si>
  <si>
    <t>7.2.9</t>
  </si>
  <si>
    <t>7.2.10</t>
  </si>
  <si>
    <t>7.2.11</t>
  </si>
  <si>
    <t>7.2.12</t>
  </si>
  <si>
    <t>7.2.13</t>
  </si>
  <si>
    <t>7.2.14</t>
  </si>
  <si>
    <t>7.2.15</t>
  </si>
  <si>
    <t>7.2.16</t>
  </si>
  <si>
    <t>7.2.17</t>
  </si>
  <si>
    <t>7.2.18</t>
  </si>
  <si>
    <t>7.2.19</t>
  </si>
  <si>
    <t>HIDRÁULICA</t>
  </si>
  <si>
    <t>CAIXA D'AGUA EM POLIESTER REFORCADO COM FIBRA DE VIDRO, 3000 LITROS - FORNECIMENTO E INSTALAÇÃO. AF_06/2021</t>
  </si>
  <si>
    <t>TUBO, PVC, SOLDAVEL, DN 25MM, INSTALADO EM PRUMADA DE ÁGUA - FORNECIMENTO E INSTALAÇÃO. AF 06/2022</t>
  </si>
  <si>
    <t>JOELHO 90 GRAUS COM BUCHA DE LATAO, PVC, SOLDAVEL, DN 25MM, X 3/4 INSTALADO EM RAMAL OU SUB-RAMAL DE ÁGUA - FORNECIMENTO E INSTALAÇÃO. AF 06/2022</t>
  </si>
  <si>
    <t>TUBO, PVC, SOLDAVEL, DN 20MM, INSTALADO EM RAMAL OU SUB-RAMAL DE ÁGUA - FORNECIMENTO E INSTALAÇÃO. AF_06/2022</t>
  </si>
  <si>
    <t>CHUVEIRO ELÉTRICO COMUM CORPO PLASTICO, TIPO DUCHA - FORNECIMENTO E INSTALAÇÃO. AF 01/2020</t>
  </si>
  <si>
    <t>LUVA, PVC, SOLDAVEL, DN 25MM, INSTALADO EM PRUMADA DE ÁGUA - FORNECIMENTO E INSTALAÇÃO. AF 06/2022</t>
  </si>
  <si>
    <t>JOELHO 90 GRAUS, PPR, DN 20 MM, INSTALADO EM RAMAL OU SUB - RAMAL DE ÁGUA - FORNECIMENTO E INSTALAÇÃO. AF_082022</t>
  </si>
  <si>
    <t>LAJE PRE-MOLDADA UNIDIRECIONAL, BIAPOIADA, PARA FORRO, ENCHIMENTO EM CERÂMICA, VIGOTA CONVENCIONAL, ALTURA TOTAL DA LAJE (ENCHIMENTO+CAPA) = (8+3). AF_11/2020_PA</t>
  </si>
  <si>
    <t>SABONETEIRA DE PAREDE EM METAL CROMADO, INCLUSO FIXAÇÃO. AF 01/2020</t>
  </si>
  <si>
    <t>SABONETEIRA PLÁSTICA TIPO DISPENSER PARA SABONETE LIQUIDO COM RESERVATÓRIO 600 A 1500 ML, INCLUSO FIXAÇÃO. AF_01/2020</t>
  </si>
  <si>
    <t>SABONETEIRA PLÁSTICA TIPO DISPENSER PARA SABONETE LIQUIDO COM RESERVATÓRIO 800 A 1500 ML, INCLUSO FIXAÇÃO. AF_01/2020</t>
  </si>
  <si>
    <t>JOELHO 90 GRAUS COM BUCHA DE LATÃO, PVC, SOLDÁVEL, DN 25MM, X 1/2 INSTALADO EM RAMAL OU SUB-RAMAL DE ÁGUA - FORNECIMENTO E INSTALAÇÃO. AF 06/2022</t>
  </si>
  <si>
    <t>REGISTRO DE PRESSÃO BRUTO, LATÃO, ROSCÁVEL, 3/4", COM ACABAMENTO E CANOPLA CROMADOS - FORNECIMENTO E INSTALAÇÃO, AF 08/2021</t>
  </si>
  <si>
    <t>TORNEIRA CROMADA DE MESA, 1/2" OU 3/4", PARA LAVATÓRIO, PADRÃO MÉDIO - FORNECIMENTO E INSTALAÇÃO. AF_01/2020</t>
  </si>
  <si>
    <t>TORNEIRA CROMADA LONGA, DE PAREDE, 1/2" OU 3/4", PARA PIA DE COZINHA. PADRÃO POPULAR - FORNECIMENTO E INSTALAÇÃO. AF 01/2020</t>
  </si>
  <si>
    <t>REGISTRO DE GAVETA BRUTO, LATÃO, ROSCÁVEL, 1 1/2" - FORNECIMENTO E INSTALAÇÃO. AF 08/2021</t>
  </si>
  <si>
    <t>REGISTRO DE ESFERA, PVC, ROSCÁVEL, COM VOLANTE, 1 1/2" - FORNECIMENTO E INSTALAÇÃO. AF 08/2021</t>
  </si>
  <si>
    <t>(COMPOSIÇÃO REPRESENTATIVA) DO SERVIÇO DE CONTRAPISO EM ARGAMASSA TRAÇO 1:4 (CIM E AREIA), BETONEIRA 400 L, E = 4 CM ÁREAS SECAS E MOLHADAS SOBRE LAJE , E = 3 CM ÁREAS MOLHADAS SOBRE IMPERMEABILIZAÇÃO, PARA EDIFICAÇÃO MULTIFAMILIAR. AF_11/2014</t>
  </si>
  <si>
    <t>IMPERMEABILIZAÇÃO DE SUPERFICIE COM EMULSAO ASFALTICA, 2 DEMAOS. AF 09/2023</t>
  </si>
  <si>
    <t>APLICAÇÃO MANUAL DE MASSA ACRÍLICA EM PAREDES EXTERNAS DE CASAS, DUAS DEMÃOS. AF 03/2024</t>
  </si>
  <si>
    <t>APLICAÇÃO MANUAL DE MASSA ACRÍLICA EM SUPERFICIES INTERNAS DE SACADA DE EDIFÍCIOS DE MÚLTIPLOS PAVIMENTOS. UMA DEMÃO. AF 03/2024</t>
  </si>
  <si>
    <t>PINTURA LATÉX ACRÍLICA ECONÔMICA, APLICAÇÃO MANUAL EM PAREDES, DUAS DEMÃOS. AF 04/2023</t>
  </si>
  <si>
    <t>APLICAÇÃO MANUAL DE FUNDO SELADOR ACRÍLICO EM PAREDES EXTERNAS DE CASAS. AF 03/2024</t>
  </si>
  <si>
    <t>FUNDO SELADOR ACRÍLICO, APLICAÇÃO MANUAL EM PAREDE, UMA DEMÃO. AF 04/2023</t>
  </si>
  <si>
    <t>TEXTURA ACRÍLICA, APLICAÇÃO MANUAL EM TETO, UMA DEMÃO. AF 04/2023</t>
  </si>
  <si>
    <t>INSTALAÇÕES ELÉTRICAS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</si>
  <si>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</si>
  <si>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</si>
  <si>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</si>
  <si>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</si>
  <si>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</si>
  <si>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</si>
  <si>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</si>
  <si>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</si>
  <si>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</si>
  <si>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ENTRADA DE ENERGIA ELÉTRICA, AEREA, MONOFASICA, COM CAIXA DE SOBREPOR, CABO DE 35 MM2 E DISJUNTOR DIN 50A (NÃO INCLUSO O POSTE DE CONCRETO). AF_07/2020_PS</t>
  </si>
  <si>
    <t>DISJUNTOR BIPOLAR TIPO DIN, CORRENTE NOMINAL DE 10A - FORNECIMENTO E INSTALAÇÃO. AF 10/2020</t>
  </si>
  <si>
    <t>COMPOSIÇÃO PARAMÉTRICA DE PONTO ELÉTRICO DE ILUMINAÇÃO, COM INTERRUPTOR SIMPLES, EM EDIFÍCIO RESIDENCIAL COM ELETRODUTO EMBUTIDO EM RASGOS NAS PAREDES, INCLUSO TOMADA, ELETRODUTO, CABO, RASGO E CHUMBAMENTO (SEM LUMINÁRIA E LÂMPADA). AF 11/2022</t>
  </si>
  <si>
    <t>DISJUNTOR BIPOLAR TIPO DIN, CORRENTE NOMINAL DE 32A- FORNECIMENTO E INSTALAÇÃO. AF 10/2020</t>
  </si>
  <si>
    <t>DISJUNTOR MONOPOLAR TIPO DIN, CORRENTE NOMINAL DE 16A - FORNECIMENTO E INSTALAÇÃO. AF 10/2020</t>
  </si>
  <si>
    <t>COMPOSIÇÃO PARAMÉTRICA DE PONTO ELÉTRICO DE TOMADA DE USO ESPECÍFICO 2P+T (20A/250V) EM EDIFÍCIO RESIDENCIAL COM ELETRODUTO EMBUTIDO EM RASGOS NAS PAREDES, INCLUSO TOMADA, ELETRODUTO, CABO, RASGO, QUEBRA E CHUMBAMENTO (EXCETO CHUVEIRO). AF 11/2022</t>
  </si>
  <si>
    <t>COMPOSIÇÃO PARAMÉTRICA DE PONTO ELÉTRICO DE TOMADA DE USO GERAL 2P+T (10A/250V) EM EDIFICIO RESIDENCIAL COM ELETRODUTO EMBUTIDO EM RASGOS NAS PAREDES, INCLUSO TOMADA, ELETRODUTO, CABO, RASGO, OUEBRA E CHUMBAMENTO. AF_11/2022</t>
  </si>
  <si>
    <t>LUMINÁRIA TIPO PLAFON EM PLÁSTICO, DE SOBREPOR, COM 1 LÂMPADA FLUORESCENTE DE 15W, SEM REATOR - FORNECIMENTO E INSTALAÇÃO. AF 02/2020</t>
  </si>
  <si>
    <t>CABO DE COBRE FLEXÍVEL ISOLADO, 10 MM², 0,6/1,0 KV, PARA REDE AÉREA DE DISTRIBUIÇÃO DE ENERGIA ELETRICA DE BAIXA TENSÃO - FORNECIMENTO E INSTALAÇÃO. AF_07/2020</t>
  </si>
  <si>
    <t>Disjuntor bipolar DR 25 A - Dispositivo residual diferencial, tipo AC, 30 MA, ref.5SM1 312-OMB, Siemens ou similar</t>
  </si>
  <si>
    <t>CLIMATIZAÇÃO</t>
  </si>
  <si>
    <t>AR CONDICIONADO SPLIT INVERTER, HI-WALL (PAREDE), 9000 BTU/H, CICLO FRIO - FORNECIMENTO E INSTALAÇÃO. AF_11/2021_PE</t>
  </si>
  <si>
    <t>COMPOSIÇÃO</t>
  </si>
  <si>
    <t>CAIXA DE PASSAGEM PARA AR CONDICIONADO- FORNECIMENTO E INSTALAÇÃO</t>
  </si>
  <si>
    <t>ESQUADRIAS</t>
  </si>
  <si>
    <t>LIMPEZA FINAL DA OBRA</t>
  </si>
  <si>
    <t>11.4</t>
  </si>
  <si>
    <t>11.5</t>
  </si>
  <si>
    <t>11.6</t>
  </si>
  <si>
    <t>11.7</t>
  </si>
  <si>
    <t>11.8</t>
  </si>
  <si>
    <t>PORTA DE MADEIRA PARA PINTURA, SEMI-OCA (LEVE OU MEDIA), 90X210CM, ESPESSURA DE 3,5CM, INCLUSO DOBRADIÇAS - FORNECIMENTO E INSTALAÇÃO. AF 12/2019</t>
  </si>
  <si>
    <t>JANELA DE ALUMINIO DE CORRER COM 2 FOLHAS PARA VIDROS, COM VIDROS, BATENTE, ACABAMENTO COM ACETATO OU BRILHANTE E FERRAGENS. EXCLUSIVE ALIZAR E CONTRAMARCO. FORNECIMENTO E INSTALAÇÃO. AF 121/2019</t>
  </si>
  <si>
    <t>PORTA DE ABRIR COM MOLA HIDRÁULICA, EM VIDRO TEMPERADO, 2 FOLHAS DE 90X210 CM, ESPESSURA DD 10MM, INCLUSIVE ACESSÓRIOS. AF 01/2021</t>
  </si>
  <si>
    <t>PORTA DE ABRIR COM MOLA HIDRÁULICA, EM VIDRO TEMPERADO, 90X210 CM, ESPESSURA 10 MM, INCLUSIVE ACESSÓRIOS. AF_011/2021</t>
  </si>
  <si>
    <t>PORTA DE ALUMÍNIO DE ABRIR COM LAMBRI, COM GUARNIÇÃO, FIXAÇÃO COM PARAFUSOS - FORNECIMENTO E INSTALAÇÃO. AF_1212019</t>
  </si>
  <si>
    <t>JANELA DE AÇO TIPO BASCULANTE PARA VIDROS, COM BATENTE, FERRAGENS E PINTURA ANTICORROSIVA. EXCLUSIVE VIDROS, ACABAMENTO, ALIZAR E CONTRAMARCO, FORNECIMENTO E INSTALAÇÃO. AF 12/2019</t>
  </si>
  <si>
    <t>JANELA DE AÇO DE CORRER COM 4 FOLHAS PARA VIDRO, COM BATENTE, FERRAGENS E PINTURA ANTICORROSIVA. EXCLUSIVE VIDROS, ALIZAR E CONTRAMARCO. FORNECIMENTO E INSTALAÇÃO. AF_12/2019</t>
  </si>
  <si>
    <t>INSTALAÇÃO DE VIDRO IMPRESSO, E = 4 MM, EM ESQUADRIA DE ALUMÍNIO OU PVC, FIXADO COM BAGUETE. AF_01/2021_PS</t>
  </si>
  <si>
    <t>COMPOSIÇÃO PARAMÉTRICA PARA EXECUÇÃO DE COBERTURA DE EDIFICAÇÕES COM ESTRUTURA EM PONTALETES DE MADEIRA, DUAS ÁGUAS, TELHA DE FIBROCIMENTO ONDULADA E COM PLATIBANDA. AF 11/2023</t>
  </si>
  <si>
    <t>Limpeza geral</t>
  </si>
  <si>
    <t>CONTRATAÇÃO DE UMA EMPRESA ESPECIALIZADA PARA CONSTRUÇÃO DE 01 (UM) CENTRO ESPECIALIZADO EM ATENÇÃO A SAÚDE MENTAL PARA ATENDER AS NECESSIDADES DA SECRETARIA MUNICIPAL DE SAÚDE EM COREMAS/PB</t>
  </si>
  <si>
    <t>DADOS DO CONTRATANTE:  Prefeitura Municipal de Coremas.
CNPJ: 08.939.936/0001-94
POCESSO LICITATÓRIO: Processo Administrativo N°. 176/2024 e Concorrência Eletrônica N°. 0004/2024
CONTRATO N°. 328/2024
VALOR DA OBRA/CONTRATO: 1.150.000,00 (Um milhão, cento e cinquenta mil reais).</t>
  </si>
  <si>
    <t>DADOS DO CONTRATADO: CL CONSTRUÇÕES E SERVIÇOS LTDA 
CNPJ: 09.335.002/0001-06
ENDEREÇO: Rua Cel. João Severino, SN - Sala D - Centro - Itaporanga - PB.</t>
  </si>
  <si>
    <t>FONTE DOS RECURSOS: 
Próprio (Diversos) do Município, prevista no orçamento da União, para o exercício de 2024.</t>
  </si>
  <si>
    <t>BANCO DE DADOS:         
SINAPI - 05/2024-Paraiba 
ORSE - 0412024- Sergipe</t>
  </si>
  <si>
    <t>DATA DE INÍCIO DO CONTRATO: 15/10/2024.
VIGÊNCIA: 12 MESES</t>
  </si>
  <si>
    <t xml:space="preserve">TOTAL DA MEDIÇÃO 01 = </t>
  </si>
  <si>
    <t xml:space="preserve">TOTAL DA MEDIÇÃO 02 = </t>
  </si>
  <si>
    <t xml:space="preserve">TOTAL DA MEDIÇÃO 03 = </t>
  </si>
  <si>
    <t xml:space="preserve">TOTAL DA MEDIÇÃO 05 = </t>
  </si>
  <si>
    <t>B.D.I. = 22,47%
ENCARGOS SOCIAIS:
Nao Desonerado: embutido nos presos unitário dos insumos de mão de obra, de acordo com as bases.</t>
  </si>
  <si>
    <t>_________________________________
Cleyton Cabral Lopes
Engª. Responsável Técnica da Execução
CREA RNP N°. 1618264389</t>
  </si>
  <si>
    <t xml:space="preserve">GLOSA DA LAJE </t>
  </si>
  <si>
    <t xml:space="preserve">ADITIVO DA NOVA LAJE </t>
  </si>
  <si>
    <t>SALDO DE ADITIVO</t>
  </si>
  <si>
    <t>VALOR ORÇADO</t>
  </si>
  <si>
    <t xml:space="preserve">VALOR DO VENCEDOR </t>
  </si>
  <si>
    <t>%  DE DESCONTO OFERTADO</t>
  </si>
  <si>
    <t>ADITIVO DA NOVA LAJE JÁ COM DESCONTO</t>
  </si>
  <si>
    <t>TOTAL DO ADITIVO + GLOSA</t>
  </si>
  <si>
    <t>VALOR ORÇADO PELO ÓRGÃO</t>
  </si>
  <si>
    <t xml:space="preserve">DESCONTO DADO PELA EMPRESA VENCEDORA </t>
  </si>
  <si>
    <t>m²</t>
  </si>
  <si>
    <t>Próprio</t>
  </si>
  <si>
    <t>m³</t>
  </si>
  <si>
    <t>UN</t>
  </si>
  <si>
    <t>______________________________________
Marquesa Marques de Sousa Guedes
Eng. Responsável Técnico da Fiscalização
CREA PB N°. 16.1779945-9</t>
  </si>
  <si>
    <t xml:space="preserve">CALCULOS </t>
  </si>
  <si>
    <t xml:space="preserve">NÚMERO DA MEDIÇÃO:
6ª MEDIÇÃO.
</t>
  </si>
  <si>
    <t>Quant: 11 unidades</t>
  </si>
  <si>
    <t xml:space="preserve">MEMORIAL DE CALCULO 06
</t>
  </si>
  <si>
    <t>REFERÊNCIA/PERÍODO DA MEDIÇÃO: DE 27/02/2025 A 26/06/2025</t>
  </si>
  <si>
    <t>Quant: 13 m</t>
  </si>
  <si>
    <t>A= 219,7901+ 83,0604+5,6913 = 308,5418x0,8 m²= 246,83 m²</t>
  </si>
  <si>
    <t xml:space="preserve">NÚMERO DA MEDIÇÃO:
1ª MEDIÇÃO.
</t>
  </si>
  <si>
    <t xml:space="preserve">BANCO DE DADOS:         
SINAPI - 04/2025 - Paraíba </t>
  </si>
  <si>
    <t>B.D.I. = 22,58%%
ENCARGOS SOCIAIS:
Nao Desonerado: embutido nos presos unitário dos insumos de mão de obra, de acordo com as bases.</t>
  </si>
  <si>
    <t>DATA DE INÍCIO DO CONTRATO: 09/03/2026.
VIGÊNCIA: 12 MESES</t>
  </si>
  <si>
    <t>CONTRATAÇÃO DE PESSOA JURÍDICA ESPECIALIZADA NA ARE DA CONSTRUÇÃO CIVIL, PARA CONSTRUÇÃO DA PRAÇA NOVA, NO MUNICÍPIO DE COREMAS/PB.</t>
  </si>
  <si>
    <t>DADOS DO CONTRATANTE:  Prefeitura Municipal de Coremas.
CNPJ: 08.939.936/0001-94
PROCESSO LICITATÓRIO: Processo Administrativo N° 250811CE00004 e Concorrência Eletrônica N°. 0004/2025
CONTRATO N°. 069/2026
VALOR DA OBRA/CONTRATO: 378.601,23 (Trezentos e setenta e oito mil, seiscentos e um reais e vinte e três centavos).</t>
  </si>
  <si>
    <t>DADOS DO CONTRATADO: LUCRENATO RAMALHO LEITE JUNIOR LTDA
CNPJ: 26.916.688/0001-48
ENDEREÇO: R MARIA ALEXANDRINA SOARES DE SOUSA, 166, ACAMPAMENTO DNOCS - COREMAS
(PB) - 58770-000</t>
  </si>
  <si>
    <t>REFERÊNCIA/PERÍODO DA MEDIÇÃO: De  09/03/2026  a 19/11/2024*</t>
  </si>
  <si>
    <t>FONTE DOS RECURSOS:  
Recursos não Vinculados de Impostos (500)</t>
  </si>
  <si>
    <t>1.3</t>
  </si>
  <si>
    <t>QUIOSQUE</t>
  </si>
  <si>
    <t>FORNECIMENTO E INSTALAÇÃO DE PLACA DE OBRA COM CHAPA GALVANIZADA E ESTRUTURA DE MADEIRA. AF_03/2022_PS</t>
  </si>
  <si>
    <t>LOCAÇÃO CONVENCIONAL DE OBRA, UTILIZANDO GABARITO DE TÁBUAS CORRIDAS PONTALETADAS A CADA 2,00M - 2 UTILIZAÇÕES. AF_03/2024</t>
  </si>
  <si>
    <t>LIMPEZA MECANIZADA DE CAMADA VEGETAL, VEGETAÇÃO E PEQUENAS ÁRVORES (DIÂMETRO DE TRONCO MENOR QUE 0,20 M), COM TRATOR
DE ESTEIRAS. AF_03/2024</t>
  </si>
  <si>
    <t>2.1.1</t>
  </si>
  <si>
    <t>2.2.1</t>
  </si>
  <si>
    <t>2.3.1</t>
  </si>
  <si>
    <t>2.3.2</t>
  </si>
  <si>
    <t>2.3.3</t>
  </si>
  <si>
    <t>2.3.4</t>
  </si>
  <si>
    <t>2.3.5</t>
  </si>
  <si>
    <t>2.3.6</t>
  </si>
  <si>
    <t>2.3.7</t>
  </si>
  <si>
    <t>2.3.8</t>
  </si>
  <si>
    <t>2.3.9</t>
  </si>
  <si>
    <t>2.3.10</t>
  </si>
  <si>
    <t>2.4</t>
  </si>
  <si>
    <t>ESTRUTRURA</t>
  </si>
  <si>
    <t>2.4.1</t>
  </si>
  <si>
    <t>2.4.2</t>
  </si>
  <si>
    <t>2.4.3</t>
  </si>
  <si>
    <t>2.4.4</t>
  </si>
  <si>
    <t>2.4.5</t>
  </si>
  <si>
    <t>2.4.6</t>
  </si>
  <si>
    <t>2.4.7</t>
  </si>
  <si>
    <t>2.4.8</t>
  </si>
  <si>
    <t>2.4.9</t>
  </si>
  <si>
    <t>2.4.10</t>
  </si>
  <si>
    <t>2.5</t>
  </si>
  <si>
    <t>PAREDES E PAINÉIS</t>
  </si>
  <si>
    <t>2.6</t>
  </si>
  <si>
    <t>2.5.1</t>
  </si>
  <si>
    <t>2.5.2</t>
  </si>
  <si>
    <t>2.5.3</t>
  </si>
  <si>
    <t>2.6.1</t>
  </si>
  <si>
    <t>2.6.2</t>
  </si>
  <si>
    <t>2.6.3</t>
  </si>
  <si>
    <t>2.6.4</t>
  </si>
  <si>
    <t>2.6.5</t>
  </si>
  <si>
    <t>2.6.6</t>
  </si>
  <si>
    <t>2.6.7</t>
  </si>
  <si>
    <t>2.6.8</t>
  </si>
  <si>
    <t>2.6.9</t>
  </si>
  <si>
    <t>2.7</t>
  </si>
  <si>
    <t>FORRO</t>
  </si>
  <si>
    <t>2.7.1</t>
  </si>
  <si>
    <t>2.7.2</t>
  </si>
  <si>
    <t>2.8</t>
  </si>
  <si>
    <t>2.9</t>
  </si>
  <si>
    <t>INSTALAÇÕES</t>
  </si>
  <si>
    <t>2.9.1</t>
  </si>
  <si>
    <t>2.9.1.1</t>
  </si>
  <si>
    <t>2.9.1.2</t>
  </si>
  <si>
    <t>2.9.1.3</t>
  </si>
  <si>
    <t>2.9.1.4</t>
  </si>
  <si>
    <t>2.9.1.5</t>
  </si>
  <si>
    <t>2.9.1.6</t>
  </si>
  <si>
    <t>2.9.1.7</t>
  </si>
  <si>
    <t>2.9.1.8</t>
  </si>
  <si>
    <t>2.9.1.9</t>
  </si>
  <si>
    <t>2.9.1.10</t>
  </si>
  <si>
    <t>2.9.1.11</t>
  </si>
  <si>
    <t>2.9.1.12</t>
  </si>
  <si>
    <t>2.9.1.13</t>
  </si>
  <si>
    <t>2.9.1.14</t>
  </si>
  <si>
    <t>2.9.1.15</t>
  </si>
  <si>
    <t>2.9.1.16</t>
  </si>
  <si>
    <t>2.9.1.17</t>
  </si>
  <si>
    <t>2.9.1.18</t>
  </si>
  <si>
    <t>2.9.1.19</t>
  </si>
  <si>
    <t>2.9.1.20</t>
  </si>
  <si>
    <t>2.9.1.21</t>
  </si>
  <si>
    <t>2.9.1.22</t>
  </si>
  <si>
    <t>2.9.1.23</t>
  </si>
  <si>
    <t>2.9.1.24</t>
  </si>
  <si>
    <t>2.9.1.25</t>
  </si>
  <si>
    <t>2.9.2</t>
  </si>
  <si>
    <t>ELÉTRICA</t>
  </si>
  <si>
    <t>2.9.2.1</t>
  </si>
  <si>
    <t>2.9.2.2</t>
  </si>
  <si>
    <t>2.9.2.3</t>
  </si>
  <si>
    <t>2.9.2.4</t>
  </si>
  <si>
    <t>2.9.2.5</t>
  </si>
  <si>
    <t>2.9.2.6</t>
  </si>
  <si>
    <t>2.9.2.7</t>
  </si>
  <si>
    <t>2.9.2.8</t>
  </si>
  <si>
    <t>2.9.2.9</t>
  </si>
  <si>
    <t>2.9.2.10</t>
  </si>
  <si>
    <t>2.9.2.11</t>
  </si>
  <si>
    <t>2.9.2.12</t>
  </si>
  <si>
    <t>2.9.2.13</t>
  </si>
  <si>
    <t>2.9.2.14</t>
  </si>
  <si>
    <t>2.9.2.15</t>
  </si>
  <si>
    <t>2.9.2.16</t>
  </si>
  <si>
    <t>2.9.2.17</t>
  </si>
  <si>
    <t>2.9.2.18</t>
  </si>
  <si>
    <t>2.9.2.19</t>
  </si>
  <si>
    <t>2.9.2.20</t>
  </si>
  <si>
    <t>2.9.2.21</t>
  </si>
  <si>
    <t>2.9.3</t>
  </si>
  <si>
    <t>SANITÁRIAS</t>
  </si>
  <si>
    <t>2.9.3.1</t>
  </si>
  <si>
    <t>2.9.3.2</t>
  </si>
  <si>
    <t>2.9.3.3</t>
  </si>
  <si>
    <t>2.9.3.4</t>
  </si>
  <si>
    <t>2.9.3.5</t>
  </si>
  <si>
    <t>2.9.3.6</t>
  </si>
  <si>
    <t>2.9.3.7</t>
  </si>
  <si>
    <t>2.9.3.8</t>
  </si>
  <si>
    <t>2.9.3.9</t>
  </si>
  <si>
    <t>2.9.3.10</t>
  </si>
  <si>
    <t>2.9.3.11</t>
  </si>
  <si>
    <t>2.9.3.12</t>
  </si>
  <si>
    <t>2.9.3.13</t>
  </si>
  <si>
    <t>2.9.3.14</t>
  </si>
  <si>
    <t>2.9.3.15</t>
  </si>
  <si>
    <t>2.9.3.16</t>
  </si>
  <si>
    <t>2.9.3.17</t>
  </si>
  <si>
    <t>2.9.3.18</t>
  </si>
  <si>
    <t>2.9.3.19</t>
  </si>
  <si>
    <t>2.9.3.20</t>
  </si>
  <si>
    <t>2.9.3.21</t>
  </si>
  <si>
    <t>2.10</t>
  </si>
  <si>
    <t>2.10.1</t>
  </si>
  <si>
    <t>2.10.2</t>
  </si>
  <si>
    <t>2.10.3</t>
  </si>
  <si>
    <t>2.10.4</t>
  </si>
  <si>
    <t>2.10.5</t>
  </si>
  <si>
    <t>2.10.6</t>
  </si>
  <si>
    <t>2.11</t>
  </si>
  <si>
    <t>2.11.1</t>
  </si>
  <si>
    <t>2.11.2</t>
  </si>
  <si>
    <t>2.11.3</t>
  </si>
  <si>
    <t>GUARITA</t>
  </si>
  <si>
    <t>3.3</t>
  </si>
  <si>
    <t>3.3.1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</si>
  <si>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</si>
  <si>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</si>
  <si>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</si>
  <si>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</si>
  <si>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</si>
  <si>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</si>
  <si>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</si>
  <si>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</si>
  <si>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3.3.10</t>
  </si>
  <si>
    <t>3.4</t>
  </si>
  <si>
    <t>3.4.1</t>
  </si>
  <si>
    <t>3.4.2</t>
  </si>
  <si>
    <t>3.4.3</t>
  </si>
  <si>
    <t>3.4.4</t>
  </si>
  <si>
    <t>3.4.5</t>
  </si>
  <si>
    <t>3.4.6</t>
  </si>
  <si>
    <t>3.4.7</t>
  </si>
  <si>
    <t>3.4.8</t>
  </si>
  <si>
    <t>3.4.9</t>
  </si>
  <si>
    <t>3.4.10</t>
  </si>
  <si>
    <t>3.5</t>
  </si>
  <si>
    <t>3.5.1</t>
  </si>
  <si>
    <t>3.5.2</t>
  </si>
  <si>
    <t>3.5.3</t>
  </si>
  <si>
    <t>3.6</t>
  </si>
  <si>
    <t>3.6.1</t>
  </si>
  <si>
    <t>3.6.2</t>
  </si>
  <si>
    <t>3.6.3</t>
  </si>
  <si>
    <t>3.6.4</t>
  </si>
  <si>
    <t>3.6.5</t>
  </si>
  <si>
    <t>3.6.6</t>
  </si>
  <si>
    <t>3.6.7</t>
  </si>
  <si>
    <t>3.7</t>
  </si>
  <si>
    <t>PINTURA INTERNA</t>
  </si>
  <si>
    <t>3.7.1</t>
  </si>
  <si>
    <t>3.7.2</t>
  </si>
  <si>
    <t>3.7.3</t>
  </si>
  <si>
    <t>3.7.4</t>
  </si>
  <si>
    <t>3.8</t>
  </si>
  <si>
    <t>3.8.1</t>
  </si>
  <si>
    <t>3.8.2</t>
  </si>
  <si>
    <t>3.8.3</t>
  </si>
  <si>
    <t>3.9</t>
  </si>
  <si>
    <t>3.9.1</t>
  </si>
  <si>
    <t>3.9.1.1</t>
  </si>
  <si>
    <t>3.9.1.2</t>
  </si>
  <si>
    <t>3.9.1.3</t>
  </si>
  <si>
    <t>3.9.1.4</t>
  </si>
  <si>
    <t>3.9.1.5</t>
  </si>
  <si>
    <t>3.9.1.6</t>
  </si>
  <si>
    <t>3.9.1.7</t>
  </si>
  <si>
    <t>3.9.1.8</t>
  </si>
  <si>
    <t>3.9.1.9</t>
  </si>
  <si>
    <t>3.9.1.10</t>
  </si>
  <si>
    <t>3.9.1.11</t>
  </si>
  <si>
    <t>3.9.1.12</t>
  </si>
  <si>
    <t>3.9.1.13</t>
  </si>
  <si>
    <t>3.9.1.14</t>
  </si>
  <si>
    <t>3.9.1.15</t>
  </si>
  <si>
    <t>3.9.1.16</t>
  </si>
  <si>
    <t>3.9.1.17</t>
  </si>
  <si>
    <t>3.9.1.18</t>
  </si>
  <si>
    <t>3.9.1.19</t>
  </si>
  <si>
    <t>3.9.1.20</t>
  </si>
  <si>
    <t>3.9.1.21</t>
  </si>
  <si>
    <t>3.9.1.22</t>
  </si>
  <si>
    <t>3.9.1.23</t>
  </si>
  <si>
    <t>3.9.1.24</t>
  </si>
  <si>
    <t>3.9.2</t>
  </si>
  <si>
    <t>ELÉTRICO</t>
  </si>
  <si>
    <t>3.9.2.1</t>
  </si>
  <si>
    <t>3.9.2.2</t>
  </si>
  <si>
    <t>3.9.2.3</t>
  </si>
  <si>
    <t>3.9.2.4</t>
  </si>
  <si>
    <t>3.9.2.5</t>
  </si>
  <si>
    <t>3.9.2.6</t>
  </si>
  <si>
    <t>3.9.2.7</t>
  </si>
  <si>
    <t>3.9.2.8</t>
  </si>
  <si>
    <t>3.9.2.9</t>
  </si>
  <si>
    <t>3.9.2.10</t>
  </si>
  <si>
    <t>3.9.2.11</t>
  </si>
  <si>
    <t>3.9.2.12</t>
  </si>
  <si>
    <t>3.9.2.13</t>
  </si>
  <si>
    <t>3.9.2.14</t>
  </si>
  <si>
    <t>3.9.2.15</t>
  </si>
  <si>
    <t>3.9.2.16</t>
  </si>
  <si>
    <t>3.9.2.17</t>
  </si>
  <si>
    <t>3.9.2.18</t>
  </si>
  <si>
    <t>3.9.2.19</t>
  </si>
  <si>
    <t>3.9.2.20</t>
  </si>
  <si>
    <t>3.9.3</t>
  </si>
  <si>
    <t>SANITÁRIO</t>
  </si>
  <si>
    <t>3.9.3.1</t>
  </si>
  <si>
    <t>3.9.3.2</t>
  </si>
  <si>
    <t>3.9.3.3</t>
  </si>
  <si>
    <t>3.9.3.4</t>
  </si>
  <si>
    <t>3.9.3.5</t>
  </si>
  <si>
    <t>3.9.3.6</t>
  </si>
  <si>
    <t>3.9.3.7</t>
  </si>
  <si>
    <t>3.9.3.8</t>
  </si>
  <si>
    <t>3.9.3.9</t>
  </si>
  <si>
    <t>3.9.3.10</t>
  </si>
  <si>
    <t>3.9.3.11</t>
  </si>
  <si>
    <t>3.9.3.12</t>
  </si>
  <si>
    <t>3.9.3.13</t>
  </si>
  <si>
    <t>3.9.3.14</t>
  </si>
  <si>
    <t>3.9.3.15</t>
  </si>
  <si>
    <t>3.9.3.16</t>
  </si>
  <si>
    <t>3.9.3.17</t>
  </si>
  <si>
    <t>3.9.3.18</t>
  </si>
  <si>
    <t>3.10</t>
  </si>
  <si>
    <t>3.10.1</t>
  </si>
  <si>
    <t>3.10.2</t>
  </si>
  <si>
    <t>3.10.3</t>
  </si>
  <si>
    <t>3.10.4</t>
  </si>
  <si>
    <t>3.10.5</t>
  </si>
  <si>
    <t>3.11</t>
  </si>
  <si>
    <t>3.11.1</t>
  </si>
  <si>
    <t>3.11.2</t>
  </si>
  <si>
    <t>3.11.3</t>
  </si>
  <si>
    <t>MURO</t>
  </si>
  <si>
    <t>4.2</t>
  </si>
  <si>
    <t>4.3</t>
  </si>
  <si>
    <t>4.1.1</t>
  </si>
  <si>
    <t>4.1.2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</si>
  <si>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</si>
  <si>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</si>
  <si>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</si>
  <si>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</si>
  <si>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</si>
  <si>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</si>
  <si>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</si>
  <si>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</si>
  <si>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</si>
  <si>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</si>
  <si>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SUPERESTRUTURA-MURO</t>
  </si>
  <si>
    <t>4.3.1</t>
  </si>
  <si>
    <t>4.3.2</t>
  </si>
  <si>
    <t>4.3.3</t>
  </si>
  <si>
    <t>4.3.4</t>
  </si>
  <si>
    <t>4.3.5</t>
  </si>
  <si>
    <t>4.3.6</t>
  </si>
  <si>
    <t>4.3.7</t>
  </si>
  <si>
    <t>4.4</t>
  </si>
  <si>
    <t>REVESTIMENTO- MURO</t>
  </si>
  <si>
    <t>4.4.1</t>
  </si>
  <si>
    <t>4.4.2</t>
  </si>
  <si>
    <t>4.4.3</t>
  </si>
  <si>
    <t>4.4.4</t>
  </si>
  <si>
    <t>4.4.5</t>
  </si>
  <si>
    <t>4.4.6</t>
  </si>
  <si>
    <t>4.4.7</t>
  </si>
  <si>
    <t>4.4.8</t>
  </si>
  <si>
    <t>URBANIZAÇÃO</t>
  </si>
  <si>
    <t>PAVIMENTAÇÃO</t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</si>
  <si>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</si>
  <si>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</si>
  <si>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</si>
  <si>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</si>
  <si>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</si>
  <si>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</si>
  <si>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</si>
  <si>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</si>
  <si>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5.1.9</t>
  </si>
  <si>
    <t>5.1.10</t>
  </si>
  <si>
    <t>PAISAGISMO</t>
  </si>
  <si>
    <t>5.2.1</t>
  </si>
  <si>
    <t>5.2.2</t>
  </si>
  <si>
    <t>5.2.3</t>
  </si>
  <si>
    <t>BANCOS</t>
  </si>
  <si>
    <t>5.3.1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</si>
  <si>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</si>
  <si>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</si>
  <si>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</si>
  <si>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</si>
  <si>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</si>
  <si>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</si>
  <si>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</si>
  <si>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</si>
  <si>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ILUMINAÇÃO PÚBLICA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</si>
  <si>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</si>
  <si>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</si>
  <si>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</si>
  <si>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</si>
  <si>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</si>
  <si>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</si>
  <si>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</si>
  <si>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</si>
  <si>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</si>
  <si>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</si>
  <si>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</si>
  <si>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6.14</t>
  </si>
  <si>
    <t>6.15</t>
  </si>
  <si>
    <t>6.16</t>
  </si>
  <si>
    <t>6.17</t>
  </si>
  <si>
    <t>6.18</t>
  </si>
  <si>
    <t>6.19</t>
  </si>
  <si>
    <t>compo</t>
  </si>
  <si>
    <t>ESCAVAÇÃO MANUAL DE VALA. AF_09/2024</t>
  </si>
  <si>
    <t>REATERRO MANUAL DE VALAS, COM PLACA VIBRATÓRIA. AF_08/2023</t>
  </si>
  <si>
    <t>LASTRO DE CONCRETO MAGRO, APLICADO EM BLOCOS DE COROAMENTO OU SAPATAS, ESPESSURA DE 5 CM. AF_01/2024</t>
  </si>
  <si>
    <t>PREPARO DE FUNDO DE VALA COM LARGURA MENOR QUE 1,5 M
(ACERTO DO SOLO NATURAL). AF_08/2020</t>
  </si>
  <si>
    <t>CONCRETO FCK = 25MPA, TRAÇO 1:2,3:2,7 (EM MASSA SECA DE CIMENTO/ AREIA MÉDIA/ BRITA 1) - PREPARO MECÂNICO COM
BETONEIRA 600 L. AF_05/2021</t>
  </si>
  <si>
    <t>LANÇAMENTO COM USO DE BALDES, ADENSAMENTO E ACABAMENTO DE
CONCRETO EM ESTRUTURAS. AF_02/2022</t>
  </si>
  <si>
    <t>FABRICAÇÃO, MONTAGEM E DESMONTAGEM DE FÔRMA PARA SAPATA CORRIDA, EM MADEIRA SERRADA, E=25 MM, 4 UTILIZAÇÕES. AF_01/2024</t>
  </si>
  <si>
    <t>FABRICAÇÃO, MONTAGEM E DESMONTAGEM DE FÔRMA PARA VIGA BALDRAME, EM CHAPA DE MADEIRA COMPENSADA RESINADA, E=17 MM,
4 UTILIZAÇÕES. AF_01/2024</t>
  </si>
  <si>
    <t>ARMAÇÃO DE SAPATA ISOLADA, VIGA BALDRAME E SAPATA CORRIDA UTILIZANDO AÇO CA-50 DE 6,3 MM - MONTAGEM. AF_01/2024</t>
  </si>
  <si>
    <t>ARMAÇÃO DE SAPATA ISOLADA, VIGA BALDRAME E SAPATA CORRIDA UTILIZANDO AÇO CA-60 DE 5 MM - MONTAGEM. AF_01/2024</t>
  </si>
  <si>
    <t>ARMAÇÃO DE SAPATA ISOLADA, VIGA BALDRAME E SAPATA CORRIDA UTILIZANDO AÇO CA-50 DE 8 MM - MONTAGEM. AF_01/2024</t>
  </si>
  <si>
    <t>IMPERMEABILIZAÇÃO DE SUPERFÍCIE COM EMULSÃO ASFÁLTICA, 2
DEMÃOS. AF_09/2023</t>
  </si>
  <si>
    <t>MONTAGEM E DESMONTAGEM DE FÔRMA DE PILARES RETANGULARES E ESTRUTURAS SIMILARES, PÉ-DIREITO DUPLO, EM CHAPA DE MADEIRA COMPENSADA RESINADA, 8 UTILIZAÇÕES. AF_09/2020</t>
  </si>
  <si>
    <t>MONTAGEM E DESMONTAGEM DE FÔRMA DE VIGA, ESCORAMENTO METÁLICO, PÉ-DIREITO SIMPLES, EM CHAPA DE MADEIRA PLASTIFICADA,
14 UTILIZAÇÕES. AF_09/2020</t>
  </si>
  <si>
    <t>MONTAGEM E DESMONTAGEM DE FÔRMA DE LAJE MACIÇA, PÉ-DIREITO SIMPLES, EM MADEIRA SERRADA, 4 UTILIZAÇÕES. AF_09/2020</t>
  </si>
  <si>
    <t>ARMAÇÃO DE PILAR OU VIGA DE ESTRUTURA CONVENCIONAL DE
CONCRETO ARMADO UTILIZANDO AÇO CA-60 DE 5,0 MM - MONTAGEM. AF_06/2022</t>
  </si>
  <si>
    <t>ARMAÇÃO DE PILAR OU VIGA DE ESTRUTURA DE CONCRETO ARMADO EMBUTIDA EM ALVENARIA DE VEDAÇÃO UTILIZANDO AÇO CA-50 DE 10,0
MM - MONTAGEM. AF_06/2022</t>
  </si>
  <si>
    <t>ARMAÇÃO DE PILAR OU VIGA DE ESTRUTURA CONVENCIONAL DE
CONCRETO ARMADO UTILIZANDO AÇO CA-50 DE 8,0 MM - MONTAGEM. AF_06/2022</t>
  </si>
  <si>
    <t>CONCRETO FCK = 25MPA, TRAÇO 1:2,3:2,7 (EM MASSA SECA DE
CIMENTO/ AREIA MÉDIA/ BRITA 1) - PREPARO MECÂNICO COM BETONEIRA 600 L. AF_05/2021</t>
  </si>
  <si>
    <t>ARMAÇÃO DE LAJE DE ESTRUTURA CONVENCIONAL DE CONCRETO ARMADO UTILIZANDO AÇO CA-60 DE 5,0 MM - MONTAGEM. AF_06/2022</t>
  </si>
  <si>
    <t>ARMAÇÃO DE LAJE DE ESTRUTURA CONVENCIONAL DE CONCRETO ARMADO UTILIZANDO AÇO CA-50 DE 6,3 MM - MONTAGEM. AF_06/2022</t>
  </si>
  <si>
    <t>ALVENARIA DE VEDAÇÃO DE BLOCOS CERÂMICOS FURADOS NA HORIZONTAL DE 9X19X29 CM (ESPESSURA 9 CM) E ARGAMASSA DE ASSENTAMENTO COM PREPARO EM BETONEIRA. AF_12/2021</t>
  </si>
  <si>
    <t>VERGA MOLDADA IN LOCO EM CONCRETO, ESPESSURA DE *15* CM.
AF_03/2024</t>
  </si>
  <si>
    <t>CONTRAVERGA MOLDADA IN LOCO EM CONCRETO, ESPESSURA DE *15*
CM. AF_03/2024</t>
  </si>
  <si>
    <t>CHAPISCO APLICADO EM ALVENARIAS E ESTRUTURAS DE CONCRETO INTERNAS, COM COLHER DE PEDREIRO. ARGAMASSA TRAÇO 1:3 COM
PREPARO MANUAL. AF_10/2022</t>
  </si>
  <si>
    <t>EMBOÇO, EM ARGAMASSA TRAÇO 1:2:8, PREPARO MECÂNICO, APLICADO MANUALMENTE EM PAREDES INTERNAS, PARA AMBIENTES COM ÁREA MENOR QUE 5M², E = 10MM, COM TALISCAS. AF_03/2024</t>
  </si>
  <si>
    <t>MASSA ÚNICA, EM ARGAMASSA TRAÇO 1:2:8, PREPARO MECÂNICO, APLICADA MANUALMENTE EM PAREDES INTERNAS DE AMBIENTES COM ÁREA ENTRE 5M² E 10M², E = 17,5MM, COM TALISCAS. AF_03/2024</t>
  </si>
  <si>
    <t>REVESTIMENTO CERÂMICO BRILHANTE RIVIERA 67X67CM  RETIFICADO- FORNECIMENTO E INSTALAÇÃO (ADAPTADO SINAPI  87256)</t>
  </si>
  <si>
    <t>CHAPISCO APLICADO EM ALVENARIA (COM PRESENÇA DE VÃOS) E ESTRUTURAS DE CONCRETO DE FACHADA, COM EQUIPAMENTO DE PROJEÇÃO. ARGAMASSA TRAÇO 1:3 COM PREPARO EM BETONEIRA 400
L. AF_10/2022</t>
  </si>
  <si>
    <t>EMBOÇO OU MASSA ÚNICA EM ARGAMASSA TRAÇO 1:2:8, PREPARO MANUAL, APLICADA MANUALMENTE EM PANOS DE FACHADA COM PRESENÇA DE VÃOS, ESPESSURA DE 25 MM, ACESSO POR ANDAIME.
AF_08/2022</t>
  </si>
  <si>
    <t>REVESTIMENTO CERÂMICO IVY MADEIRA MRE 67X67CM TIPO A - FORNECIMENTO E  INSTALAÇÃO (ADAPTADO SINAPI 87256)</t>
  </si>
  <si>
    <t>IMPERMEABILIZAÇÃO DE SUPERFÍCIE COM ARGAMASSA POLIMÉRICA /
MEMBRANA ACRÍLICA, 3 DEMÃOS. AF_09/2023</t>
  </si>
  <si>
    <t>FORRO EM RÉGUAS DE PVC, LISO, PARA AMBIENTES COMERCIAIS, INCLUSIVE ESTRUTURA BIDIRECIONAL DE FIXAÇÃO. AF_08/2023_PS</t>
  </si>
  <si>
    <t>ACABAMENTOS PARA FORRO (RODA-FORRO EM PERFIL METÁLICO E
PLÁSTICO). AF_08/2023</t>
  </si>
  <si>
    <t>LASTRO DE CONCRETO MAGRO, APLICADO EM PISOS, LAJES SOBRE SOLO OU RADIERS, ESPESSURA DE 5 CM. AF_01/2024</t>
  </si>
  <si>
    <t>CONTRAPISO EM ARGAMASSA TRAÇO 1:4 (CIMENTO E AREIA), PREPARO MANUAL, APLICADO EM ÁREAS SECAS SOBRE LAJE, ADERIDO, ACABAMENTO NÃO REFORÇADO, ESPESSURA 2CM. AF_07/2021</t>
  </si>
  <si>
    <t>CAIXA D´ÁGUA EM POLIETILENO, 1000 LITROS - FORNECIMENTO E
INSTALAÇÃO. AF_06/2021</t>
  </si>
  <si>
    <t>TORNEIRA DE BOIA PARA CAIXA D'ÁGUA, ROSCÁVEL, 1/2" -
FORNECIMENTO E INSTALAÇÃO. AF_08/2021</t>
  </si>
  <si>
    <t>VASO SANITÁRIO SIFONADO COM CAIXA ACOPLADA LOUÇA BRANCA -
FORNECIMENTO E INSTALAÇÃO. AF_01/2020</t>
  </si>
  <si>
    <t>DUCHA HIGIENICA PLASTICA COM REGISTRO METALICO 1/2"</t>
  </si>
  <si>
    <t>LAVATORIO / CUBA DE SOBREPOR, RETANGULAR, DE LOUCA BRANCA, COM LADRAO, DIMENSOES *52 X 45* CM (L X C)</t>
  </si>
  <si>
    <t>SIFAO EM METAL CROMADO PARA PIA OU LAVATORIO, 1 X 1.1/2"</t>
  </si>
  <si>
    <t>ENGATE FLEXÍVEL EM INOX, 1/2 X 30CM - FORNECIMENTO E
INSTALAÇÃO. AF_01/2020</t>
  </si>
  <si>
    <t>CUBA DE EMBUTIR DE AÇO INOXIDÁVEL MÉDIA, INCLUSO VÁLVULA TIPO AMERICANA E SIFÃO TIPO GARRAFA EM METAL CROMADO -
FORNECIMENTO E INSTALAÇÃO. AF_01/2020</t>
  </si>
  <si>
    <t>TORNEIRA CROMADA LONGA, DE PAREDE, 1/2" OU 3/4", PARA PIA DE COZINHA, PADRÃO POPULAR - FORNECIMENTO E INSTALAÇÃO.
AF_01/2020</t>
  </si>
  <si>
    <t>TORNEIRA METALICA CROMADA, RETA, DE PAREDE, PARA COZINHA, COM AREJADOR, PADRAO POPULAR, 1/2" OU 3/4"</t>
  </si>
  <si>
    <t>REGISTRO DE GAVETA BRUTO, LATÃO, ROSCÁVEL, 3/4", COM ACABAMENTO E CANOPLA CROMADOS - FORNECIMENTO E INSTALAÇÃO.
AF_08/2021</t>
  </si>
  <si>
    <t>REGISTRO DE ESFERA, PVC, SOLDÁVEL, COM VOLANTE, DN 50 MM -
FORNECIMENTO E INSTALAÇÃO. AF_08/2021</t>
  </si>
  <si>
    <t>REGISTRO DE ESFERA, PVC, SOLDÁVEL, COM VOLANTE, DN 25 MM -
FORNECIMENTO E INSTALAÇÃO. AF_08/2021</t>
  </si>
  <si>
    <t>ADAPTADOR CURTO COM BOLSA E ROSCA PARA REGISTRO, PVC, SOLDÁVEL, DN 25 MM X 3/4", INSTALADO EM RESERVAÇÃO PREDIAL DE ÁGUA - FORNECIMENTO E INSTALAÇÃO. AF_04/2024</t>
  </si>
  <si>
    <t>BUCHA DE REDUÇÃO, LONGA, PVC, SOLDÁVEL, DN 50 X 25 MM,
INSTALADO EM PRUMADA DE ÁGUA - FORNECIMENTO E INSTALAÇÃO. AF_06/2022</t>
  </si>
  <si>
    <t>CURVA 90 GRAUS, PVC, SOLDÁVEL, DN 25MM, INSTALADO EM RAMAL OU SUB-RAMAL DE ÁGUA - FORNECIMENTO E INSTALAÇÃO. AF_06/2022</t>
  </si>
  <si>
    <t>CURVA 90 GRAUS, PVC, SOLDÁVEL, DN 50MM, INSTALADO EM RAMAL DE DISTRIBUIÇÃO DE ÁGUA - FORNECIMENTO E INSTALAÇÃO. AF_06/2022</t>
  </si>
  <si>
    <t>JOELHO 45 GRAUS, PVC, SOLDÁVEL, DN 25MM, INSTALADO EM RAMAL OU SUB-RAMAL DE ÁGUA - FORNECIMENTO E INSTALAÇÃO. AF_06/2022</t>
  </si>
  <si>
    <t>JOELHO 90 GRAUS, PVC, SOLDÁVEL, DN 25MM, INSTALADO EM RAMAL DE DISTRIBUIÇÃO DE ÁGUA - FORNECIMENTO E INSTALAÇÃO.
AF_06/2022</t>
  </si>
  <si>
    <t>JOELHO 90 GRAUS, PVC, SERIE NORMAL, ESGOTO PREDIAL, DN 50 MM, JUNTA ELÁSTICA, FORNECIDO E INSTALADO EM RAMAL DE DESCARGA OU RAMAL DE ESGOTO SANITÁRIO. AF_08/2022</t>
  </si>
  <si>
    <t>TE DE REDUÇÃO, PVC, SOLDÁVEL, 90 GRAUS, DN 50 MM X 25 MM,
INSTALADO EM RESERVAÇÃO PREDIAL DE ÁGUA - FORNECIMENTO E INSTALAÇÃO. AF_04/2024</t>
  </si>
  <si>
    <t>TE, PVC, SOLDÁVEL, DN 25MM, INSTALADO EM PRUMADA DE ÁGUA -
FORNECIMENTO E INSTALAÇÃO. AF_06/2022</t>
  </si>
  <si>
    <t>TÊ, PVC, SOLDÁVEL, DN 50 MM INSTALADO EM RESERVAÇÃO PREDIAL DE ÁGUA - FORNECIMENTO E INSTALAÇÃO. AF_04/2024</t>
  </si>
  <si>
    <t>TUBO, PVC, SOLDÁVEL, DE 25MM, INSTALADO EM PRUMADA DE ÁGUA -
FORNECIMENTO E INSTALAÇÃO. AF_06/2022</t>
  </si>
  <si>
    <t>TUBO, PVC, SOLDÁVEL, DE 50MM, INSTALADO EM PRUMADA DE ÁGUA -
FORNECIMENTO E INSTALAÇÃO. AF_06/2022</t>
  </si>
  <si>
    <t>CURVA 90 GRAUS PARA ELETRODUTO, PVC, ROSCÁVEL, DN 25 MM (3/4"),
PARA CIRCUITOS TERMINAIS, INSTALADA EM PAREDE - FORNECIMENTO E INSTALAÇÃO. AF_03/2023</t>
  </si>
  <si>
    <t>LUVA PARA ELETRODUTO, PVC, ROSCÁVEL, DN 25 MM (3/4"), PARA CIRCUITOS TERMINAIS, INSTALADA EM PAREDE - FORNECIMENTO E
INSTALAÇÃO. AF_03/2023</t>
  </si>
  <si>
    <t>DISPOSITIVO DPS CLASSE II, 1 POLO, TENSAO MAXIMA DE 275 V,
CORRENTE MAXIMA DE *30* KA (TIPO AC)</t>
  </si>
  <si>
    <t>IDR INTERRUPTOR DIFERENCIAL RESIDUAL BIPOLAR IN=40A, 30mA
(ADAPTADO ORSE  13782)</t>
  </si>
  <si>
    <t>DISJUNTOR MONOPOLAR TIPO DIN, CORRENTE NOMINAL DE 10A -
FORNECIMENTO E INSTALAÇÃO. AF_10/2020</t>
  </si>
  <si>
    <t>DISJUNTOR MONOPOLAR TIPO DIN, CORRENTE NOMINAL DE 16A -
FORNECIMENTO E INSTALAÇÃO. AF_10/2020</t>
  </si>
  <si>
    <t>DISJUNTOR MONOPOLAR TIPO DIN, CORRENTE NOMINAL DE 32A -
FORNECIMENTO E INSTALAÇÃO. AF_10/2020</t>
  </si>
  <si>
    <t>INTERRUPTOR SIMPLES (1 MÓDULO), 10A/250V, INCLUINDO SUPORTE E PLACA - FORNECIMENTO E INSTALAÇÃO. AF_03/2023</t>
  </si>
  <si>
    <t>INTERRUPTOR SIMPLES (3 MÓDULOS), 10A/250V, INCLUINDO SUPORTE E PLACA - FORNECIMENTO E INSTALAÇÃO. AF_03/2023</t>
  </si>
  <si>
    <t>CAIXA ENTERRADA ELÉTRICA RETANGULAR, EM ALVENARIA COM TIJOLOS CERÂMICOS MACIÇOS, FUNDO COM BRITA, DIMENSÕES
INTERNAS: 0,3X0,3X0,3 M. AF_12/2020</t>
  </si>
  <si>
    <t>HASTE DE ATERRAMENTO, DIÂMETRO 5/8", COM 3 METROS -
FORNECIMENTO E INSTALAÇÃO. AF_08/2023</t>
  </si>
  <si>
    <t>CONECTOR TIPO CUNHA- FORNECIMENTO E INSTALAÇÃO (ADAPTADO
SINAPI 101551)</t>
  </si>
  <si>
    <t>TOMADA BAIXA DE EMBUTIR (1 MÓDULO), 2P+T 10 A, SEM SUPORTE E SEM PLACA - FORNECIMENTO E INSTALAÇÃO. AF_03/2023</t>
  </si>
  <si>
    <t>TOMADA MÉDIA DE EMBUTIR (2 MÓDULOS), 2P+T 10 A, INCLUINDO SUPORTE E PLACA - FORNECIMENTO E INSTALAÇÃO. AF_03/2023</t>
  </si>
  <si>
    <t>CABO DE COBRE FLEXÍVEL ISOLADO, 6 MM², ANTI-CHAMA 0,6/1,0 KV, PARA CIRCUITOS TERMINAIS - FORNECIMENTO E INSTALAÇÃO.
AF_03/2023</t>
  </si>
  <si>
    <t>CABO DE COBRE FLEXÍVEL ISOLADO, 1,5 MM², ANTI-CHAMA 450/750 V, PARA CIRCUITOS TERMINAIS - FORNECIMENTO E INSTALAÇÃO.
AF_03/2023</t>
  </si>
  <si>
    <t>CABO DE COBRE FLEXÍVEL ISOLADO, 2,5 MM², ANTI-CHAMA 450/750 V, PARA CIRCUITOS TERMINAIS - FORNECIMENTO E INSTALAÇÃO.
AF_03/2023</t>
  </si>
  <si>
    <t>ELETRODUTO DE PVC RÍGIDO ROSCÁVEL 40MM  (ADAPTADO ORSE 355)</t>
  </si>
  <si>
    <t>ELETRODUTO RÍGIDO SOLDÁVEL, PVC, DN 25 MM (3/4"), APARENTE -
FORNECIMENTO E INSTALAÇÃO. AF_10/2022</t>
  </si>
  <si>
    <t>ELETRODUTO FLEXÍVEL CORRUGADO, PVC, DN 25 MM (3/4"), PARA
CIRCUITOS TERMINAIS, INSTALADO EM PAREDE - FORNECIMENTO E INSTALAÇÃO. AF_03/2023</t>
  </si>
  <si>
    <t>CURVA 90 GRAUS PARA ELETRODUTO, PVC, ROSCÁVEL, DN 25 MM (3/4"), PARA CIRCUITOS TERMINAIS, INSTALADA EM PAREDE - FORNECIMENTO E INSTALAÇÃO. AF_03/2023</t>
  </si>
  <si>
    <t>LUVA PARA ELETRODUTO, PVC, ROSCÁVEL, DN 25 MM (3/4"), PARA CIRCUITOS TERMINAIS, INSTALADA EM PAREDE - FORNECIMENTO E INSTALAÇÃO. AF_03/2023</t>
  </si>
  <si>
    <t>QUADRO DE DISTRIBUIÇÃO DE ENERGIA EM PVC, DE EMBUTIR, SEM BARRAMENTO, PARA 6 DISJUNTORES - FORNECIMENTO E INSTALAÇÃO. AF_10/2020</t>
  </si>
  <si>
    <t>CHAPISCO APLICADO EM ALVENARIAS E ESTRUTURAS DE CONCRETO INTERNAS, COM COLHER DE PEDREIRO. ARGAMASSA TRAÇO 1:3 COM PREPARO MANUAL. AF_10/2022</t>
  </si>
  <si>
    <t>SUMIDOURO CIRCULAR, EM CONCRETO PRÉ-MOLDADO, DIÂMETRO INTERNO = 1,88 M, ALTURA INTERNA = 2,00 M, ÁREA DE INFILTRAÇÃO: 13,1 M² (PARA 5 CONTRIBUINTES). AF_12/2020</t>
  </si>
  <si>
    <t>CURVA LONGA, 45 GRAUS, PVC OCRE, JUNTA ELÁSTICA, DN 150 MM, PARA COLETOR PREDIAL DE ESGOTO. AF_06/2022</t>
  </si>
  <si>
    <t>CURVA CURTA 90 GRAUS, PVC, SERIE NORMAL, ESGOTO PREDIAL, DN 50 MM, JUNTA ELÁSTICA, FORNECIDO E INSTALADO EM RAMAL DE DESCARGA OU RAMAL DE ESGOTO SANITÁRIO. AF_08/2022</t>
  </si>
  <si>
    <t>JOELHO 45 GRAUS, PVC, SERIE NORMAL, ESGOTO PREDIAL, DN 40 MM, JUNTA SOLDÁVEL, FORNECIDO E INSTALADO EM RAMAL DE DESCARGA OU RAMAL DE ESGOTO SANITÁRIO. AF_08/2022</t>
  </si>
  <si>
    <t>JOELHO 45 GRAUS, PVC, SERIE NORMAL, ESGOTO PREDIAL, DN 50 MM, JUNTA ELÁSTICA, FORNECIDO E INSTALADO EM RAMAL DE DESCARGA OU RAMAL DE ESGOTO SANITÁRIO. AF_08/2022</t>
  </si>
  <si>
    <t>JOELHO 90 GRAUS, PVC, SERIE NORMAL, ESGOTO PREDIAL, DN 40 MM, JUNTA SOLDÁVEL, FORNECIDO E INSTALADO EM RAMAL DE DESCARGA OU RAMAL DE ESGOTO SANITÁRIO. AF_08/2022</t>
  </si>
  <si>
    <t>JOELHO 90 GRAUS, PVC, SERIE NORMAL, ESGOTO PREDIAL, DN 100 MM, JUNTA ELÁSTICA, FORNECIDO E INSTALADO EM RAMAL DE DESCARGA OU RAMAL DE ESGOTO SANITÁRIO. AF_08/2022</t>
  </si>
  <si>
    <t>JUNÇÃO SIMPLES, PVC, SERIE NORMAL, ESGOTO PREDIAL, DN 50 X 50 MM, JUNTA ELÁSTICA, FORNECIDO E INSTALADO EM RAMAL DE DESCARGA OU RAMAL DE ESGOTO SANITÁRIO. AF_08/2022</t>
  </si>
  <si>
    <t>JUNÇÃO DE REDUÇÃO INVERTIDA, PVC, SÉRIE NORMAL, ESGOTO PREDIAL, DN 100 X 50 MM, JUNTA ELÁSTICA, FORNECIDO E INSTALADO EM PRUMADA DE ESGOTO SANITÁRIO OU VENTILAÇÃO. AF_08/2022</t>
  </si>
  <si>
    <t>TERMINAL DE VENTILAÇÃO, PVC, SÉRIE NORMAL, ESGOTO PREDIAL, DN 50 MM, JUNTA SOLDÁVEL, FORNECIDO E INSTALADO EM PRUMADA DE ESGOTO SANITÁRIO OU VENTILAÇÃO. AF_08/2022</t>
  </si>
  <si>
    <t>TE, PVC, SERIE NORMAL, ESGOTO PREDIAL, DN 100 X 100 MM, JUNTA ELÁSTICA, FORNECIDO E INSTALADO EM RAMAL DE DESCARGA OU RAMAL DE ESGOTO SANITÁRIO. AF_08/2022</t>
  </si>
  <si>
    <t>TE, PVC, SERIE R, 150 X 150 MM, PARA ESGOTO PREDIAL</t>
  </si>
  <si>
    <t>CAIXA SIFONADA, COM GRELHA REDONDA, PVC, DN 150 X 150 X 50 MM, JUNTA SOLDÁVEL, FORNECIDA E INSTALADA EM RAMAL DE DESCARGA OU EM RAMAL DE ESGOTO SANITÁRIO. AF_08/2022</t>
  </si>
  <si>
    <t>ANEL DE VEDACAO, PVC FLEXIVEL, 100 MM, PARA SAIDA DE BACIA /
VASO SANITARIO</t>
  </si>
  <si>
    <t>TUBO PVC, SERIE NORMAL, ESGOTO PREDIAL, DN 50 MM, FORNECIDO E INSTALADO EM RAMAL DE DESCARGA OU RAMAL DE ESGOTO
SANITÁRIO. AF_08/2022</t>
  </si>
  <si>
    <t>TUBO PVC, SERIE NORMAL, ESGOTO PREDIAL, DN 100 MM, FORNECIDO E INSTALADO EM RAMAL DE DESCARGA OU RAMAL DE ESGOTO
SANITÁRIO. AF_08/2022</t>
  </si>
  <si>
    <t>CAP, PVC OCRE, JUNTA ELÁSTICA, DN 150 MM, PARA COLETOR PREDIAL DE ESGOTO. AF_06/2022</t>
  </si>
  <si>
    <t>TUBO PVC, SERIE NORMAL, ESGOTO PREDIAL, DN 40 MM, FORNECIDO E INSTALADO EM RAMAL DE DESCARGA OU RAMAL DE ESGOTO SANITÁRIO. AF_08/2022</t>
  </si>
  <si>
    <t>TUBO PVC, SERIE NORMAL, ESGOTO PREDIAL, DN 50 MM, FORNECIDO E INSTALADO EM RAMAL DE DESCARGA OU RAMAL DE ESGOTO SANITÁRIO. AF_08/2022</t>
  </si>
  <si>
    <t>TUBO PVC, SERIE NORMAL, ESGOTO PREDIAL, DN 75 MM, FORNECIDO E INSTALADO EM RAMAL DE DESCARGA OU RAMAL DE ESGOTO SANITÁRIO. AF_08/2022</t>
  </si>
  <si>
    <t>TUBO PVC, SERIE NORMAL, ESGOTO PREDIAL, DN 100 MM, FORNECIDO E INSTALADO EM RAMAL DE DESCARGA OU RAMAL DE ESGOTO SANITÁRIO. AF_08/2022</t>
  </si>
  <si>
    <t>TUBO PVC, SERIE NORMAL, ESGOTO PREDIAL, DN 150MM, FORNECIDO E INSTALADO EM  RAMAL DE DESCARGA OU RANAL DE ESGOTO SANITÁRIO (ADAPTADO SINAPI 89714)</t>
  </si>
  <si>
    <t>TELHAMENTO COM TELHA CERÂMICA CAPA-CANAL, TIPO COLONIAL, COM MAIS DE 2 ÁGUAS, INCLUSO TRANSPORTE VERTICAL. AF_07/2019</t>
  </si>
  <si>
    <t>TRAMA DE MADEIRA COMPOSTA POR RIPAS, CAIBROS E TERÇAS PARA TELHADOS DE MAIS QUE 2 ÁGUAS PARA TELHA DE ENCAIXE DE CERÂMICA OU DE CONCRETO, INCLUSO TRANSPORTE VERTICAL.
AF_07/2019</t>
  </si>
  <si>
    <t>FABRICAÇÃO E INSTALAÇÃO DE MEIA TESOURA DE MADEIRA NÃO APARELHADA, COM VÃO DE 3 M, PARA TELHA CERÂMICA OU DE
CONCRETO, INCLUSO IÇAMENTO. AF_07/2019</t>
  </si>
  <si>
    <t>FABRICAÇÃO E INSTALAÇÃO DE MEIA TESOURA DE MADEIRA NÃO APARELHADA, COM VÃO DE 4 M, PARA TELHA CERÂMICA OU DE
CONCRETO, INCLUSO IÇAMENTO. AF_07/2019</t>
  </si>
  <si>
    <t>PINTURA IMUNIZANTE PARA MADEIRA, 1 DEMÃO. AF_01/2021</t>
  </si>
  <si>
    <t>CUMEEIRA E ESPIGÃO PARA TELHA CERÂMICA EMBOÇADA COM ARGAMASSA TRAÇO 1:2:9 (CIMENTO, CAL E AREIA), PARA TELHADOS COM MAIS DE 2 ÁGUAS, INCLUSO TRANSPORTE VERTICAL. AF_07/2019</t>
  </si>
  <si>
    <t>PORTA DE MADEIRA PARA PINTURA, SEMI-OCA (LEVE OU MÉDIA), 80X210CM, ESPESSURA DE 3,5CM, INCLUSO DOBRADIÇAS -
FORNECIMENTO E INSTALAÇÃO. AF_12/2019</t>
  </si>
  <si>
    <t>ALVENARIA DE VEDAÇÃO COM ELEMENTO VAZADO DE CERÂMICA
(COBOGÓ) DE 7X20X20CM E ARGAMASSA DE ASSENTAMENTO COM PREPARO EM BETONEIRA. AF_05/2020</t>
  </si>
  <si>
    <t>FECHADURA DE EMBUTIR COM CILINDRO, EXTERNA, COMPLETA, ACABAMENTO PADRÃO MÉDIO, INCLUSO EXECUÇÃO DE FURO -
FORNECIMENTO E INSTALAÇÃO. AF_12/2019</t>
  </si>
  <si>
    <t>FABRICAÇÃO, MONTAGEM E DESMONTAGEM DE FÔRMA PARA VIGA
BALDRAME, EM CHAPA DE MADEIRA COMPENSADA RESINADA, E=17 MM, 4 UTILIZAÇÕES. AF_01/2024</t>
  </si>
  <si>
    <t>ARMAÇÃO DE LAJE DE ESTRUTURA CONVENCIONAL DE CONCRETO ARMADO UTILIZANDO AÇO CA-50 DE 8,0 MM - MONTAGEM. AF_06/2022</t>
  </si>
  <si>
    <t>EMASSAMENTO COM MASSA LÁTEX, APLICAÇÃO EM PAREDE, DUAS
DEMÃOS, LIXAMENTO MANUAL. AF_04/2023</t>
  </si>
  <si>
    <t>PINTURA LÁTEX ACRÍLICA PREMIUM, APLICAÇÃO MANUAL EM PAREDES,
DUAS DEMÃOS. AF_04/2023</t>
  </si>
  <si>
    <t>FUNDO SELADOR ACRÍLICO, APLICAÇÃO MANUAL EM PAREDE, UMA
DEMÃO. AF_04/2023</t>
  </si>
  <si>
    <t>CAIXA D´ÁGUA EM POLIÉSTER REFORÇADO COM FIBRA DE VIDRO, 500 LITROS - FORNECIMENTO E INSTALAÇÃO. AF_06/2021</t>
  </si>
  <si>
    <t>TORNEIRA METALICA CROMADA PARA JARDIM / TANQUE, COM BICO PLASTICO, CANO LONGO, DE PAREDE, PADRAO POPULAR / USO GERAL,
1/2" OU 3/4"</t>
  </si>
  <si>
    <t>CHUVEIRO ELÉTRICO COMUM CORPO PLÁSTICO, TIPO DUCHA -
FORNECIMENTO E INSTALAÇÃO. AF_01/2020</t>
  </si>
  <si>
    <t>REGISTRO DE GAVETA BRUTO, LATÃO, ROSCÁVEL, 3/4", COM
ACABAMENTO E CANOPLA CROMADOS - FORNECIMENTO E INSTALAÇÃO. AF_08/2021</t>
  </si>
  <si>
    <t>REGISTRO DE PRESSÃO BRUTO, LATÃO, ROSCÁVEL, 3/4'' -
FORNECIMENTO E INSTALAÇÃO. AF_08/2021</t>
  </si>
  <si>
    <t>REGISTRO DE ESFERA, PVC, SOLDÁVEL, COM VOLANTE, DN 32 MM -
FORNECIMENTO E INSTALAÇÃO. AF_08/2021</t>
  </si>
  <si>
    <t>CURVA 45 GRAUS, PVC, SOLDÁVEL, DN 25MM, INSTALADO EM RAMAL OU SUB-RAMAL DE ÁGUA - FORNECIMENTO E INSTALAÇÃO. AF_06/2022</t>
  </si>
  <si>
    <t>JOELHO 90 GRAUS, PVC, SOLDÁVEL, DN 32MM, INSTALADO EM RAMAL OU SUB-RAMAL DE ÁGUA - FORNECIMENTO E INSTALAÇÃO. AF_06/2022</t>
  </si>
  <si>
    <t>LUVA, PVC, SOLDÁVEL, DN 25MM, INSTALADO EM PRUMADA DE ÁGUA -
FORNECIMENTO E INSTALAÇÃO. AF_06/2022</t>
  </si>
  <si>
    <t>LUVA COM BUCHA DE LATÃO, PVC, SOLDÁVEL, DN 25MM X 3/4, INSTALADO EM RAMAL OU SUB-RAMAL DE ÁGUA - FORNECIMENTO E
INSTALAÇÃO. AF_06/2022</t>
  </si>
  <si>
    <t>TE, PVC, SOLDÁVEL, DN 32MM, INSTALADO EM PRUMADA DE ÁGUA -
FORNECIMENTO E INSTALAÇÃO. AF_06/2022</t>
  </si>
  <si>
    <t>TUBO, PVC, SOLDÁVEL, DE 32MM, INSTALADO EM PRUMADA DE ÁGUA -
FORNECIMENTO E INSTALAÇÃO. AF_06/2022</t>
  </si>
  <si>
    <t>CURVA 90 GRAUS PARA ELETRODUTO, PVC, ROSCÁVEL, DN 32 MM (1"), PARA CIRCUITOS TERMINAIS, INSTALADA EM FORRO - FORNECIMENTO E
INSTALAÇÃO. AF_03/2023</t>
  </si>
  <si>
    <t>CURVA 90 GRAUS PARA ELETRODUTO, PVC, SOLDÁVEL, DN 32 MM (1''), APARENTE - FORNECIMENTO E INSTALAÇÃO. AF_10/2022</t>
  </si>
  <si>
    <t>LUVA PARA ELETRODUTO, PVC, SOLDÁVEL, DN 32 MM (1''), APARENTE - FORNECIMENTO E INSTALAÇÃO. AF_10/2022</t>
  </si>
  <si>
    <t>INTERRUPTOR SIMPLES (1 MÓDULO) COM 1 TOMADA DE EMBUTIR 2P+T 10 A, INCLUINDO SUPORTE E PLACA - FORNECIMENTO E INSTALAÇÃO.
AF_03/2023</t>
  </si>
  <si>
    <t>CAIXA DE PASSAGEM, EM PVC, DE 4" X 2", PARA ELETRODUTO FLEXIVEL
CORRUGADO</t>
  </si>
  <si>
    <t>QUADRO DE DISTRIBUIÇÃO DE ENERGIA EM PVC, DE EMBUTIR, SEM BARRAMENTO, PARA 6 DISJUNTORES - FORNECIMENTO E INSTALAÇÃO.
AF_10/2020</t>
  </si>
  <si>
    <t>TOMADA MÉDIA DE EMBUTIR (1 MÓDULO), 2P+T 10 A, INCLUINDO SUPORTE E PLACA - FORNECIMENTO E INSTALAÇÃO. AF_03/2023</t>
  </si>
  <si>
    <t>ELETRODUTO RÍGIDO ROSCÁVEL, PVC, DN 40 MM (1 1/4"), PARA CIRCUITOS TERMINAIS, INSTALADO EM LAJE - FORNECIMENTO E
INSTALAÇÃO. AF_03/2023</t>
  </si>
  <si>
    <t>ELETRODUTO RÍGIDO SOLDÁVEL, PVC, DN 32 MM (1"), APARENTE -
FORNECIMENTO E INSTALAÇÃO. AF_10/2022</t>
  </si>
  <si>
    <t>DISPOSITIVO DPS CLASSE II, 1 POLO, TENSAO MAXIMA DE 275 V,
CORRENTE MAXIMA DE *20* KA (TIPO AC)</t>
  </si>
  <si>
    <t>CAIXA DE GORDURA SIMPLES, CIRCULAR, EM CONCRETO PRÉ- MOLDADO, DIÂMETRO INTERNO = 0,4 M, ALTURA INTERNA = 0,4 M.
AF_12/2020</t>
  </si>
  <si>
    <t>CURVA LONGA, 45 GRAUS, PVC OCRE, JUNTA ELÁSTICA, DN 100 MM, PARA COLETOR PREDIAL DE ESGOTO. AF_06/2022</t>
  </si>
  <si>
    <t>LUVA DE CORRER, PVC, SERIE NORMAL, ESGOTO PREDIAL, DN 100 MM, JUNTA ELÁSTICA, FORNECIDO E INSTALADO EM RAMAL DE DESCARGA OU RAMAL DE ESGOTO SANITÁRIO. AF_08/2022</t>
  </si>
  <si>
    <t>TÊ, PVC, SERIE R, ÁGUA PLUVIAL, DN 100 X 75 MM, JUNTA ELÁSTICA, FORNECIDO E INSTALADO EM CONDUTORES VERTICAIS DE ÁGUAS
PLUVIAIS. AF_06/2022</t>
  </si>
  <si>
    <t>RALO SIFONADO QUADRADO, PVC, 100 X 53 MM, SAIDA 40 MM, COM
GRELHA QUADRADA BRANCA</t>
  </si>
  <si>
    <t>TUBO PVC, SERIE NORMAL, ESGOTO PREDIAL, DN 40 MM, FORNECIDO E INSTALADO EM RAMAL DE DESCARGA OU RAMAL DE ESGOTO
SANITÁRIO. AF_08/2022</t>
  </si>
  <si>
    <t>TANQUE SÉPTICO RETANGULAR, EM ALVENARIA COM BLOCOS DE CONCRETO, DIMENSÕES INTERNAS: 1,2 X 2,4 X H=1,6 M, VOLUME ÚTIL: 3456 L (PARA 13 CONTRIBUINTES). AF_12/2020</t>
  </si>
  <si>
    <t>FABRICAÇÃO E INSTALAÇÃO DE TESOURA INTEIRA EM MADEIRA NÃO APARELHADA, VÃO DE 3 M, PARA TELHA CERÂMICA OU DE CONCRETO,
INCLUSO IÇAMENTO. AF_07/2019</t>
  </si>
  <si>
    <t>CUMEEIRA PARA TELHA CERÂMICA EMBOÇADA COM ARGAMASSA TRAÇO 1:2:9 (CIMENTO, CAL E AREIA) PARA TELHADOS COM ATÉ 2 ÁGUAS, INCLUSO TRANSPORTE VERTICAL. AF_07/2019</t>
  </si>
  <si>
    <t>PORTA DE MADEIRA PARA PINTURA, SEMI-OCA (LEVE OU MÉDIA),
80X210CM, ESPESSURA DE 3,5CM, INCLUSO DOBRADIÇAS - FORNECIMENTO E INSTALAÇÃO. AF_12/2019</t>
  </si>
  <si>
    <t>PORTA DE MADEIRA PARA VERNIZ, SEMI-OCA (LEVE OU MÉDIA),
70X210CM, ESPESSURA DE 3,5CM, INCLUSO DOBRADIÇAS - FORNECIMENTO E INSTALAÇÃO. AF_12/2019</t>
  </si>
  <si>
    <t>ALVENARIA DE VEDAÇÃO COM ELEMENTO VAZADO DE CERÂMICA (COBOGÓ) DE 7X20X20CM E ARGAMASSA DE ASSENTAMENTO COM
PREPARO EM BETONEIRA. AF_05/2020</t>
  </si>
  <si>
    <t>MONTAGEM E DESMONTAGEM DE FÔRMA DE VIGA, ESCORAMENTO
METÁLICO, PÉ-DIREITO SIMPLES, EM CHAPA DE MADEIRA PLASTIFICADA, 14 UTILIZAÇÕES. AF_09/2020</t>
  </si>
  <si>
    <t>ARMAÇÃO DE PILAR OU VIGA DE ESTRUTURA CONVENCIONAL DE CONCRETO ARMADO UTILIZANDO AÇO CA-60 DE 5,0 MM - MONTAGEM.
AF_06/2022</t>
  </si>
  <si>
    <t>ARMAÇÃO DE PILAR OU VIGA DE ESTRUTURA CONVENCIONAL DE CONCRETO ARMADO UTILIZANDO AÇO CA-50 DE 8,0 MM - MONTAGEM.
AF_06/2022</t>
  </si>
  <si>
    <t>CHAPISCO APLICADO EM ALVENARIA (SEM PRESENÇA DE VÃOS) E ESTRUTURAS DE CONCRETO DE FACHADA, COM COLHER DE PEDREIRO. ARGAMASSA TRAÇO 1:3 COM PREPARO EM BETONEIRA 400L. AF_10/2022</t>
  </si>
  <si>
    <t>EMBOÇO OU MASSA ÚNICA EM ARGAMASSA TRAÇO 1:2:8, PREPARO MECÂNICO COM BETONEIRA 400 L, APLICADA MANUALMENTE EM PANOS CEGOS DE FACHADA (SEM PRESENÇA DE VÃOS), ESPESSURA DE 25 MM.
AF_08/2022</t>
  </si>
  <si>
    <t>FECHAMENTO EM MADEIRA COM RIPA APARELHADA *1,5 X 5* CM, EM MACARANDUBA/MASSARANDUBA, ANGELIM OU EQUIVALENTE DA
REGIAO (ADAPTADO  ORSE 11617)</t>
  </si>
  <si>
    <t>Chapim de concreto pré-moldado (ADAPTADO 8637)</t>
  </si>
  <si>
    <t>EXECUÇÃO DE PASSEIO EM PISO INTERTRAVADO, COM BLOCO RETANGULAR COLORIDO DE 20 X 10 CM, ESPESSURA 6 CM. AF_10/2022</t>
  </si>
  <si>
    <t>ASSENTAMENTO DE GUIA (MEIO-FIO) EM TRECHO RETO, CONFECCIONADA EM CONCRETO PRÉ-FABRICADO, DIMENSÕES 100X15X13X20 CM (COMPRIMENTO X BASE INFERIOR X BASE SUPERIOR
X ALTURA). AF_01/2024</t>
  </si>
  <si>
    <t>ASSENTAMENTO DE GUIA (MEIO-FIO) EM TRECHO CURVO, CONFECCIONADA EM CONCRETO PRÉ-FABRICADO, DIMENSÕES 100X15X13X20 CM (COMPRIMENTO X BASE INFERIOR X BASE SUPERIOR
X ALTURA). AF_01/2024</t>
  </si>
  <si>
    <t>EXECUÇÃO DE PAVIMENTO EM PISO INTERTRAVADO, COM BLOCO
RETANGULAR COR NATURAL DE 20 X 10 CM, ESPESSURA 6 CM. AF_10/2022</t>
  </si>
  <si>
    <t>RAMPA DE ACESSIBILIDADE EM CONCRETO MOLDADO IN LOCO, EM CALÇADA NOVA COM LARGURA MENOR À 3,00 M, FCK 25MPA, COM PISO
PODOTÁTIL. AF_03/2024</t>
  </si>
  <si>
    <t>PINTURA DE MEIO-FIO COM TINTA BRANCA A BASE DE CAL (CAIAÇÃO).
AF_05/2021</t>
  </si>
  <si>
    <t>PISO PODOTÁTIL DE ALERTA OU DIRECIONAL, DE CONCRETO,
ASSENTADO SOBRE ARGAMASSA. AF_03/2024</t>
  </si>
  <si>
    <t>PINTURA DE PISO COM TINTA EPÓXI, APLICAÇÃO MANUAL, 2 DEMÃOS,
INCLUSO PRIMER EPÓXI. AF_05/2021</t>
  </si>
  <si>
    <t>PLANTIO DE GRAMA ESMERALDA OU SÃO CARLOS OU CURITIBANA, EM
PLACAS. AF_07/2024</t>
  </si>
  <si>
    <t>ESPALHAMENTO DE TERRA VEGETAL PARA O PLANTIO. AF_07/2024</t>
  </si>
  <si>
    <t>Mesa c/ tampo Ø=1,00m em concreto armado polido sobre tubo de concreto armado Ø=0,40m, e  4 bancos em concreto armado Ø=0,40m, com pintura acrílica cor cinza grafite da Coral ou  similar. (ADAPTADO 12114)</t>
  </si>
  <si>
    <t>ALVENARIA EM TIJOLO CERAMICO FURADO 9X19X19CM, 1 VEZ (ESPESSURA 19 CM) ,  ASSENTADO ARGAMASSA TRACO 1:4 (CIMENTO E AREIA MEDIA NAO PENEIRADA),  PREPARO MANUAL, JUNTA1 CM [ADAPTADO DE SINAPI 73935/002]</t>
  </si>
  <si>
    <t>CHAPISCO APLICADO EM ALVENARIAS E ESTRUTURAS DE CONCRETO
INTERNAS, COM COLHER DE PEDREIRO. ARGAMASSA TRAÇO 1:3 COM PREPARO MANUAL. AF_10/2022</t>
  </si>
  <si>
    <t>EMBOÇO, EM ARGAMASSA TRAÇO 1:2:8, PREPARO MANUAL, APLICADO MANUALMENTE EM PAREDES INTERNAS DE AMBIENTES COM ÁREA MENOR QUE 5M², E = 17,5MM, COM TALISCAS. AF_03/2024</t>
  </si>
  <si>
    <t>TEXTURA ACRÍLICA, APLICAÇÃO MANUAL EM PAREDE, UMA DEMÃO.
AF_04/2023</t>
  </si>
  <si>
    <t>TAMPO EM GRANITO OCRE - FORNECIMENTO E INSTALAÇÃO  (Conforme
projeto - bancos)</t>
  </si>
  <si>
    <t>CAIXA ENTERRADA ELÉTRICA RETANGULAR, EM CONCRETO PRÉ-
MOLDADO, FUNDO COM BRITA, DIMENSÕES INTERNAS: 0,4X0,4X0,4 M. AF_12/2020</t>
  </si>
  <si>
    <t>CURVA 45° PARA ELETRODUTO RIGÍDO ROSCAVÉL 50MM 1/2 (ADAPTADO
ORSE 11343)</t>
  </si>
  <si>
    <t>CURVA 90 GRAUS PARA ELETRODUTO, PVC, ROSCÁVEL, DN 25 MM (3/4"),
PARA CIRCUITOS TERMINAIS, INSTALADA EM LAJE - FORNECIMENTO E INSTALAÇÃO. AF_03/2023</t>
  </si>
  <si>
    <t>LUVA PARA ELETRODUTO, PVC, ROSCÁVEL, DN 50 MM (1 1/2"), PARA REDE ENTERRADA DE DISTRIBUIÇÃO DE ENERGIA ELÉTRICA - FORNECIMENTO E INSTALAÇÃO. AF_12/2021</t>
  </si>
  <si>
    <t>DISJUNTOR MONOPOLAR TIPO DIN, CORRENTE NOMINAL DE 25A -
FORNECIMENTO E INSTALAÇÃO. AF_10/2020</t>
  </si>
  <si>
    <t>SENSOR DE PRESENCA BIVOLT COM FOTOCELULA PARA QUALQUER TIPO DE LAMPADA, POTENCIA MAXIMA *1000* W, USO EXTERNO</t>
  </si>
  <si>
    <t>PADRÃO DE ENTRADA COLETIVO COM SAÍDA SUBTERRÂNEA, COM
POSTE DUPLO T</t>
  </si>
  <si>
    <t>CAIXA ENTERRADA ELÉTRICA RETANGULAR, EM ALVENARIA COM
TIJOLOS CERÂMICOS MACIÇOS, FUNDO COM BRITA, DIMENSÕES INTERNAS: 0,3X0,3X0,3 M. AF_12/2020</t>
  </si>
  <si>
    <t>CABO DE COBRE FLEXÍVEL ISOLADO, 4 MM², ANTI-CHAMA 0,6/1,0 KV, PARA CIRCUITOS TERMINAIS - FORNECIMENTO E INSTALAÇÃO.
AF_03/2023</t>
  </si>
  <si>
    <t>Poste decorativo com 02 pétalas, em tubo de alumínio com difusor em vidro leitoso brilhante,  ref. XR-708/2 da Xoulux ou similar, com 6,00m, inclusive lâmpada vapor de sódio de 250W. Rev  01_06/2024 (ORSE 8888)</t>
  </si>
  <si>
    <t>VALOR MEDIDO NO PERÍODO:
R$ 101.593,33</t>
  </si>
  <si>
    <t>_________________________________
Cleyton Cabral Lopes****
Engª. Responsável Técnica da Execução
CREA RNP N°. 1618264389</t>
  </si>
  <si>
    <t>______________________________________
Fiscal do Contrato ****
Prefeitura Municipal de Coremas - PB</t>
  </si>
  <si>
    <t>______________________________________
Marquesa Marques de Sousa Guedes*****
Eng. Responsável Técnico da Fiscalização
CREA PB N°. 16.1779945-9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</si>
</sst>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\R\$\ #,##0.00"/>
    <numFmt numFmtId="165" formatCode="&quot;R$&quot;\ #,##0.00"/>
    <numFmt numFmtId="166" formatCode="0000000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1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name val="Arial"/>
      <family val="1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Arial MT"/>
      <family val="2"/>
    </font>
    <font>
      <sz val="10"/>
      <color rgb="FF000000"/>
      <name val="Arial MT"/>
      <family val="2"/>
    </font>
    <font>
      <sz val="10"/>
      <name val="Arial MT"/>
    </font>
    <font>
      <sz val="10"/>
      <color rgb="FF000000"/>
      <name val="Times New Roman"/>
      <family val="1"/>
    </font>
    <font>
      <sz val="10"/>
      <color rgb="FFFF0000"/>
      <name val="Arial"/>
      <family val="2"/>
    </font>
    <font>
      <sz val="10"/>
      <color rgb="FFFF0000"/>
      <name val="Arial MT"/>
      <family val="2"/>
    </font>
    <font>
      <sz val="10"/>
      <color rgb="FFFF0000"/>
      <name val="Arial MT"/>
    </font>
    <font>
      <b/>
      <sz val="10"/>
      <color rgb="FFFF0000"/>
      <name val="Arial"/>
      <family val="2"/>
    </font>
    <font>
      <sz val="10"/>
      <name val="Calibri"/>
      <family val="2"/>
      <scheme val="minor"/>
    </font>
    <font>
      <sz val="11"/>
      <name val="Arial"/>
      <family val="2"/>
    </font>
    <font>
      <sz val="10"/>
      <color theme="1"/>
      <name val="Arial"/>
      <family val="2"/>
    </font>
    <font>
      <sz val="10"/>
      <color theme="1"/>
      <name val="Arial MT"/>
      <family val="2"/>
    </font>
    <font>
      <sz val="10"/>
      <color theme="1"/>
      <name val="Arial MT"/>
    </font>
    <font>
      <b/>
      <sz val="10"/>
      <name val="Arial MT"/>
      <family val="2"/>
    </font>
    <font>
      <b/>
      <sz val="10"/>
      <name val="Arial MT"/>
    </font>
    <font>
      <b/>
      <sz val="10"/>
      <color rgb="FF000000"/>
      <name val="Arial MT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1">
    <xf numFmtId="0" fontId="0" fillId="0" borderId="0" xfId="0"/>
    <xf numFmtId="0" fontId="2" fillId="0" borderId="2" xfId="0" applyFont="1" applyBorder="1" applyAlignment="1">
      <alignment vertical="top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4" fontId="3" fillId="3" borderId="8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/>
    <xf numFmtId="165" fontId="3" fillId="3" borderId="8" xfId="0" applyNumberFormat="1" applyFont="1" applyFill="1" applyBorder="1" applyAlignment="1">
      <alignment horizontal="right" vertical="center" wrapText="1"/>
    </xf>
    <xf numFmtId="165" fontId="3" fillId="3" borderId="12" xfId="0" applyNumberFormat="1" applyFont="1" applyFill="1" applyBorder="1" applyAlignment="1">
      <alignment horizontal="right" vertical="center" wrapText="1"/>
    </xf>
    <xf numFmtId="0" fontId="4" fillId="0" borderId="1" xfId="0" applyFont="1" applyBorder="1"/>
    <xf numFmtId="9" fontId="3" fillId="0" borderId="1" xfId="2" applyFont="1" applyFill="1" applyBorder="1" applyAlignment="1" applyProtection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165" fontId="3" fillId="0" borderId="1" xfId="0" applyNumberFormat="1" applyFont="1" applyBorder="1" applyAlignment="1">
      <alignment horizontal="right" vertical="center" wrapText="1"/>
    </xf>
    <xf numFmtId="9" fontId="4" fillId="0" borderId="1" xfId="0" applyNumberFormat="1" applyFont="1" applyBorder="1"/>
    <xf numFmtId="0" fontId="2" fillId="2" borderId="1" xfId="0" applyFont="1" applyFill="1" applyBorder="1" applyAlignment="1">
      <alignment vertical="top" wrapText="1"/>
    </xf>
    <xf numFmtId="0" fontId="4" fillId="0" borderId="0" xfId="0" applyFont="1"/>
    <xf numFmtId="0" fontId="8" fillId="0" borderId="7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165" fontId="4" fillId="0" borderId="0" xfId="0" applyNumberFormat="1" applyFont="1"/>
    <xf numFmtId="165" fontId="10" fillId="0" borderId="0" xfId="1" applyNumberFormat="1" applyFont="1"/>
    <xf numFmtId="43" fontId="6" fillId="3" borderId="1" xfId="1" applyFont="1" applyFill="1" applyBorder="1" applyAlignment="1"/>
    <xf numFmtId="165" fontId="12" fillId="3" borderId="9" xfId="0" applyNumberFormat="1" applyFont="1" applyFill="1" applyBorder="1" applyAlignment="1">
      <alignment horizontal="center" vertical="center" wrapText="1"/>
    </xf>
    <xf numFmtId="10" fontId="11" fillId="3" borderId="15" xfId="2" applyNumberFormat="1" applyFont="1" applyFill="1" applyBorder="1" applyAlignment="1">
      <alignment horizontal="center" vertical="center"/>
    </xf>
    <xf numFmtId="43" fontId="11" fillId="3" borderId="15" xfId="1" applyFont="1" applyFill="1" applyBorder="1" applyAlignment="1">
      <alignment horizontal="center" vertical="center"/>
    </xf>
    <xf numFmtId="165" fontId="13" fillId="0" borderId="2" xfId="0" applyNumberFormat="1" applyFont="1" applyBorder="1" applyAlignment="1">
      <alignment vertical="center" wrapText="1"/>
    </xf>
    <xf numFmtId="0" fontId="14" fillId="0" borderId="7" xfId="0" applyFont="1" applyBorder="1" applyAlignment="1">
      <alignment horizontal="left" vertical="center" wrapText="1"/>
    </xf>
    <xf numFmtId="10" fontId="3" fillId="0" borderId="1" xfId="2" applyNumberFormat="1" applyFont="1" applyFill="1" applyBorder="1" applyAlignment="1" applyProtection="1">
      <alignment horizontal="right" vertical="center" wrapText="1"/>
    </xf>
    <xf numFmtId="0" fontId="16" fillId="0" borderId="1" xfId="0" applyFont="1" applyBorder="1" applyAlignment="1">
      <alignment horizontal="center" vertical="center" wrapText="1"/>
    </xf>
    <xf numFmtId="2" fontId="17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shrinkToFit="1"/>
    </xf>
    <xf numFmtId="44" fontId="18" fillId="0" borderId="1" xfId="0" applyNumberFormat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vertical="center" wrapText="1"/>
    </xf>
    <xf numFmtId="0" fontId="18" fillId="0" borderId="5" xfId="0" applyFont="1" applyBorder="1" applyAlignment="1">
      <alignment horizontal="center" vertical="center" wrapText="1"/>
    </xf>
    <xf numFmtId="2" fontId="17" fillId="0" borderId="5" xfId="0" applyNumberFormat="1" applyFont="1" applyBorder="1" applyAlignment="1">
      <alignment horizontal="center" vertical="center" shrinkToFit="1"/>
    </xf>
    <xf numFmtId="0" fontId="8" fillId="0" borderId="24" xfId="0" applyFont="1" applyBorder="1" applyAlignment="1">
      <alignment vertical="center" wrapText="1"/>
    </xf>
    <xf numFmtId="0" fontId="18" fillId="0" borderId="7" xfId="0" applyFont="1" applyBorder="1" applyAlignment="1">
      <alignment horizontal="center" vertical="center" wrapText="1"/>
    </xf>
    <xf numFmtId="2" fontId="17" fillId="0" borderId="7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shrinkToFit="1"/>
    </xf>
    <xf numFmtId="0" fontId="8" fillId="0" borderId="6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1" fontId="17" fillId="0" borderId="22" xfId="0" applyNumberFormat="1" applyFont="1" applyBorder="1" applyAlignment="1">
      <alignment horizontal="center" vertical="center" shrinkToFit="1"/>
    </xf>
    <xf numFmtId="0" fontId="8" fillId="0" borderId="12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" fontId="17" fillId="0" borderId="7" xfId="0" applyNumberFormat="1" applyFont="1" applyBorder="1" applyAlignment="1">
      <alignment horizontal="center" vertical="center" shrinkToFit="1"/>
    </xf>
    <xf numFmtId="0" fontId="8" fillId="0" borderId="12" xfId="0" applyFont="1" applyBorder="1" applyAlignment="1">
      <alignment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vertical="center" wrapText="1"/>
    </xf>
    <xf numFmtId="0" fontId="18" fillId="0" borderId="25" xfId="0" applyFont="1" applyBorder="1" applyAlignment="1">
      <alignment horizontal="center" vertical="center" wrapText="1"/>
    </xf>
    <xf numFmtId="2" fontId="17" fillId="0" borderId="25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 shrinkToFit="1"/>
    </xf>
    <xf numFmtId="1" fontId="17" fillId="0" borderId="8" xfId="0" applyNumberFormat="1" applyFont="1" applyBorder="1" applyAlignment="1">
      <alignment horizontal="center" vertical="center" shrinkToFit="1"/>
    </xf>
    <xf numFmtId="0" fontId="18" fillId="0" borderId="27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vertical="center" wrapText="1"/>
    </xf>
    <xf numFmtId="0" fontId="18" fillId="0" borderId="10" xfId="0" applyFont="1" applyBorder="1" applyAlignment="1">
      <alignment horizontal="center" vertical="center" wrapText="1"/>
    </xf>
    <xf numFmtId="44" fontId="18" fillId="0" borderId="7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44" fontId="3" fillId="3" borderId="28" xfId="0" applyNumberFormat="1" applyFont="1" applyFill="1" applyBorder="1" applyAlignment="1">
      <alignment horizontal="center" vertical="center" wrapText="1"/>
    </xf>
    <xf numFmtId="44" fontId="3" fillId="3" borderId="29" xfId="0" applyNumberFormat="1" applyFont="1" applyFill="1" applyBorder="1" applyAlignment="1">
      <alignment horizontal="center" vertical="center" wrapText="1"/>
    </xf>
    <xf numFmtId="10" fontId="4" fillId="0" borderId="0" xfId="2" applyNumberFormat="1" applyFont="1"/>
    <xf numFmtId="9" fontId="23" fillId="0" borderId="1" xfId="2" applyFont="1" applyFill="1" applyBorder="1" applyAlignment="1" applyProtection="1">
      <alignment horizontal="right" vertical="center" wrapText="1"/>
    </xf>
    <xf numFmtId="4" fontId="23" fillId="0" borderId="1" xfId="0" applyNumberFormat="1" applyFont="1" applyBorder="1" applyAlignment="1">
      <alignment horizontal="right" vertical="center" wrapText="1"/>
    </xf>
    <xf numFmtId="165" fontId="23" fillId="0" borderId="1" xfId="0" applyNumberFormat="1" applyFont="1" applyBorder="1" applyAlignment="1">
      <alignment horizontal="right" vertical="center" wrapText="1"/>
    </xf>
    <xf numFmtId="0" fontId="10" fillId="0" borderId="0" xfId="0" applyFont="1"/>
    <xf numFmtId="4" fontId="3" fillId="4" borderId="1" xfId="0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center" vertical="center" wrapText="1"/>
    </xf>
    <xf numFmtId="2" fontId="16" fillId="0" borderId="22" xfId="0" applyNumberFormat="1" applyFont="1" applyBorder="1" applyAlignment="1">
      <alignment horizontal="center" vertical="center" shrinkToFit="1"/>
    </xf>
    <xf numFmtId="44" fontId="18" fillId="0" borderId="22" xfId="0" applyNumberFormat="1" applyFont="1" applyBorder="1" applyAlignment="1">
      <alignment horizontal="center" vertical="center" wrapText="1"/>
    </xf>
    <xf numFmtId="0" fontId="24" fillId="0" borderId="1" xfId="0" applyFont="1" applyBorder="1"/>
    <xf numFmtId="9" fontId="9" fillId="0" borderId="1" xfId="2" applyFont="1" applyFill="1" applyBorder="1" applyAlignment="1" applyProtection="1">
      <alignment horizontal="right" vertical="center" wrapText="1"/>
    </xf>
    <xf numFmtId="4" fontId="9" fillId="0" borderId="1" xfId="0" applyNumberFormat="1" applyFont="1" applyBorder="1" applyAlignment="1">
      <alignment horizontal="right" vertical="center" wrapText="1"/>
    </xf>
    <xf numFmtId="165" fontId="9" fillId="0" borderId="1" xfId="0" applyNumberFormat="1" applyFont="1" applyBorder="1" applyAlignment="1">
      <alignment horizontal="right" vertical="center" wrapText="1"/>
    </xf>
    <xf numFmtId="10" fontId="9" fillId="0" borderId="1" xfId="2" applyNumberFormat="1" applyFont="1" applyFill="1" applyBorder="1" applyAlignment="1" applyProtection="1">
      <alignment horizontal="right" vertical="center" wrapText="1"/>
    </xf>
    <xf numFmtId="0" fontId="24" fillId="0" borderId="0" xfId="0" applyFont="1"/>
    <xf numFmtId="4" fontId="9" fillId="4" borderId="1" xfId="0" applyNumberFormat="1" applyFont="1" applyFill="1" applyBorder="1" applyAlignment="1">
      <alignment horizontal="right" vertical="center" wrapText="1"/>
    </xf>
    <xf numFmtId="9" fontId="10" fillId="0" borderId="1" xfId="2" applyFont="1" applyBorder="1"/>
    <xf numFmtId="2" fontId="23" fillId="0" borderId="1" xfId="1" applyNumberFormat="1" applyFont="1" applyFill="1" applyBorder="1" applyAlignment="1" applyProtection="1">
      <alignment horizontal="right" vertical="center" wrapText="1"/>
    </xf>
    <xf numFmtId="9" fontId="23" fillId="4" borderId="1" xfId="2" applyFont="1" applyFill="1" applyBorder="1" applyAlignment="1" applyProtection="1">
      <alignment horizontal="right" vertical="center" wrapText="1"/>
    </xf>
    <xf numFmtId="4" fontId="23" fillId="4" borderId="1" xfId="0" applyNumberFormat="1" applyFont="1" applyFill="1" applyBorder="1" applyAlignment="1">
      <alignment horizontal="right" vertical="center" wrapText="1"/>
    </xf>
    <xf numFmtId="165" fontId="23" fillId="4" borderId="1" xfId="0" applyNumberFormat="1" applyFont="1" applyFill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center"/>
    </xf>
    <xf numFmtId="4" fontId="4" fillId="0" borderId="0" xfId="0" applyNumberFormat="1" applyFont="1"/>
    <xf numFmtId="165" fontId="4" fillId="0" borderId="1" xfId="0" applyNumberFormat="1" applyFont="1" applyBorder="1"/>
    <xf numFmtId="0" fontId="3" fillId="3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20" fillId="0" borderId="1" xfId="0" applyFont="1" applyBorder="1" applyAlignment="1">
      <alignment horizontal="left" vertical="center" wrapText="1"/>
    </xf>
    <xf numFmtId="1" fontId="21" fillId="0" borderId="1" xfId="0" applyNumberFormat="1" applyFont="1" applyBorder="1" applyAlignment="1">
      <alignment horizontal="center" vertical="center" shrinkToFit="1"/>
    </xf>
    <xf numFmtId="0" fontId="20" fillId="0" borderId="1" xfId="0" applyFont="1" applyBorder="1" applyAlignment="1">
      <alignment vertical="center" wrapText="1"/>
    </xf>
    <xf numFmtId="165" fontId="13" fillId="0" borderId="1" xfId="0" applyNumberFormat="1" applyFont="1" applyBorder="1" applyAlignment="1">
      <alignment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wrapText="1"/>
    </xf>
    <xf numFmtId="0" fontId="7" fillId="2" borderId="13" xfId="0" applyFont="1" applyFill="1" applyBorder="1" applyAlignment="1">
      <alignment horizontal="center" wrapText="1"/>
    </xf>
    <xf numFmtId="0" fontId="7" fillId="2" borderId="14" xfId="0" applyFont="1" applyFill="1" applyBorder="1" applyAlignment="1">
      <alignment horizontal="center" wrapText="1"/>
    </xf>
    <xf numFmtId="0" fontId="7" fillId="2" borderId="16" xfId="0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7" fillId="2" borderId="18" xfId="0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center" wrapText="1"/>
    </xf>
    <xf numFmtId="0" fontId="7" fillId="2" borderId="20" xfId="0" applyFont="1" applyFill="1" applyBorder="1" applyAlignment="1">
      <alignment horizontal="center" wrapText="1"/>
    </xf>
    <xf numFmtId="0" fontId="7" fillId="2" borderId="21" xfId="0" applyFont="1" applyFill="1" applyBorder="1" applyAlignment="1">
      <alignment horizontal="center" wrapText="1"/>
    </xf>
    <xf numFmtId="0" fontId="3" fillId="3" borderId="0" xfId="0" applyFont="1" applyFill="1" applyAlignment="1">
      <alignment horizontal="right" vertical="center" wrapText="1"/>
    </xf>
    <xf numFmtId="0" fontId="3" fillId="3" borderId="11" xfId="0" applyFont="1" applyFill="1" applyBorder="1" applyAlignment="1">
      <alignment horizontal="right" vertical="center" wrapText="1"/>
    </xf>
    <xf numFmtId="0" fontId="3" fillId="3" borderId="9" xfId="0" applyFont="1" applyFill="1" applyBorder="1" applyAlignment="1">
      <alignment horizontal="right" vertical="center" wrapText="1"/>
    </xf>
    <xf numFmtId="0" fontId="3" fillId="3" borderId="10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4" fillId="0" borderId="22" xfId="0" applyFont="1" applyBorder="1" applyAlignment="1">
      <alignment horizontal="left" vertical="center" wrapText="1"/>
    </xf>
    <xf numFmtId="0" fontId="24" fillId="0" borderId="15" xfId="0" applyFont="1" applyBorder="1"/>
    <xf numFmtId="0" fontId="8" fillId="0" borderId="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16" fillId="0" borderId="23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2" fontId="17" fillId="0" borderId="23" xfId="0" applyNumberFormat="1" applyFont="1" applyBorder="1" applyAlignment="1">
      <alignment horizontal="center" vertical="center" shrinkToFit="1"/>
    </xf>
    <xf numFmtId="44" fontId="18" fillId="0" borderId="23" xfId="0" applyNumberFormat="1" applyFont="1" applyBorder="1" applyAlignment="1">
      <alignment horizontal="center" vertical="center" wrapText="1"/>
    </xf>
    <xf numFmtId="0" fontId="4" fillId="0" borderId="23" xfId="0" applyFont="1" applyBorder="1"/>
    <xf numFmtId="2" fontId="16" fillId="0" borderId="1" xfId="0" applyNumberFormat="1" applyFont="1" applyBorder="1" applyAlignment="1">
      <alignment horizontal="center" vertical="center" shrinkToFit="1"/>
    </xf>
    <xf numFmtId="0" fontId="4" fillId="5" borderId="1" xfId="0" applyFont="1" applyFill="1" applyBorder="1"/>
    <xf numFmtId="0" fontId="8" fillId="5" borderId="7" xfId="0" applyFont="1" applyFill="1" applyBorder="1" applyAlignment="1">
      <alignment horizontal="left" vertical="center" wrapText="1"/>
    </xf>
    <xf numFmtId="0" fontId="26" fillId="5" borderId="7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24" xfId="0" applyFont="1" applyFill="1" applyBorder="1" applyAlignment="1">
      <alignment horizontal="left" vertical="center" wrapText="1"/>
    </xf>
    <xf numFmtId="0" fontId="3" fillId="3" borderId="27" xfId="0" applyFont="1" applyFill="1" applyBorder="1" applyAlignment="1">
      <alignment horizontal="left" vertical="center" wrapText="1"/>
    </xf>
    <xf numFmtId="0" fontId="3" fillId="3" borderId="30" xfId="0" applyFont="1" applyFill="1" applyBorder="1" applyAlignment="1">
      <alignment horizontal="left" vertical="center" wrapText="1"/>
    </xf>
    <xf numFmtId="0" fontId="3" fillId="3" borderId="31" xfId="0" applyFont="1" applyFill="1" applyBorder="1" applyAlignment="1">
      <alignment horizontal="left" vertical="center" wrapText="1"/>
    </xf>
    <xf numFmtId="0" fontId="3" fillId="3" borderId="32" xfId="0" applyFont="1" applyFill="1" applyBorder="1" applyAlignment="1">
      <alignment horizontal="left" vertical="center" wrapText="1"/>
    </xf>
    <xf numFmtId="0" fontId="3" fillId="3" borderId="33" xfId="0" applyFont="1" applyFill="1" applyBorder="1" applyAlignment="1">
      <alignment horizontal="left" vertical="center" wrapText="1"/>
    </xf>
    <xf numFmtId="0" fontId="3" fillId="3" borderId="34" xfId="0" applyFont="1" applyFill="1" applyBorder="1" applyAlignment="1">
      <alignment horizontal="left" vertical="center" wrapText="1"/>
    </xf>
    <xf numFmtId="0" fontId="3" fillId="3" borderId="35" xfId="0" applyFont="1" applyFill="1" applyBorder="1" applyAlignment="1">
      <alignment horizontal="left" vertical="center" wrapText="1"/>
    </xf>
    <xf numFmtId="1" fontId="16" fillId="0" borderId="15" xfId="0" applyNumberFormat="1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 wrapText="1"/>
    </xf>
    <xf numFmtId="1" fontId="16" fillId="0" borderId="19" xfId="0" applyNumberFormat="1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left" vertical="center" wrapText="1"/>
    </xf>
    <xf numFmtId="0" fontId="3" fillId="3" borderId="2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1" fontId="1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shrinkToFit="1"/>
    </xf>
    <xf numFmtId="1" fontId="27" fillId="0" borderId="5" xfId="0" applyNumberFormat="1" applyFont="1" applyBorder="1" applyAlignment="1">
      <alignment horizontal="center" vertical="center" shrinkToFit="1"/>
    </xf>
    <xf numFmtId="1" fontId="8" fillId="0" borderId="5" xfId="0" applyNumberFormat="1" applyFont="1" applyBorder="1" applyAlignment="1">
      <alignment horizontal="center" vertical="center" wrapText="1"/>
    </xf>
    <xf numFmtId="166" fontId="8" fillId="0" borderId="5" xfId="0" applyNumberFormat="1" applyFont="1" applyBorder="1" applyAlignment="1">
      <alignment horizontal="center" vertical="center" wrapText="1"/>
    </xf>
    <xf numFmtId="166" fontId="17" fillId="0" borderId="1" xfId="0" applyNumberFormat="1" applyFont="1" applyBorder="1" applyAlignment="1">
      <alignment horizontal="center" vertical="center" shrinkToFit="1"/>
    </xf>
    <xf numFmtId="166" fontId="17" fillId="0" borderId="7" xfId="0" applyNumberFormat="1" applyFont="1" applyBorder="1" applyAlignment="1">
      <alignment horizontal="center" vertical="center" shrinkToFit="1"/>
    </xf>
    <xf numFmtId="0" fontId="26" fillId="0" borderId="6" xfId="0" applyFont="1" applyBorder="1" applyAlignment="1">
      <alignment vertical="center" wrapText="1"/>
    </xf>
    <xf numFmtId="0" fontId="28" fillId="0" borderId="5" xfId="0" applyFont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27" xfId="0" applyFont="1" applyFill="1" applyBorder="1" applyAlignment="1">
      <alignment horizontal="center" vertical="center" wrapText="1"/>
    </xf>
    <xf numFmtId="44" fontId="28" fillId="0" borderId="1" xfId="0" applyNumberFormat="1" applyFont="1" applyBorder="1" applyAlignment="1">
      <alignment horizontal="center" vertical="center" wrapText="1"/>
    </xf>
    <xf numFmtId="44" fontId="8" fillId="5" borderId="7" xfId="0" applyNumberFormat="1" applyFont="1" applyFill="1" applyBorder="1" applyAlignment="1">
      <alignment horizontal="center" vertical="center" wrapText="1"/>
    </xf>
    <xf numFmtId="44" fontId="18" fillId="0" borderId="5" xfId="0" applyNumberFormat="1" applyFont="1" applyBorder="1" applyAlignment="1">
      <alignment horizontal="center" vertical="center" wrapText="1"/>
    </xf>
    <xf numFmtId="44" fontId="14" fillId="0" borderId="1" xfId="0" applyNumberFormat="1" applyFont="1" applyBorder="1" applyAlignment="1">
      <alignment horizontal="center" vertical="center" wrapText="1"/>
    </xf>
    <xf numFmtId="44" fontId="28" fillId="0" borderId="5" xfId="0" applyNumberFormat="1" applyFont="1" applyBorder="1" applyAlignment="1">
      <alignment horizontal="center" vertical="center" shrinkToFit="1"/>
    </xf>
    <xf numFmtId="44" fontId="18" fillId="0" borderId="6" xfId="0" applyNumberFormat="1" applyFont="1" applyBorder="1" applyAlignment="1">
      <alignment horizontal="center" vertical="center" wrapText="1"/>
    </xf>
    <xf numFmtId="44" fontId="17" fillId="0" borderId="7" xfId="0" applyNumberFormat="1" applyFont="1" applyBorder="1" applyAlignment="1">
      <alignment horizontal="center" vertical="center" shrinkToFit="1"/>
    </xf>
    <xf numFmtId="44" fontId="17" fillId="0" borderId="22" xfId="0" applyNumberFormat="1" applyFont="1" applyBorder="1" applyAlignment="1">
      <alignment horizontal="center" vertical="center" shrinkToFit="1"/>
    </xf>
    <xf numFmtId="44" fontId="18" fillId="0" borderId="25" xfId="0" applyNumberFormat="1" applyFont="1" applyBorder="1" applyAlignment="1">
      <alignment horizontal="center" vertical="center" wrapText="1"/>
    </xf>
    <xf numFmtId="44" fontId="18" fillId="0" borderId="1" xfId="1" applyNumberFormat="1" applyFont="1" applyBorder="1" applyAlignment="1">
      <alignment horizontal="center" vertical="center" wrapText="1"/>
    </xf>
    <xf numFmtId="9" fontId="9" fillId="0" borderId="15" xfId="2" applyFont="1" applyBorder="1" applyAlignment="1">
      <alignment horizontal="center" vertical="center" wrapText="1"/>
    </xf>
    <xf numFmtId="2" fontId="29" fillId="0" borderId="22" xfId="0" applyNumberFormat="1" applyFont="1" applyBorder="1" applyAlignment="1">
      <alignment horizontal="center" vertical="center" shrinkToFit="1"/>
    </xf>
    <xf numFmtId="44" fontId="9" fillId="0" borderId="15" xfId="2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44" fontId="6" fillId="0" borderId="1" xfId="0" applyNumberFormat="1" applyFont="1" applyBorder="1" applyAlignment="1">
      <alignment horizontal="center" vertical="center" wrapText="1"/>
    </xf>
    <xf numFmtId="2" fontId="30" fillId="0" borderId="1" xfId="0" applyNumberFormat="1" applyFont="1" applyBorder="1" applyAlignment="1">
      <alignment horizontal="center" vertical="center" shrinkToFit="1"/>
    </xf>
    <xf numFmtId="2" fontId="31" fillId="0" borderId="23" xfId="0" applyNumberFormat="1" applyFont="1" applyBorder="1" applyAlignment="1">
      <alignment horizontal="center" vertical="center" shrinkToFit="1"/>
    </xf>
    <xf numFmtId="165" fontId="8" fillId="5" borderId="8" xfId="0" applyNumberFormat="1" applyFont="1" applyFill="1" applyBorder="1" applyAlignment="1">
      <alignment horizontal="right" vertical="center" wrapText="1"/>
    </xf>
  </cellXfs>
  <cellStyles count="3">
    <cellStyle name="Normal" xfId="0" builtinId="0"/>
    <cellStyle name="Porcentagem" xfId="2" builtinId="5"/>
    <cellStyle name="Vírgula" xfId="1" builtinId="3"/>
  </cellStyles>
  <dxfs count="27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209020</xdr:colOff>
      <xdr:row>0</xdr:row>
      <xdr:rowOff>180470</xdr:rowOff>
    </xdr:from>
    <xdr:to>
      <xdr:col>0</xdr:col>
      <xdr:colOff>973667</xdr:colOff>
      <xdr:row>0</xdr:row>
      <xdr:rowOff>903162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F9E6799-414C-45C3-AA8D-CB76C8172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020" y="180470"/>
          <a:ext cx="764647" cy="7226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71436</xdr:colOff>
      <xdr:row>0</xdr:row>
      <xdr:rowOff>85219</xdr:rowOff>
    </xdr:from>
    <xdr:to>
      <xdr:col>0</xdr:col>
      <xdr:colOff>1190625</xdr:colOff>
      <xdr:row>0</xdr:row>
      <xdr:rowOff>1143000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B1975E9-A3B0-441F-A9B4-C69C60393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6" y="85219"/>
          <a:ext cx="1119189" cy="10577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L362"/>
  <sheetViews>
    <sheetView zoomScale="70" zoomScaleNormal="70" zoomScaleSheetLayoutView="54" workbookViewId="0">
      <selection activeCell="C14" sqref="C14"/>
    </sheetView>
  </sheetViews>
  <sheetFormatPr defaultColWidth="9.21875" defaultRowHeight="13.8"/>
  <cols>
    <col min="1" max="1" width="19.21875" style="16" customWidth="1"/>
    <col min="2" max="2" width="13.21875" style="16" customWidth="1"/>
    <col min="3" max="3" width="61.44140625" style="16" customWidth="1"/>
    <col min="4" max="4" width="13" style="16" customWidth="1"/>
    <col min="5" max="5" width="11.21875" style="16" customWidth="1"/>
    <col min="6" max="6" width="12.5546875" style="16" customWidth="1"/>
    <col min="7" max="7" width="13.77734375" style="16" customWidth="1"/>
    <col min="8" max="8" width="17.21875" style="16" customWidth="1"/>
    <col min="9" max="9" width="49.109375" style="16" customWidth="1"/>
    <col min="10" max="10" width="24.6640625" style="16" bestFit="1" customWidth="1"/>
    <col min="11" max="11" width="25" style="16" bestFit="1" customWidth="1"/>
    <col min="12" max="12" width="18.88671875" style="16" bestFit="1" customWidth="1"/>
    <col min="13" max="16384" width="9.21875" style="16"/>
  </cols>
  <sheetData>
    <row r="1" spans="1:12" ht="87" customHeight="1">
      <c r="A1" s="15"/>
      <c r="B1" s="126" t="s">
        <v>289</v>
      </c>
      <c r="C1" s="126"/>
      <c r="D1" s="126"/>
      <c r="E1" s="105" t="s">
        <v>286</v>
      </c>
      <c r="F1" s="105"/>
      <c r="G1" s="105" t="s">
        <v>287</v>
      </c>
      <c r="H1" s="105"/>
      <c r="I1" s="63" t="s">
        <v>288</v>
      </c>
      <c r="J1" s="122"/>
      <c r="K1" s="122"/>
      <c r="L1" s="122"/>
    </row>
    <row r="2" spans="1:12" ht="80.400000000000006" customHeight="1">
      <c r="A2" s="105" t="s">
        <v>290</v>
      </c>
      <c r="B2" s="105"/>
      <c r="C2" s="105"/>
      <c r="D2" s="105"/>
      <c r="E2" s="105" t="s">
        <v>285</v>
      </c>
      <c r="F2" s="105"/>
      <c r="G2" s="105" t="s">
        <v>292</v>
      </c>
      <c r="H2" s="105"/>
      <c r="I2" s="63" t="s">
        <v>817</v>
      </c>
      <c r="J2" s="122"/>
      <c r="K2" s="122"/>
      <c r="L2" s="122"/>
    </row>
    <row r="3" spans="1:12" ht="55.8" customHeight="1">
      <c r="A3" s="105" t="s">
        <v>291</v>
      </c>
      <c r="B3" s="105"/>
      <c r="C3" s="105"/>
      <c r="D3" s="105"/>
      <c r="E3" s="105" t="s">
        <v>293</v>
      </c>
      <c r="F3" s="105"/>
      <c r="G3" s="105"/>
      <c r="H3" s="105"/>
      <c r="I3" s="105"/>
      <c r="J3" s="124" t="s">
        <v>257</v>
      </c>
      <c r="K3" s="125"/>
      <c r="L3" s="100">
        <f>L346</f>
        <v>101593.32700000002</v>
      </c>
    </row>
    <row r="4" spans="1:12" ht="15" customHeight="1">
      <c r="A4" s="127"/>
      <c r="B4" s="128"/>
      <c r="C4" s="128"/>
      <c r="D4" s="128"/>
      <c r="E4" s="128"/>
      <c r="F4" s="128"/>
      <c r="G4" s="128"/>
      <c r="H4" s="129"/>
      <c r="I4" s="1"/>
      <c r="J4" s="123" t="s">
        <v>0</v>
      </c>
      <c r="K4" s="123"/>
      <c r="L4" s="123"/>
    </row>
    <row r="5" spans="1:12" ht="65.25" customHeight="1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3" t="s">
        <v>8</v>
      </c>
      <c r="I5" s="4"/>
      <c r="J5" s="4" t="s">
        <v>9</v>
      </c>
      <c r="K5" s="4" t="s">
        <v>10</v>
      </c>
      <c r="L5" s="4" t="s">
        <v>11</v>
      </c>
    </row>
    <row r="6" spans="1:12" ht="20.100000000000001" customHeight="1">
      <c r="A6" s="5">
        <v>1</v>
      </c>
      <c r="B6" s="106" t="s">
        <v>12</v>
      </c>
      <c r="C6" s="106"/>
      <c r="D6" s="106"/>
      <c r="E6" s="106"/>
      <c r="F6" s="106"/>
      <c r="G6" s="106"/>
      <c r="H6" s="6">
        <f>SUM(H7:H9)</f>
        <v>14468.484199999999</v>
      </c>
      <c r="I6" s="7"/>
      <c r="J6" s="121" t="s">
        <v>13</v>
      </c>
      <c r="K6" s="121"/>
      <c r="L6" s="121"/>
    </row>
    <row r="7" spans="1:12" s="82" customFormat="1" ht="49.95" customHeight="1">
      <c r="A7" s="140" t="s">
        <v>14</v>
      </c>
      <c r="B7" s="163">
        <v>103689</v>
      </c>
      <c r="C7" s="73" t="s">
        <v>296</v>
      </c>
      <c r="D7" s="74" t="s">
        <v>61</v>
      </c>
      <c r="E7" s="74" t="s">
        <v>273</v>
      </c>
      <c r="F7" s="75">
        <v>8</v>
      </c>
      <c r="G7" s="76">
        <v>537.1</v>
      </c>
      <c r="H7" s="76">
        <f>F7*G7</f>
        <v>4296.8</v>
      </c>
      <c r="I7" s="141"/>
      <c r="J7" s="193">
        <f>K7/F7</f>
        <v>1</v>
      </c>
      <c r="K7" s="194">
        <v>8</v>
      </c>
      <c r="L7" s="195">
        <f>J7*H7</f>
        <v>4296.8</v>
      </c>
    </row>
    <row r="8" spans="1:12" s="82" customFormat="1" ht="49.95" customHeight="1">
      <c r="A8" s="104" t="s">
        <v>15</v>
      </c>
      <c r="B8" s="164">
        <v>99059</v>
      </c>
      <c r="C8" s="104" t="s">
        <v>297</v>
      </c>
      <c r="D8" s="103" t="s">
        <v>61</v>
      </c>
      <c r="E8" s="103" t="s">
        <v>63</v>
      </c>
      <c r="F8" s="149">
        <v>132.87</v>
      </c>
      <c r="G8" s="34">
        <v>71.739999999999995</v>
      </c>
      <c r="H8" s="76">
        <f t="shared" ref="H8:H9" si="0">F8*G8</f>
        <v>9532.0937999999987</v>
      </c>
      <c r="I8" s="77"/>
      <c r="J8" s="193">
        <f t="shared" ref="J8:J9" si="1">K8/F8</f>
        <v>1</v>
      </c>
      <c r="K8" s="198">
        <v>132.87</v>
      </c>
      <c r="L8" s="195">
        <f t="shared" ref="L8:L9" si="2">J8*H8</f>
        <v>9532.0937999999987</v>
      </c>
    </row>
    <row r="9" spans="1:12" ht="49.95" customHeight="1">
      <c r="A9" s="142" t="s">
        <v>294</v>
      </c>
      <c r="B9" s="165">
        <v>98525</v>
      </c>
      <c r="C9" s="143" t="s">
        <v>298</v>
      </c>
      <c r="D9" s="144" t="s">
        <v>61</v>
      </c>
      <c r="E9" s="145" t="s">
        <v>273</v>
      </c>
      <c r="F9" s="146">
        <v>888.32</v>
      </c>
      <c r="G9" s="147">
        <v>0.72</v>
      </c>
      <c r="H9" s="76">
        <f t="shared" si="0"/>
        <v>639.59040000000005</v>
      </c>
      <c r="I9" s="148"/>
      <c r="J9" s="193">
        <f t="shared" si="1"/>
        <v>1</v>
      </c>
      <c r="K9" s="199">
        <v>888.32</v>
      </c>
      <c r="L9" s="195">
        <f t="shared" si="2"/>
        <v>639.59040000000005</v>
      </c>
    </row>
    <row r="10" spans="1:12" ht="19.2" customHeight="1">
      <c r="A10" s="101">
        <v>2</v>
      </c>
      <c r="B10" s="106" t="s">
        <v>295</v>
      </c>
      <c r="C10" s="106"/>
      <c r="D10" s="106"/>
      <c r="E10" s="106"/>
      <c r="F10" s="106"/>
      <c r="G10" s="106"/>
      <c r="H10" s="8">
        <f>SUM(H11,H13,H16,H27,H38,H42,H52,H55,H59,H130,H137)</f>
        <v>94029.074800000002</v>
      </c>
      <c r="I10" s="7"/>
      <c r="J10" s="7"/>
      <c r="K10" s="7"/>
      <c r="L10" s="7"/>
    </row>
    <row r="11" spans="1:12" ht="20.100000000000001" customHeight="1">
      <c r="A11" s="5" t="s">
        <v>16</v>
      </c>
      <c r="B11" s="106" t="s">
        <v>12</v>
      </c>
      <c r="C11" s="106"/>
      <c r="D11" s="106"/>
      <c r="E11" s="106"/>
      <c r="F11" s="106"/>
      <c r="G11" s="106"/>
      <c r="H11" s="8">
        <f>SUM(H12:H12)</f>
        <v>997.17599999999993</v>
      </c>
      <c r="I11" s="7"/>
      <c r="J11" s="7"/>
      <c r="K11" s="7"/>
      <c r="L11" s="7"/>
    </row>
    <row r="12" spans="1:12" ht="54.6" customHeight="1">
      <c r="A12" s="17" t="s">
        <v>299</v>
      </c>
      <c r="B12" s="165">
        <v>99059</v>
      </c>
      <c r="C12" s="36" t="s">
        <v>297</v>
      </c>
      <c r="D12" s="32" t="s">
        <v>61</v>
      </c>
      <c r="E12" s="32" t="s">
        <v>63</v>
      </c>
      <c r="F12" s="32">
        <v>13.9</v>
      </c>
      <c r="G12" s="34">
        <v>71.739999999999995</v>
      </c>
      <c r="H12" s="192">
        <f>F12*G12-0.01</f>
        <v>997.17599999999993</v>
      </c>
      <c r="I12" s="10"/>
      <c r="J12" s="193">
        <f t="shared" ref="J12" si="3">K12/F12</f>
        <v>1</v>
      </c>
      <c r="K12" s="196">
        <v>13.9</v>
      </c>
      <c r="L12" s="197">
        <f>J12*H12</f>
        <v>997.17599999999993</v>
      </c>
    </row>
    <row r="13" spans="1:12" ht="20.100000000000001" customHeight="1">
      <c r="A13" s="5" t="s">
        <v>17</v>
      </c>
      <c r="B13" s="106" t="s">
        <v>41</v>
      </c>
      <c r="C13" s="106"/>
      <c r="D13" s="106"/>
      <c r="E13" s="168"/>
      <c r="F13" s="106"/>
      <c r="G13" s="106"/>
      <c r="H13" s="8">
        <f>SUM(H14:H15)</f>
        <v>1312.6276999999998</v>
      </c>
      <c r="I13" s="7"/>
      <c r="J13" s="7"/>
      <c r="K13" s="7"/>
      <c r="L13" s="7"/>
    </row>
    <row r="14" spans="1:12" ht="49.95" customHeight="1">
      <c r="A14" s="151" t="s">
        <v>300</v>
      </c>
      <c r="B14" s="165">
        <v>93358</v>
      </c>
      <c r="C14" s="151" t="s">
        <v>629</v>
      </c>
      <c r="D14" s="180" t="s">
        <v>61</v>
      </c>
      <c r="E14" s="181" t="s">
        <v>275</v>
      </c>
      <c r="F14" s="182">
        <v>11.6</v>
      </c>
      <c r="G14" s="184">
        <v>96.82</v>
      </c>
      <c r="H14" s="200">
        <f>F14*G14</f>
        <v>1123.1119999999999</v>
      </c>
      <c r="I14" s="150"/>
      <c r="J14" s="193">
        <f t="shared" ref="J14:J30" si="4">K14/F14</f>
        <v>1</v>
      </c>
      <c r="K14" s="182">
        <v>11.6</v>
      </c>
      <c r="L14" s="197">
        <f>J14*H14</f>
        <v>1123.1119999999999</v>
      </c>
    </row>
    <row r="15" spans="1:12" ht="49.95" customHeight="1">
      <c r="A15" s="151" t="s">
        <v>300</v>
      </c>
      <c r="B15" s="165">
        <v>104737</v>
      </c>
      <c r="C15" s="151" t="s">
        <v>630</v>
      </c>
      <c r="D15" s="180" t="s">
        <v>61</v>
      </c>
      <c r="E15" s="181" t="s">
        <v>275</v>
      </c>
      <c r="F15" s="182">
        <v>7.67</v>
      </c>
      <c r="G15" s="184">
        <v>24.71</v>
      </c>
      <c r="H15" s="200">
        <f>F15*G15-0.01</f>
        <v>189.51570000000001</v>
      </c>
      <c r="I15" s="150"/>
      <c r="J15" s="193">
        <f t="shared" si="4"/>
        <v>1</v>
      </c>
      <c r="K15" s="182">
        <v>7.67</v>
      </c>
      <c r="L15" s="197">
        <f>J15*H15</f>
        <v>189.51570000000001</v>
      </c>
    </row>
    <row r="16" spans="1:12" ht="20.100000000000001" customHeight="1">
      <c r="A16" s="167" t="s">
        <v>18</v>
      </c>
      <c r="B16" s="168" t="s">
        <v>68</v>
      </c>
      <c r="C16" s="168"/>
      <c r="D16" s="106"/>
      <c r="E16" s="169"/>
      <c r="F16" s="106"/>
      <c r="G16" s="106"/>
      <c r="H16" s="8">
        <f>SUM(H17:H26)-0.01</f>
        <v>13917.386500000001</v>
      </c>
      <c r="I16" s="7"/>
      <c r="J16" s="7"/>
      <c r="K16" s="7"/>
      <c r="L16" s="7"/>
    </row>
    <row r="17" spans="1:12" ht="49.95" customHeight="1">
      <c r="A17" s="104" t="s">
        <v>301</v>
      </c>
      <c r="B17" s="164">
        <v>96619</v>
      </c>
      <c r="C17" s="36" t="s">
        <v>631</v>
      </c>
      <c r="D17" s="166" t="s">
        <v>61</v>
      </c>
      <c r="E17" s="37" t="s">
        <v>273</v>
      </c>
      <c r="F17" s="38">
        <v>7.08</v>
      </c>
      <c r="G17" s="185">
        <v>44.9</v>
      </c>
      <c r="H17" s="34">
        <f>F17*G17</f>
        <v>317.892</v>
      </c>
      <c r="I17" s="10"/>
      <c r="J17" s="193">
        <f t="shared" si="4"/>
        <v>1</v>
      </c>
      <c r="K17" s="38">
        <v>7.08</v>
      </c>
      <c r="L17" s="197">
        <f>J17*H17</f>
        <v>317.892</v>
      </c>
    </row>
    <row r="18" spans="1:12" ht="49.95" customHeight="1">
      <c r="A18" s="104" t="s">
        <v>302</v>
      </c>
      <c r="B18" s="164">
        <v>101616</v>
      </c>
      <c r="C18" s="36" t="s">
        <v>632</v>
      </c>
      <c r="D18" s="166" t="s">
        <v>61</v>
      </c>
      <c r="E18" s="37" t="s">
        <v>273</v>
      </c>
      <c r="F18" s="38">
        <v>16.010000000000002</v>
      </c>
      <c r="G18" s="185">
        <v>7.07</v>
      </c>
      <c r="H18" s="34">
        <f t="shared" ref="H18:H26" si="5">F18*G18</f>
        <v>113.19070000000002</v>
      </c>
      <c r="I18" s="10"/>
      <c r="J18" s="193">
        <f t="shared" si="4"/>
        <v>1</v>
      </c>
      <c r="K18" s="38">
        <v>16.010000000000002</v>
      </c>
      <c r="L18" s="197">
        <f t="shared" ref="L18:L30" si="6">J18*H18</f>
        <v>113.19070000000002</v>
      </c>
    </row>
    <row r="19" spans="1:12" ht="49.95" customHeight="1">
      <c r="A19" s="104" t="s">
        <v>303</v>
      </c>
      <c r="B19" s="164">
        <v>94971</v>
      </c>
      <c r="C19" s="36" t="s">
        <v>633</v>
      </c>
      <c r="D19" s="166" t="s">
        <v>61</v>
      </c>
      <c r="E19" s="37" t="s">
        <v>275</v>
      </c>
      <c r="F19" s="38">
        <v>3.93</v>
      </c>
      <c r="G19" s="185">
        <v>559.80999999999995</v>
      </c>
      <c r="H19" s="34">
        <f t="shared" si="5"/>
        <v>2200.0533</v>
      </c>
      <c r="I19" s="10"/>
      <c r="J19" s="193">
        <f t="shared" si="4"/>
        <v>1</v>
      </c>
      <c r="K19" s="38">
        <v>3.93</v>
      </c>
      <c r="L19" s="197">
        <f t="shared" si="6"/>
        <v>2200.0533</v>
      </c>
    </row>
    <row r="20" spans="1:12" ht="49.95" customHeight="1">
      <c r="A20" s="104" t="s">
        <v>304</v>
      </c>
      <c r="B20" s="164">
        <v>103670</v>
      </c>
      <c r="C20" s="36" t="s">
        <v>634</v>
      </c>
      <c r="D20" s="58" t="s">
        <v>61</v>
      </c>
      <c r="E20" s="40" t="s">
        <v>275</v>
      </c>
      <c r="F20" s="41">
        <v>3.93</v>
      </c>
      <c r="G20" s="62">
        <v>331.13</v>
      </c>
      <c r="H20" s="34">
        <f t="shared" si="5"/>
        <v>1301.3409000000001</v>
      </c>
      <c r="I20" s="10"/>
      <c r="J20" s="193">
        <f t="shared" si="4"/>
        <v>1</v>
      </c>
      <c r="K20" s="41">
        <v>3.93</v>
      </c>
      <c r="L20" s="197">
        <f t="shared" si="6"/>
        <v>1301.3409000000001</v>
      </c>
    </row>
    <row r="21" spans="1:12" ht="49.95" customHeight="1">
      <c r="A21" s="104" t="s">
        <v>305</v>
      </c>
      <c r="B21" s="164">
        <v>104927</v>
      </c>
      <c r="C21" s="36" t="s">
        <v>635</v>
      </c>
      <c r="D21" s="58" t="s">
        <v>61</v>
      </c>
      <c r="E21" s="40" t="s">
        <v>273</v>
      </c>
      <c r="F21" s="41">
        <v>9.9499999999999993</v>
      </c>
      <c r="G21" s="62">
        <v>93.61</v>
      </c>
      <c r="H21" s="34">
        <f>F21*G21-0.01</f>
        <v>931.40949999999998</v>
      </c>
      <c r="I21" s="10"/>
      <c r="J21" s="193">
        <f t="shared" si="4"/>
        <v>1</v>
      </c>
      <c r="K21" s="41">
        <v>9.9499999999999993</v>
      </c>
      <c r="L21" s="197">
        <f t="shared" si="6"/>
        <v>931.40949999999998</v>
      </c>
    </row>
    <row r="22" spans="1:12" ht="49.95" customHeight="1">
      <c r="A22" s="104" t="s">
        <v>306</v>
      </c>
      <c r="B22" s="164">
        <v>96542</v>
      </c>
      <c r="C22" s="36" t="s">
        <v>636</v>
      </c>
      <c r="D22" s="58" t="s">
        <v>61</v>
      </c>
      <c r="E22" s="40" t="s">
        <v>273</v>
      </c>
      <c r="F22" s="41">
        <v>33.68</v>
      </c>
      <c r="G22" s="62">
        <v>102.97</v>
      </c>
      <c r="H22" s="34">
        <f>F22*G22-0.01</f>
        <v>3468.0195999999996</v>
      </c>
      <c r="I22" s="10"/>
      <c r="J22" s="193">
        <f t="shared" si="4"/>
        <v>1</v>
      </c>
      <c r="K22" s="41">
        <v>33.68</v>
      </c>
      <c r="L22" s="197">
        <f t="shared" si="6"/>
        <v>3468.0195999999996</v>
      </c>
    </row>
    <row r="23" spans="1:12" ht="49.95" customHeight="1">
      <c r="A23" s="104" t="s">
        <v>307</v>
      </c>
      <c r="B23" s="164">
        <v>104917</v>
      </c>
      <c r="C23" s="36" t="s">
        <v>637</v>
      </c>
      <c r="D23" s="58" t="s">
        <v>61</v>
      </c>
      <c r="E23" s="40" t="s">
        <v>74</v>
      </c>
      <c r="F23" s="41">
        <v>53</v>
      </c>
      <c r="G23" s="62">
        <v>17.399999999999999</v>
      </c>
      <c r="H23" s="34">
        <f t="shared" si="5"/>
        <v>922.19999999999993</v>
      </c>
      <c r="I23" s="10"/>
      <c r="J23" s="193">
        <f t="shared" si="4"/>
        <v>1</v>
      </c>
      <c r="K23" s="41">
        <v>53</v>
      </c>
      <c r="L23" s="197">
        <f t="shared" si="6"/>
        <v>922.19999999999993</v>
      </c>
    </row>
    <row r="24" spans="1:12" ht="49.95" customHeight="1">
      <c r="A24" s="104" t="s">
        <v>308</v>
      </c>
      <c r="B24" s="164">
        <v>104916</v>
      </c>
      <c r="C24" s="36" t="s">
        <v>638</v>
      </c>
      <c r="D24" s="58" t="s">
        <v>61</v>
      </c>
      <c r="E24" s="40" t="s">
        <v>74</v>
      </c>
      <c r="F24" s="41">
        <v>52.9</v>
      </c>
      <c r="G24" s="62">
        <v>18.75</v>
      </c>
      <c r="H24" s="34">
        <f>F24*G24-0.01</f>
        <v>991.86500000000001</v>
      </c>
      <c r="I24" s="10"/>
      <c r="J24" s="193">
        <f t="shared" si="4"/>
        <v>1</v>
      </c>
      <c r="K24" s="41">
        <v>52.9</v>
      </c>
      <c r="L24" s="197">
        <f t="shared" si="6"/>
        <v>991.86500000000001</v>
      </c>
    </row>
    <row r="25" spans="1:12" ht="49.95" customHeight="1">
      <c r="A25" s="104" t="s">
        <v>309</v>
      </c>
      <c r="B25" s="164">
        <v>104918</v>
      </c>
      <c r="C25" s="36" t="s">
        <v>639</v>
      </c>
      <c r="D25" s="58" t="s">
        <v>61</v>
      </c>
      <c r="E25" s="40" t="s">
        <v>74</v>
      </c>
      <c r="F25" s="41">
        <v>81.2</v>
      </c>
      <c r="G25" s="62">
        <v>16.16</v>
      </c>
      <c r="H25" s="34">
        <f t="shared" si="5"/>
        <v>1312.192</v>
      </c>
      <c r="I25" s="10"/>
      <c r="J25" s="193">
        <f t="shared" si="4"/>
        <v>1</v>
      </c>
      <c r="K25" s="41">
        <v>81.2</v>
      </c>
      <c r="L25" s="197">
        <f t="shared" si="6"/>
        <v>1312.192</v>
      </c>
    </row>
    <row r="26" spans="1:12" ht="49.95" customHeight="1">
      <c r="A26" s="104" t="s">
        <v>310</v>
      </c>
      <c r="B26" s="164">
        <v>98557</v>
      </c>
      <c r="C26" s="36" t="s">
        <v>640</v>
      </c>
      <c r="D26" s="58" t="s">
        <v>61</v>
      </c>
      <c r="E26" s="40" t="s">
        <v>273</v>
      </c>
      <c r="F26" s="41">
        <v>43.73</v>
      </c>
      <c r="G26" s="62">
        <v>53.95</v>
      </c>
      <c r="H26" s="34">
        <f t="shared" si="5"/>
        <v>2359.2334999999998</v>
      </c>
      <c r="I26" s="10"/>
      <c r="J26" s="193">
        <f t="shared" si="4"/>
        <v>1</v>
      </c>
      <c r="K26" s="41">
        <v>43.73</v>
      </c>
      <c r="L26" s="197">
        <f t="shared" si="6"/>
        <v>2359.2334999999998</v>
      </c>
    </row>
    <row r="27" spans="1:12" ht="20.100000000000001" customHeight="1">
      <c r="A27" s="153" t="s">
        <v>311</v>
      </c>
      <c r="B27" s="169" t="s">
        <v>312</v>
      </c>
      <c r="C27" s="169"/>
      <c r="D27" s="106"/>
      <c r="E27" s="106"/>
      <c r="F27" s="106"/>
      <c r="G27" s="106"/>
      <c r="H27" s="8">
        <f>SUM(H28:H37)+0.02</f>
        <v>15491.799799999997</v>
      </c>
      <c r="I27" s="7"/>
      <c r="J27" s="7"/>
      <c r="K27" s="7"/>
      <c r="L27" s="7"/>
    </row>
    <row r="28" spans="1:12" ht="49.95" customHeight="1">
      <c r="A28" s="26" t="s">
        <v>313</v>
      </c>
      <c r="B28" s="170">
        <v>92429</v>
      </c>
      <c r="C28" s="39" t="s">
        <v>641</v>
      </c>
      <c r="D28" s="40" t="s">
        <v>61</v>
      </c>
      <c r="E28" s="40" t="s">
        <v>273</v>
      </c>
      <c r="F28" s="41">
        <v>57.56</v>
      </c>
      <c r="G28" s="62">
        <v>82.09</v>
      </c>
      <c r="H28" s="34">
        <f>F28*G28</f>
        <v>4725.1004000000003</v>
      </c>
      <c r="I28" s="10"/>
      <c r="J28" s="193">
        <f t="shared" si="4"/>
        <v>1</v>
      </c>
      <c r="K28" s="41">
        <v>57.56</v>
      </c>
      <c r="L28" s="197">
        <f t="shared" si="6"/>
        <v>4725.1004000000003</v>
      </c>
    </row>
    <row r="29" spans="1:12" ht="49.95" customHeight="1">
      <c r="A29" s="26" t="s">
        <v>314</v>
      </c>
      <c r="B29" s="170">
        <v>92476</v>
      </c>
      <c r="C29" s="39" t="s">
        <v>642</v>
      </c>
      <c r="D29" s="40" t="s">
        <v>61</v>
      </c>
      <c r="E29" s="40" t="s">
        <v>273</v>
      </c>
      <c r="F29" s="41">
        <v>12.9</v>
      </c>
      <c r="G29" s="62">
        <v>101.44</v>
      </c>
      <c r="H29" s="34">
        <f>F29*G29-0.01</f>
        <v>1308.566</v>
      </c>
      <c r="I29" s="10"/>
      <c r="J29" s="193">
        <f t="shared" si="4"/>
        <v>1</v>
      </c>
      <c r="K29" s="41">
        <v>12.9</v>
      </c>
      <c r="L29" s="197">
        <f t="shared" si="6"/>
        <v>1308.566</v>
      </c>
    </row>
    <row r="30" spans="1:12" ht="49.95" customHeight="1">
      <c r="A30" s="26" t="s">
        <v>315</v>
      </c>
      <c r="B30" s="170">
        <v>92486</v>
      </c>
      <c r="C30" s="39" t="s">
        <v>643</v>
      </c>
      <c r="D30" s="40" t="s">
        <v>61</v>
      </c>
      <c r="E30" s="40" t="s">
        <v>273</v>
      </c>
      <c r="F30" s="41">
        <v>6.04</v>
      </c>
      <c r="G30" s="62">
        <v>181.19</v>
      </c>
      <c r="H30" s="34">
        <f>F30*G30-0.01</f>
        <v>1094.3776</v>
      </c>
      <c r="I30" s="10"/>
      <c r="J30" s="193">
        <f t="shared" si="4"/>
        <v>1</v>
      </c>
      <c r="K30" s="41">
        <v>6.04</v>
      </c>
      <c r="L30" s="197">
        <f t="shared" si="6"/>
        <v>1094.3776</v>
      </c>
    </row>
    <row r="31" spans="1:12" ht="49.95" customHeight="1">
      <c r="A31" s="26" t="s">
        <v>316</v>
      </c>
      <c r="B31" s="170">
        <v>92759</v>
      </c>
      <c r="C31" s="39" t="s">
        <v>644</v>
      </c>
      <c r="D31" s="40" t="s">
        <v>61</v>
      </c>
      <c r="E31" s="40" t="s">
        <v>74</v>
      </c>
      <c r="F31" s="41">
        <v>77.8</v>
      </c>
      <c r="G31" s="62">
        <v>15.87</v>
      </c>
      <c r="H31" s="34">
        <f>F31*G31-0.01</f>
        <v>1234.6759999999999</v>
      </c>
      <c r="I31" s="10"/>
      <c r="J31" s="10"/>
      <c r="K31" s="10"/>
      <c r="L31" s="10"/>
    </row>
    <row r="32" spans="1:12" ht="49.95" customHeight="1">
      <c r="A32" s="26" t="s">
        <v>317</v>
      </c>
      <c r="B32" s="170">
        <v>104108</v>
      </c>
      <c r="C32" s="39" t="s">
        <v>645</v>
      </c>
      <c r="D32" s="40" t="s">
        <v>61</v>
      </c>
      <c r="E32" s="40" t="s">
        <v>74</v>
      </c>
      <c r="F32" s="41">
        <v>172.6</v>
      </c>
      <c r="G32" s="62">
        <v>14.5</v>
      </c>
      <c r="H32" s="34">
        <f t="shared" ref="H29:H37" si="7">F32*G32</f>
        <v>2502.6999999999998</v>
      </c>
      <c r="I32" s="10"/>
      <c r="J32" s="10"/>
      <c r="K32" s="10"/>
      <c r="L32" s="10"/>
    </row>
    <row r="33" spans="1:12" ht="49.95" customHeight="1">
      <c r="A33" s="26" t="s">
        <v>318</v>
      </c>
      <c r="B33" s="170">
        <v>92761</v>
      </c>
      <c r="C33" s="39" t="s">
        <v>646</v>
      </c>
      <c r="D33" s="40" t="s">
        <v>61</v>
      </c>
      <c r="E33" s="40" t="s">
        <v>74</v>
      </c>
      <c r="F33" s="41">
        <v>28.2</v>
      </c>
      <c r="G33" s="62">
        <v>14.08</v>
      </c>
      <c r="H33" s="34">
        <f>F33*G33-0.01</f>
        <v>397.04599999999999</v>
      </c>
      <c r="I33" s="10"/>
      <c r="J33" s="10"/>
      <c r="K33" s="10"/>
      <c r="L33" s="10"/>
    </row>
    <row r="34" spans="1:12" ht="49.95" customHeight="1">
      <c r="A34" s="26" t="s">
        <v>319</v>
      </c>
      <c r="B34" s="170">
        <v>94971</v>
      </c>
      <c r="C34" s="39" t="s">
        <v>647</v>
      </c>
      <c r="D34" s="40" t="s">
        <v>61</v>
      </c>
      <c r="E34" s="40" t="s">
        <v>275</v>
      </c>
      <c r="F34" s="41">
        <v>4.5199999999999996</v>
      </c>
      <c r="G34" s="62">
        <v>559.80999999999995</v>
      </c>
      <c r="H34" s="34">
        <f t="shared" si="7"/>
        <v>2530.3411999999994</v>
      </c>
      <c r="I34" s="10"/>
      <c r="J34" s="10"/>
      <c r="K34" s="10"/>
      <c r="L34" s="10"/>
    </row>
    <row r="35" spans="1:12" ht="49.95" customHeight="1">
      <c r="A35" s="26" t="s">
        <v>320</v>
      </c>
      <c r="B35" s="170">
        <v>103670</v>
      </c>
      <c r="C35" s="39" t="s">
        <v>634</v>
      </c>
      <c r="D35" s="40" t="s">
        <v>61</v>
      </c>
      <c r="E35" s="40" t="s">
        <v>275</v>
      </c>
      <c r="F35" s="41">
        <v>4.5199999999999996</v>
      </c>
      <c r="G35" s="62">
        <v>331.13</v>
      </c>
      <c r="H35" s="34">
        <f>F35*G35-0.01</f>
        <v>1496.6975999999997</v>
      </c>
      <c r="I35" s="10"/>
      <c r="J35" s="10"/>
      <c r="K35" s="10"/>
      <c r="L35" s="10"/>
    </row>
    <row r="36" spans="1:12" ht="49.95" customHeight="1">
      <c r="A36" s="26" t="s">
        <v>321</v>
      </c>
      <c r="B36" s="170">
        <v>92768</v>
      </c>
      <c r="C36" s="39" t="s">
        <v>648</v>
      </c>
      <c r="D36" s="40" t="s">
        <v>61</v>
      </c>
      <c r="E36" s="40" t="s">
        <v>74</v>
      </c>
      <c r="F36" s="41">
        <v>5.5</v>
      </c>
      <c r="G36" s="62">
        <v>15.31</v>
      </c>
      <c r="H36" s="34">
        <f>F36*G36-0.01</f>
        <v>84.194999999999993</v>
      </c>
      <c r="I36" s="10"/>
      <c r="J36" s="10"/>
      <c r="K36" s="10"/>
      <c r="L36" s="10"/>
    </row>
    <row r="37" spans="1:12" ht="49.95" customHeight="1">
      <c r="A37" s="26" t="s">
        <v>322</v>
      </c>
      <c r="B37" s="170">
        <v>92769</v>
      </c>
      <c r="C37" s="39" t="s">
        <v>649</v>
      </c>
      <c r="D37" s="40" t="s">
        <v>61</v>
      </c>
      <c r="E37" s="40" t="s">
        <v>74</v>
      </c>
      <c r="F37" s="41">
        <v>8.1999999999999993</v>
      </c>
      <c r="G37" s="62">
        <v>14.4</v>
      </c>
      <c r="H37" s="34">
        <f t="shared" si="7"/>
        <v>118.08</v>
      </c>
      <c r="I37" s="10"/>
      <c r="J37" s="10"/>
      <c r="K37" s="10"/>
      <c r="L37" s="10"/>
    </row>
    <row r="38" spans="1:12" ht="20.100000000000001" customHeight="1">
      <c r="A38" s="5" t="s">
        <v>323</v>
      </c>
      <c r="B38" s="106" t="s">
        <v>324</v>
      </c>
      <c r="C38" s="106"/>
      <c r="D38" s="106"/>
      <c r="E38" s="106"/>
      <c r="F38" s="106"/>
      <c r="G38" s="106"/>
      <c r="H38" s="8">
        <f>SUM(H39:H41)-0.01</f>
        <v>4669.9361000000008</v>
      </c>
      <c r="I38" s="7"/>
      <c r="J38" s="7"/>
      <c r="K38" s="7"/>
      <c r="L38" s="7"/>
    </row>
    <row r="39" spans="1:12" ht="49.95" customHeight="1">
      <c r="A39" s="17" t="s">
        <v>326</v>
      </c>
      <c r="B39" s="171">
        <v>103356</v>
      </c>
      <c r="C39" s="36" t="s">
        <v>650</v>
      </c>
      <c r="D39" s="43" t="s">
        <v>61</v>
      </c>
      <c r="E39" s="43" t="s">
        <v>273</v>
      </c>
      <c r="F39" s="44">
        <v>56.17</v>
      </c>
      <c r="G39" s="186">
        <v>67.73</v>
      </c>
      <c r="H39" s="34">
        <f>F39*G39</f>
        <v>3804.3941000000004</v>
      </c>
      <c r="I39" s="10"/>
      <c r="J39" s="10"/>
      <c r="K39" s="10"/>
      <c r="L39" s="10"/>
    </row>
    <row r="40" spans="1:12" ht="49.95" customHeight="1">
      <c r="A40" s="17" t="s">
        <v>327</v>
      </c>
      <c r="B40" s="171">
        <v>105023</v>
      </c>
      <c r="C40" s="36" t="s">
        <v>651</v>
      </c>
      <c r="D40" s="43" t="s">
        <v>61</v>
      </c>
      <c r="E40" s="43" t="s">
        <v>63</v>
      </c>
      <c r="F40" s="44">
        <v>8.1</v>
      </c>
      <c r="G40" s="186">
        <v>71.61</v>
      </c>
      <c r="H40" s="34">
        <f t="shared" ref="H40:H41" si="8">F40*G40</f>
        <v>580.04099999999994</v>
      </c>
      <c r="I40" s="10"/>
      <c r="J40" s="10"/>
      <c r="K40" s="10"/>
      <c r="L40" s="10"/>
    </row>
    <row r="41" spans="1:12" ht="49.95" customHeight="1">
      <c r="A41" s="17" t="s">
        <v>328</v>
      </c>
      <c r="B41" s="171">
        <v>105029</v>
      </c>
      <c r="C41" s="36" t="s">
        <v>652</v>
      </c>
      <c r="D41" s="43" t="s">
        <v>61</v>
      </c>
      <c r="E41" s="43" t="s">
        <v>63</v>
      </c>
      <c r="F41" s="44">
        <v>5.3</v>
      </c>
      <c r="G41" s="186">
        <v>53.87</v>
      </c>
      <c r="H41" s="34">
        <f t="shared" si="8"/>
        <v>285.51099999999997</v>
      </c>
      <c r="I41" s="10"/>
      <c r="J41" s="10"/>
      <c r="K41" s="10"/>
      <c r="L41" s="10"/>
    </row>
    <row r="42" spans="1:12" ht="20.100000000000001" customHeight="1">
      <c r="A42" s="5" t="s">
        <v>325</v>
      </c>
      <c r="B42" s="106" t="s">
        <v>128</v>
      </c>
      <c r="C42" s="106"/>
      <c r="D42" s="106"/>
      <c r="E42" s="106"/>
      <c r="F42" s="106"/>
      <c r="G42" s="106"/>
      <c r="H42" s="8">
        <f>SUM(H43:H51)</f>
        <v>12028.4033</v>
      </c>
      <c r="I42" s="7"/>
      <c r="J42" s="7"/>
      <c r="K42" s="7"/>
      <c r="L42" s="7"/>
    </row>
    <row r="43" spans="1:12" ht="49.95" customHeight="1">
      <c r="A43" s="17" t="s">
        <v>329</v>
      </c>
      <c r="B43" s="35">
        <v>87878</v>
      </c>
      <c r="C43" s="36" t="s">
        <v>713</v>
      </c>
      <c r="D43" s="32" t="s">
        <v>61</v>
      </c>
      <c r="E43" s="32" t="s">
        <v>273</v>
      </c>
      <c r="F43" s="33">
        <v>56.17</v>
      </c>
      <c r="G43" s="34">
        <v>5.51</v>
      </c>
      <c r="H43" s="34">
        <f>F43*G43-0.01</f>
        <v>309.48669999999998</v>
      </c>
      <c r="I43" s="14"/>
      <c r="J43" s="11"/>
      <c r="K43" s="12"/>
      <c r="L43" s="13"/>
    </row>
    <row r="44" spans="1:12" ht="49.95" customHeight="1">
      <c r="A44" s="17" t="s">
        <v>330</v>
      </c>
      <c r="B44" s="35">
        <v>87545</v>
      </c>
      <c r="C44" s="36" t="s">
        <v>654</v>
      </c>
      <c r="D44" s="32" t="s">
        <v>61</v>
      </c>
      <c r="E44" s="32" t="s">
        <v>273</v>
      </c>
      <c r="F44" s="33">
        <v>33.18</v>
      </c>
      <c r="G44" s="34">
        <v>32.409999999999997</v>
      </c>
      <c r="H44" s="34">
        <f t="shared" ref="H44:H51" si="9">F44*G44</f>
        <v>1075.3637999999999</v>
      </c>
      <c r="I44" s="14"/>
      <c r="J44" s="11"/>
      <c r="K44" s="12"/>
      <c r="L44" s="13"/>
    </row>
    <row r="45" spans="1:12" ht="49.95" customHeight="1">
      <c r="A45" s="17" t="s">
        <v>331</v>
      </c>
      <c r="B45" s="35">
        <v>87529</v>
      </c>
      <c r="C45" s="36" t="s">
        <v>655</v>
      </c>
      <c r="D45" s="32" t="s">
        <v>61</v>
      </c>
      <c r="E45" s="32" t="s">
        <v>273</v>
      </c>
      <c r="F45" s="33">
        <v>33.18</v>
      </c>
      <c r="G45" s="34">
        <v>40.299999999999997</v>
      </c>
      <c r="H45" s="34">
        <f t="shared" si="9"/>
        <v>1337.154</v>
      </c>
      <c r="I45" s="14"/>
      <c r="J45" s="11"/>
      <c r="K45" s="12"/>
      <c r="L45" s="13"/>
    </row>
    <row r="46" spans="1:12" ht="49.95" customHeight="1">
      <c r="A46" s="17" t="s">
        <v>332</v>
      </c>
      <c r="B46" s="172" t="s">
        <v>628</v>
      </c>
      <c r="C46" s="36" t="s">
        <v>656</v>
      </c>
      <c r="D46" s="32" t="s">
        <v>274</v>
      </c>
      <c r="E46" s="32" t="s">
        <v>273</v>
      </c>
      <c r="F46" s="33">
        <v>33.18</v>
      </c>
      <c r="G46" s="34">
        <v>74.900000000000006</v>
      </c>
      <c r="H46" s="34">
        <f t="shared" si="9"/>
        <v>2485.1820000000002</v>
      </c>
      <c r="I46" s="14"/>
      <c r="J46" s="11"/>
      <c r="K46" s="12"/>
      <c r="L46" s="13"/>
    </row>
    <row r="47" spans="1:12" ht="49.95" customHeight="1">
      <c r="A47" s="17" t="s">
        <v>333</v>
      </c>
      <c r="B47" s="35">
        <v>87908</v>
      </c>
      <c r="C47" s="36" t="s">
        <v>657</v>
      </c>
      <c r="D47" s="32" t="s">
        <v>61</v>
      </c>
      <c r="E47" s="32" t="s">
        <v>273</v>
      </c>
      <c r="F47" s="33">
        <v>47.35</v>
      </c>
      <c r="G47" s="34">
        <v>6.83</v>
      </c>
      <c r="H47" s="34">
        <f t="shared" si="9"/>
        <v>323.40050000000002</v>
      </c>
      <c r="I47" s="14"/>
      <c r="J47" s="11"/>
      <c r="K47" s="12"/>
      <c r="L47" s="13"/>
    </row>
    <row r="48" spans="1:12" ht="49.95" customHeight="1">
      <c r="A48" s="17" t="s">
        <v>334</v>
      </c>
      <c r="B48" s="35">
        <v>104218</v>
      </c>
      <c r="C48" s="36" t="s">
        <v>658</v>
      </c>
      <c r="D48" s="102" t="s">
        <v>61</v>
      </c>
      <c r="E48" s="102" t="s">
        <v>273</v>
      </c>
      <c r="F48" s="33">
        <v>47.35</v>
      </c>
      <c r="G48" s="34">
        <v>61.59</v>
      </c>
      <c r="H48" s="34">
        <f>F48*G48-0.01</f>
        <v>2916.2764999999999</v>
      </c>
      <c r="I48" s="14"/>
      <c r="J48" s="11"/>
      <c r="K48" s="12"/>
      <c r="L48" s="13"/>
    </row>
    <row r="49" spans="1:12" ht="49.95" customHeight="1">
      <c r="A49" s="17" t="s">
        <v>335</v>
      </c>
      <c r="B49" s="35">
        <v>13</v>
      </c>
      <c r="C49" s="36" t="s">
        <v>659</v>
      </c>
      <c r="D49" s="102" t="s">
        <v>274</v>
      </c>
      <c r="E49" s="102" t="s">
        <v>273</v>
      </c>
      <c r="F49" s="33">
        <v>28.22</v>
      </c>
      <c r="G49" s="34">
        <v>76.790000000000006</v>
      </c>
      <c r="H49" s="34">
        <f t="shared" si="9"/>
        <v>2167.0138000000002</v>
      </c>
      <c r="I49" s="14"/>
      <c r="J49" s="11"/>
      <c r="K49" s="12"/>
      <c r="L49" s="13"/>
    </row>
    <row r="50" spans="1:12" ht="49.95" customHeight="1">
      <c r="A50" s="17" t="s">
        <v>336</v>
      </c>
      <c r="B50" s="172" t="s">
        <v>628</v>
      </c>
      <c r="C50" s="36" t="s">
        <v>656</v>
      </c>
      <c r="D50" s="32" t="s">
        <v>274</v>
      </c>
      <c r="E50" s="32" t="s">
        <v>273</v>
      </c>
      <c r="F50" s="33">
        <v>13.64</v>
      </c>
      <c r="G50" s="34">
        <v>74.900000000000006</v>
      </c>
      <c r="H50" s="34">
        <f>F50*G50-0.01</f>
        <v>1021.6260000000001</v>
      </c>
      <c r="I50" s="14"/>
      <c r="J50" s="11"/>
      <c r="K50" s="12"/>
      <c r="L50" s="13"/>
    </row>
    <row r="51" spans="1:12" ht="49.95" customHeight="1">
      <c r="A51" s="17" t="s">
        <v>337</v>
      </c>
      <c r="B51" s="35">
        <v>98555</v>
      </c>
      <c r="C51" s="36" t="s">
        <v>660</v>
      </c>
      <c r="D51" s="32" t="s">
        <v>61</v>
      </c>
      <c r="E51" s="32" t="s">
        <v>273</v>
      </c>
      <c r="F51" s="33">
        <v>10</v>
      </c>
      <c r="G51" s="34">
        <v>39.29</v>
      </c>
      <c r="H51" s="34">
        <f t="shared" si="9"/>
        <v>392.9</v>
      </c>
      <c r="I51" s="14"/>
      <c r="J51" s="11"/>
      <c r="K51" s="12"/>
      <c r="L51" s="13"/>
    </row>
    <row r="52" spans="1:12" ht="20.100000000000001" customHeight="1">
      <c r="A52" s="5" t="s">
        <v>338</v>
      </c>
      <c r="B52" s="106" t="s">
        <v>339</v>
      </c>
      <c r="C52" s="106"/>
      <c r="D52" s="106"/>
      <c r="E52" s="106"/>
      <c r="F52" s="106"/>
      <c r="G52" s="106"/>
      <c r="H52" s="8">
        <f>SUM(H53:H54)</f>
        <v>913.62199999999996</v>
      </c>
      <c r="I52" s="7"/>
      <c r="J52" s="7"/>
      <c r="K52" s="7"/>
      <c r="L52" s="7"/>
    </row>
    <row r="53" spans="1:12" s="70" customFormat="1" ht="49.95" customHeight="1">
      <c r="A53" s="152" t="s">
        <v>340</v>
      </c>
      <c r="B53" s="173">
        <v>96486</v>
      </c>
      <c r="C53" s="178" t="s">
        <v>661</v>
      </c>
      <c r="D53" s="179" t="s">
        <v>61</v>
      </c>
      <c r="E53" s="179" t="s">
        <v>273</v>
      </c>
      <c r="F53" s="179">
        <v>9.6</v>
      </c>
      <c r="G53" s="187">
        <v>73.09</v>
      </c>
      <c r="H53" s="183">
        <f>F53*G53</f>
        <v>701.66399999999999</v>
      </c>
      <c r="I53" s="84"/>
      <c r="J53" s="67"/>
      <c r="K53" s="68"/>
      <c r="L53" s="69"/>
    </row>
    <row r="54" spans="1:12" s="70" customFormat="1" ht="49.95" customHeight="1">
      <c r="A54" s="152" t="s">
        <v>341</v>
      </c>
      <c r="B54" s="173">
        <v>96121</v>
      </c>
      <c r="C54" s="178" t="s">
        <v>662</v>
      </c>
      <c r="D54" s="179" t="s">
        <v>61</v>
      </c>
      <c r="E54" s="179" t="s">
        <v>63</v>
      </c>
      <c r="F54" s="179">
        <v>18.399999999999999</v>
      </c>
      <c r="G54" s="187">
        <v>11.52</v>
      </c>
      <c r="H54" s="183">
        <f>F54*G54-0.01</f>
        <v>211.958</v>
      </c>
      <c r="I54" s="84"/>
      <c r="J54" s="67"/>
      <c r="K54" s="68"/>
      <c r="L54" s="69"/>
    </row>
    <row r="55" spans="1:12" ht="20.100000000000001" customHeight="1">
      <c r="A55" s="101" t="s">
        <v>342</v>
      </c>
      <c r="B55" s="106" t="s">
        <v>133</v>
      </c>
      <c r="C55" s="106"/>
      <c r="D55" s="106"/>
      <c r="E55" s="106"/>
      <c r="F55" s="106"/>
      <c r="G55" s="106"/>
      <c r="H55" s="8">
        <f>SUM(H56:H58)</f>
        <v>1505.664</v>
      </c>
      <c r="I55" s="7"/>
      <c r="J55" s="7"/>
      <c r="K55" s="7"/>
      <c r="L55" s="7"/>
    </row>
    <row r="56" spans="1:12" ht="49.95" customHeight="1">
      <c r="A56" s="17" t="s">
        <v>329</v>
      </c>
      <c r="B56" s="35">
        <v>95241</v>
      </c>
      <c r="C56" s="36" t="s">
        <v>663</v>
      </c>
      <c r="D56" s="102" t="s">
        <v>61</v>
      </c>
      <c r="E56" s="102" t="s">
        <v>273</v>
      </c>
      <c r="F56" s="33">
        <v>9.6</v>
      </c>
      <c r="G56" s="34">
        <v>41.55</v>
      </c>
      <c r="H56" s="34">
        <f>F56*G56</f>
        <v>398.87999999999994</v>
      </c>
      <c r="I56" s="14"/>
      <c r="J56" s="11"/>
      <c r="K56" s="12"/>
      <c r="L56" s="13"/>
    </row>
    <row r="57" spans="1:12" ht="49.95" customHeight="1">
      <c r="A57" s="17" t="s">
        <v>330</v>
      </c>
      <c r="B57" s="35">
        <v>87622</v>
      </c>
      <c r="C57" s="36" t="s">
        <v>664</v>
      </c>
      <c r="D57" s="102" t="s">
        <v>61</v>
      </c>
      <c r="E57" s="102" t="s">
        <v>273</v>
      </c>
      <c r="F57" s="33">
        <v>9.6</v>
      </c>
      <c r="G57" s="34">
        <v>40.39</v>
      </c>
      <c r="H57" s="34">
        <f t="shared" ref="H57:H58" si="10">F57*G57</f>
        <v>387.74399999999997</v>
      </c>
      <c r="I57" s="14"/>
      <c r="J57" s="11"/>
      <c r="K57" s="12"/>
      <c r="L57" s="13"/>
    </row>
    <row r="58" spans="1:12" ht="49.95" customHeight="1">
      <c r="A58" s="17" t="s">
        <v>331</v>
      </c>
      <c r="B58" s="172" t="s">
        <v>628</v>
      </c>
      <c r="C58" s="36" t="s">
        <v>656</v>
      </c>
      <c r="D58" s="102" t="s">
        <v>274</v>
      </c>
      <c r="E58" s="102" t="s">
        <v>273</v>
      </c>
      <c r="F58" s="33">
        <v>9.6</v>
      </c>
      <c r="G58" s="34">
        <v>74.900000000000006</v>
      </c>
      <c r="H58" s="34">
        <f t="shared" si="10"/>
        <v>719.04000000000008</v>
      </c>
      <c r="I58" s="14"/>
      <c r="J58" s="11"/>
      <c r="K58" s="12"/>
      <c r="L58" s="13"/>
    </row>
    <row r="59" spans="1:12" ht="20.100000000000001" customHeight="1">
      <c r="A59" s="5" t="s">
        <v>343</v>
      </c>
      <c r="B59" s="106" t="s">
        <v>344</v>
      </c>
      <c r="C59" s="106"/>
      <c r="D59" s="106"/>
      <c r="E59" s="106"/>
      <c r="F59" s="106"/>
      <c r="G59" s="106"/>
      <c r="H59" s="8">
        <f>SUM(H60,H86,H108)</f>
        <v>14710.263199999998</v>
      </c>
      <c r="I59" s="7"/>
      <c r="J59" s="7"/>
      <c r="K59" s="7"/>
      <c r="L59" s="7"/>
    </row>
    <row r="60" spans="1:12" ht="20.100000000000001" customHeight="1">
      <c r="A60" s="101" t="s">
        <v>345</v>
      </c>
      <c r="B60" s="106" t="s">
        <v>184</v>
      </c>
      <c r="C60" s="106"/>
      <c r="D60" s="106"/>
      <c r="E60" s="106"/>
      <c r="F60" s="106"/>
      <c r="G60" s="106"/>
      <c r="H60" s="8">
        <f>SUM(H61:H85)-0.01</f>
        <v>3931.5154999999991</v>
      </c>
      <c r="I60" s="7"/>
      <c r="J60" s="7"/>
      <c r="K60" s="7"/>
      <c r="L60" s="7"/>
    </row>
    <row r="61" spans="1:12" ht="49.95" customHeight="1">
      <c r="A61" s="26" t="s">
        <v>346</v>
      </c>
      <c r="B61" s="174">
        <v>102607</v>
      </c>
      <c r="C61" s="45" t="s">
        <v>665</v>
      </c>
      <c r="D61" s="37" t="s">
        <v>61</v>
      </c>
      <c r="E61" s="37" t="s">
        <v>276</v>
      </c>
      <c r="F61" s="38">
        <v>1</v>
      </c>
      <c r="G61" s="185">
        <v>550.66999999999996</v>
      </c>
      <c r="H61" s="34">
        <f>F61*G61</f>
        <v>550.66999999999996</v>
      </c>
      <c r="I61" s="10"/>
      <c r="J61" s="10"/>
      <c r="K61" s="10"/>
      <c r="L61" s="10"/>
    </row>
    <row r="62" spans="1:12" ht="49.95" customHeight="1">
      <c r="A62" s="26" t="s">
        <v>347</v>
      </c>
      <c r="B62" s="174">
        <v>94795</v>
      </c>
      <c r="C62" s="45" t="s">
        <v>666</v>
      </c>
      <c r="D62" s="37" t="s">
        <v>61</v>
      </c>
      <c r="E62" s="37" t="s">
        <v>276</v>
      </c>
      <c r="F62" s="38">
        <v>1</v>
      </c>
      <c r="G62" s="188">
        <v>52.78</v>
      </c>
      <c r="H62" s="34">
        <f t="shared" ref="H62:H85" si="11">F62*G62</f>
        <v>52.78</v>
      </c>
      <c r="I62" s="10"/>
      <c r="J62" s="11"/>
      <c r="K62" s="12"/>
      <c r="L62" s="13"/>
    </row>
    <row r="63" spans="1:12" ht="49.95" customHeight="1">
      <c r="A63" s="26" t="s">
        <v>348</v>
      </c>
      <c r="B63" s="174">
        <v>86888</v>
      </c>
      <c r="C63" s="45" t="s">
        <v>667</v>
      </c>
      <c r="D63" s="37" t="s">
        <v>61</v>
      </c>
      <c r="E63" s="37" t="s">
        <v>276</v>
      </c>
      <c r="F63" s="38">
        <v>1</v>
      </c>
      <c r="G63" s="188">
        <v>591.21</v>
      </c>
      <c r="H63" s="34">
        <f t="shared" si="11"/>
        <v>591.21</v>
      </c>
      <c r="I63" s="10"/>
      <c r="J63" s="11"/>
      <c r="K63" s="12"/>
      <c r="L63" s="13"/>
    </row>
    <row r="64" spans="1:12" ht="49.95" customHeight="1">
      <c r="A64" s="26" t="s">
        <v>349</v>
      </c>
      <c r="B64" s="175">
        <v>1370</v>
      </c>
      <c r="C64" s="45" t="s">
        <v>668</v>
      </c>
      <c r="D64" s="37" t="s">
        <v>61</v>
      </c>
      <c r="E64" s="37" t="s">
        <v>276</v>
      </c>
      <c r="F64" s="38">
        <v>1</v>
      </c>
      <c r="G64" s="188">
        <v>141.46</v>
      </c>
      <c r="H64" s="34">
        <f t="shared" si="11"/>
        <v>141.46</v>
      </c>
      <c r="I64" s="10"/>
      <c r="J64" s="11"/>
      <c r="K64" s="12"/>
      <c r="L64" s="13"/>
    </row>
    <row r="65" spans="1:12" ht="49.95" customHeight="1">
      <c r="A65" s="26" t="s">
        <v>350</v>
      </c>
      <c r="B65" s="175">
        <v>10427</v>
      </c>
      <c r="C65" s="45" t="s">
        <v>669</v>
      </c>
      <c r="D65" s="37" t="s">
        <v>61</v>
      </c>
      <c r="E65" s="37" t="s">
        <v>276</v>
      </c>
      <c r="F65" s="38">
        <v>1</v>
      </c>
      <c r="G65" s="188">
        <v>596.73</v>
      </c>
      <c r="H65" s="34">
        <f t="shared" si="11"/>
        <v>596.73</v>
      </c>
      <c r="I65" s="10"/>
      <c r="J65" s="11"/>
      <c r="K65" s="12"/>
      <c r="L65" s="13"/>
    </row>
    <row r="66" spans="1:12" ht="49.95" customHeight="1">
      <c r="A66" s="26" t="s">
        <v>351</v>
      </c>
      <c r="B66" s="175">
        <v>6136</v>
      </c>
      <c r="C66" s="45" t="s">
        <v>670</v>
      </c>
      <c r="D66" s="37" t="s">
        <v>61</v>
      </c>
      <c r="E66" s="37" t="s">
        <v>276</v>
      </c>
      <c r="F66" s="38">
        <v>1</v>
      </c>
      <c r="G66" s="188">
        <v>206.49</v>
      </c>
      <c r="H66" s="34">
        <f t="shared" si="11"/>
        <v>206.49</v>
      </c>
      <c r="I66" s="10"/>
      <c r="J66" s="11"/>
      <c r="K66" s="12"/>
      <c r="L66" s="13"/>
    </row>
    <row r="67" spans="1:12" ht="49.95" customHeight="1">
      <c r="A67" s="26" t="s">
        <v>352</v>
      </c>
      <c r="B67" s="174">
        <v>86886</v>
      </c>
      <c r="C67" s="45" t="s">
        <v>671</v>
      </c>
      <c r="D67" s="37" t="s">
        <v>61</v>
      </c>
      <c r="E67" s="37" t="s">
        <v>276</v>
      </c>
      <c r="F67" s="38">
        <v>1</v>
      </c>
      <c r="G67" s="188">
        <v>53.04</v>
      </c>
      <c r="H67" s="34">
        <f t="shared" si="11"/>
        <v>53.04</v>
      </c>
      <c r="I67" s="10"/>
      <c r="J67" s="11"/>
      <c r="K67" s="12"/>
      <c r="L67" s="13"/>
    </row>
    <row r="68" spans="1:12" ht="49.95" customHeight="1">
      <c r="A68" s="26" t="s">
        <v>353</v>
      </c>
      <c r="B68" s="174">
        <v>86936</v>
      </c>
      <c r="C68" s="45" t="s">
        <v>672</v>
      </c>
      <c r="D68" s="37" t="s">
        <v>61</v>
      </c>
      <c r="E68" s="37" t="s">
        <v>276</v>
      </c>
      <c r="F68" s="38">
        <v>1</v>
      </c>
      <c r="G68" s="188">
        <v>562.74</v>
      </c>
      <c r="H68" s="34">
        <f t="shared" si="11"/>
        <v>562.74</v>
      </c>
      <c r="I68" s="10"/>
      <c r="J68" s="11"/>
      <c r="K68" s="12"/>
      <c r="L68" s="13"/>
    </row>
    <row r="69" spans="1:12" ht="49.95" customHeight="1">
      <c r="A69" s="26" t="s">
        <v>354</v>
      </c>
      <c r="B69" s="174">
        <v>86911</v>
      </c>
      <c r="C69" s="45" t="s">
        <v>673</v>
      </c>
      <c r="D69" s="37" t="s">
        <v>61</v>
      </c>
      <c r="E69" s="37" t="s">
        <v>276</v>
      </c>
      <c r="F69" s="38">
        <v>1</v>
      </c>
      <c r="G69" s="188">
        <v>112.25</v>
      </c>
      <c r="H69" s="34">
        <f t="shared" si="11"/>
        <v>112.25</v>
      </c>
      <c r="I69" s="10"/>
      <c r="J69" s="10"/>
      <c r="K69" s="10"/>
      <c r="L69" s="10"/>
    </row>
    <row r="70" spans="1:12" ht="49.95" customHeight="1">
      <c r="A70" s="26" t="s">
        <v>355</v>
      </c>
      <c r="B70" s="175">
        <v>13983</v>
      </c>
      <c r="C70" s="45" t="s">
        <v>674</v>
      </c>
      <c r="D70" s="37" t="s">
        <v>61</v>
      </c>
      <c r="E70" s="37" t="s">
        <v>276</v>
      </c>
      <c r="F70" s="38">
        <v>1</v>
      </c>
      <c r="G70" s="188">
        <v>121.48</v>
      </c>
      <c r="H70" s="34">
        <f t="shared" si="11"/>
        <v>121.48</v>
      </c>
      <c r="I70" s="10"/>
      <c r="J70" s="11"/>
      <c r="K70" s="12"/>
      <c r="L70" s="13"/>
    </row>
    <row r="71" spans="1:12" ht="49.95" customHeight="1">
      <c r="A71" s="26" t="s">
        <v>356</v>
      </c>
      <c r="B71" s="174">
        <v>89987</v>
      </c>
      <c r="C71" s="45" t="s">
        <v>675</v>
      </c>
      <c r="D71" s="37" t="s">
        <v>61</v>
      </c>
      <c r="E71" s="37" t="s">
        <v>276</v>
      </c>
      <c r="F71" s="38">
        <v>2</v>
      </c>
      <c r="G71" s="188">
        <v>115.36</v>
      </c>
      <c r="H71" s="34">
        <f t="shared" si="11"/>
        <v>230.72</v>
      </c>
      <c r="I71" s="10"/>
      <c r="J71" s="11"/>
      <c r="K71" s="12"/>
      <c r="L71" s="13"/>
    </row>
    <row r="72" spans="1:12" ht="49.95" customHeight="1">
      <c r="A72" s="26" t="s">
        <v>357</v>
      </c>
      <c r="B72" s="174">
        <v>94492</v>
      </c>
      <c r="C72" s="45" t="s">
        <v>676</v>
      </c>
      <c r="D72" s="37" t="s">
        <v>61</v>
      </c>
      <c r="E72" s="37" t="s">
        <v>276</v>
      </c>
      <c r="F72" s="38">
        <v>2</v>
      </c>
      <c r="G72" s="188">
        <v>54.83</v>
      </c>
      <c r="H72" s="34">
        <f t="shared" si="11"/>
        <v>109.66</v>
      </c>
      <c r="I72" s="10"/>
      <c r="J72" s="11"/>
      <c r="K72" s="12"/>
      <c r="L72" s="13"/>
    </row>
    <row r="73" spans="1:12" ht="49.95" customHeight="1">
      <c r="A73" s="26" t="s">
        <v>358</v>
      </c>
      <c r="B73" s="174">
        <v>94489</v>
      </c>
      <c r="C73" s="45" t="s">
        <v>677</v>
      </c>
      <c r="D73" s="37" t="s">
        <v>61</v>
      </c>
      <c r="E73" s="37" t="s">
        <v>276</v>
      </c>
      <c r="F73" s="38">
        <v>1</v>
      </c>
      <c r="G73" s="188">
        <v>26.72</v>
      </c>
      <c r="H73" s="34">
        <f t="shared" si="11"/>
        <v>26.72</v>
      </c>
      <c r="I73" s="10"/>
      <c r="J73" s="11"/>
      <c r="K73" s="12"/>
      <c r="L73" s="13"/>
    </row>
    <row r="74" spans="1:12" ht="49.95" customHeight="1">
      <c r="A74" s="26" t="s">
        <v>359</v>
      </c>
      <c r="B74" s="174">
        <v>94656</v>
      </c>
      <c r="C74" s="45" t="s">
        <v>678</v>
      </c>
      <c r="D74" s="37" t="s">
        <v>61</v>
      </c>
      <c r="E74" s="37" t="s">
        <v>276</v>
      </c>
      <c r="F74" s="38">
        <v>2</v>
      </c>
      <c r="G74" s="188">
        <v>3.57</v>
      </c>
      <c r="H74" s="34">
        <f t="shared" si="11"/>
        <v>7.14</v>
      </c>
      <c r="I74" s="10"/>
      <c r="J74" s="11"/>
      <c r="K74" s="12"/>
      <c r="L74" s="13"/>
    </row>
    <row r="75" spans="1:12" ht="49.95" customHeight="1">
      <c r="A75" s="26" t="s">
        <v>360</v>
      </c>
      <c r="B75" s="174">
        <v>103966</v>
      </c>
      <c r="C75" s="45" t="s">
        <v>679</v>
      </c>
      <c r="D75" s="37" t="s">
        <v>61</v>
      </c>
      <c r="E75" s="37" t="s">
        <v>276</v>
      </c>
      <c r="F75" s="38">
        <v>1</v>
      </c>
      <c r="G75" s="188">
        <v>10.14</v>
      </c>
      <c r="H75" s="34">
        <f t="shared" si="11"/>
        <v>10.14</v>
      </c>
      <c r="I75" s="10"/>
      <c r="J75" s="11"/>
      <c r="K75" s="12"/>
      <c r="L75" s="13"/>
    </row>
    <row r="76" spans="1:12" ht="49.95" customHeight="1">
      <c r="A76" s="26" t="s">
        <v>361</v>
      </c>
      <c r="B76" s="174">
        <v>89364</v>
      </c>
      <c r="C76" s="45" t="s">
        <v>680</v>
      </c>
      <c r="D76" s="37" t="s">
        <v>61</v>
      </c>
      <c r="E76" s="37" t="s">
        <v>276</v>
      </c>
      <c r="F76" s="38">
        <v>8</v>
      </c>
      <c r="G76" s="188">
        <v>12.66</v>
      </c>
      <c r="H76" s="34">
        <f t="shared" si="11"/>
        <v>101.28</v>
      </c>
      <c r="I76" s="10"/>
      <c r="J76" s="11"/>
      <c r="K76" s="12"/>
      <c r="L76" s="13"/>
    </row>
    <row r="77" spans="1:12" ht="49.95" customHeight="1">
      <c r="A77" s="26" t="s">
        <v>362</v>
      </c>
      <c r="B77" s="174">
        <v>103986</v>
      </c>
      <c r="C77" s="45" t="s">
        <v>681</v>
      </c>
      <c r="D77" s="37" t="s">
        <v>61</v>
      </c>
      <c r="E77" s="37" t="s">
        <v>276</v>
      </c>
      <c r="F77" s="38">
        <v>1</v>
      </c>
      <c r="G77" s="188">
        <v>30.01</v>
      </c>
      <c r="H77" s="34">
        <f t="shared" si="11"/>
        <v>30.01</v>
      </c>
      <c r="I77" s="10"/>
      <c r="J77" s="11"/>
      <c r="K77" s="12"/>
      <c r="L77" s="13"/>
    </row>
    <row r="78" spans="1:12" ht="49.95" customHeight="1">
      <c r="A78" s="26" t="s">
        <v>363</v>
      </c>
      <c r="B78" s="174">
        <v>89363</v>
      </c>
      <c r="C78" s="45" t="s">
        <v>682</v>
      </c>
      <c r="D78" s="37" t="s">
        <v>61</v>
      </c>
      <c r="E78" s="37" t="s">
        <v>276</v>
      </c>
      <c r="F78" s="38">
        <v>7</v>
      </c>
      <c r="G78" s="188">
        <v>10.94</v>
      </c>
      <c r="H78" s="34">
        <f t="shared" si="11"/>
        <v>76.58</v>
      </c>
      <c r="I78" s="10"/>
      <c r="J78" s="11"/>
      <c r="K78" s="12"/>
      <c r="L78" s="13"/>
    </row>
    <row r="79" spans="1:12" ht="49.95" customHeight="1">
      <c r="A79" s="26" t="s">
        <v>364</v>
      </c>
      <c r="B79" s="174">
        <v>89408</v>
      </c>
      <c r="C79" s="45" t="s">
        <v>683</v>
      </c>
      <c r="D79" s="37" t="s">
        <v>61</v>
      </c>
      <c r="E79" s="37" t="s">
        <v>276</v>
      </c>
      <c r="F79" s="38">
        <v>7</v>
      </c>
      <c r="G79" s="188">
        <v>9.18</v>
      </c>
      <c r="H79" s="34">
        <f t="shared" si="11"/>
        <v>64.259999999999991</v>
      </c>
      <c r="I79" s="10"/>
      <c r="J79" s="11"/>
      <c r="K79" s="12"/>
      <c r="L79" s="13"/>
    </row>
    <row r="80" spans="1:12" ht="49.95" customHeight="1">
      <c r="A80" s="26" t="s">
        <v>365</v>
      </c>
      <c r="B80" s="174">
        <v>89731</v>
      </c>
      <c r="C80" s="45" t="s">
        <v>684</v>
      </c>
      <c r="D80" s="37" t="s">
        <v>61</v>
      </c>
      <c r="E80" s="37" t="s">
        <v>276</v>
      </c>
      <c r="F80" s="38">
        <v>1</v>
      </c>
      <c r="G80" s="188">
        <v>17.02</v>
      </c>
      <c r="H80" s="34">
        <f t="shared" si="11"/>
        <v>17.02</v>
      </c>
      <c r="I80" s="10"/>
      <c r="J80" s="11"/>
      <c r="K80" s="12"/>
      <c r="L80" s="13"/>
    </row>
    <row r="81" spans="1:12" ht="49.95" customHeight="1">
      <c r="A81" s="26" t="s">
        <v>366</v>
      </c>
      <c r="B81" s="174">
        <v>105189</v>
      </c>
      <c r="C81" s="45" t="s">
        <v>685</v>
      </c>
      <c r="D81" s="37" t="s">
        <v>61</v>
      </c>
      <c r="E81" s="37" t="s">
        <v>276</v>
      </c>
      <c r="F81" s="38">
        <v>1</v>
      </c>
      <c r="G81" s="188">
        <v>22.77</v>
      </c>
      <c r="H81" s="34">
        <f t="shared" si="11"/>
        <v>22.77</v>
      </c>
      <c r="I81" s="10"/>
      <c r="J81" s="11"/>
      <c r="K81" s="12"/>
      <c r="L81" s="13"/>
    </row>
    <row r="82" spans="1:12" ht="49.95" customHeight="1">
      <c r="A82" s="26" t="s">
        <v>367</v>
      </c>
      <c r="B82" s="174">
        <v>89617</v>
      </c>
      <c r="C82" s="45" t="s">
        <v>686</v>
      </c>
      <c r="D82" s="37" t="s">
        <v>61</v>
      </c>
      <c r="E82" s="37" t="s">
        <v>276</v>
      </c>
      <c r="F82" s="38">
        <v>3</v>
      </c>
      <c r="G82" s="188">
        <v>7.9</v>
      </c>
      <c r="H82" s="34">
        <f t="shared" si="11"/>
        <v>23.700000000000003</v>
      </c>
      <c r="I82" s="10"/>
      <c r="J82" s="11"/>
      <c r="K82" s="12"/>
      <c r="L82" s="13"/>
    </row>
    <row r="83" spans="1:12" ht="49.95" customHeight="1">
      <c r="A83" s="26" t="s">
        <v>368</v>
      </c>
      <c r="B83" s="174">
        <v>94694</v>
      </c>
      <c r="C83" s="45" t="s">
        <v>687</v>
      </c>
      <c r="D83" s="37" t="s">
        <v>61</v>
      </c>
      <c r="E83" s="37" t="s">
        <v>276</v>
      </c>
      <c r="F83" s="38">
        <v>1</v>
      </c>
      <c r="G83" s="188">
        <v>24.89</v>
      </c>
      <c r="H83" s="34">
        <f t="shared" si="11"/>
        <v>24.89</v>
      </c>
      <c r="I83" s="10"/>
      <c r="J83" s="11"/>
      <c r="K83" s="12"/>
      <c r="L83" s="13"/>
    </row>
    <row r="84" spans="1:12" ht="49.95" customHeight="1">
      <c r="A84" s="26" t="s">
        <v>369</v>
      </c>
      <c r="B84" s="174">
        <v>89446</v>
      </c>
      <c r="C84" s="45" t="s">
        <v>688</v>
      </c>
      <c r="D84" s="37" t="s">
        <v>61</v>
      </c>
      <c r="E84" s="37" t="s">
        <v>63</v>
      </c>
      <c r="F84" s="38">
        <v>20.260000000000002</v>
      </c>
      <c r="G84" s="188">
        <v>6.09</v>
      </c>
      <c r="H84" s="34">
        <f t="shared" si="11"/>
        <v>123.38340000000001</v>
      </c>
      <c r="I84" s="10"/>
      <c r="J84" s="11"/>
      <c r="K84" s="12"/>
      <c r="L84" s="13"/>
    </row>
    <row r="85" spans="1:12" ht="49.95" customHeight="1">
      <c r="A85" s="26" t="s">
        <v>370</v>
      </c>
      <c r="B85" s="174">
        <v>89449</v>
      </c>
      <c r="C85" s="45" t="s">
        <v>689</v>
      </c>
      <c r="D85" s="37" t="s">
        <v>61</v>
      </c>
      <c r="E85" s="37" t="s">
        <v>63</v>
      </c>
      <c r="F85" s="38">
        <v>3.61</v>
      </c>
      <c r="G85" s="185">
        <v>20.61</v>
      </c>
      <c r="H85" s="34">
        <f t="shared" si="11"/>
        <v>74.40209999999999</v>
      </c>
      <c r="I85" s="10"/>
      <c r="J85" s="11"/>
      <c r="K85" s="12"/>
      <c r="L85" s="13"/>
    </row>
    <row r="86" spans="1:12" ht="20.100000000000001" customHeight="1">
      <c r="A86" s="101" t="s">
        <v>371</v>
      </c>
      <c r="B86" s="154" t="s">
        <v>372</v>
      </c>
      <c r="C86" s="155"/>
      <c r="D86" s="155"/>
      <c r="E86" s="155"/>
      <c r="F86" s="155"/>
      <c r="G86" s="156"/>
      <c r="H86" s="8">
        <f>SUM(H87:H107)</f>
        <v>5307.6832999999997</v>
      </c>
      <c r="I86" s="7"/>
      <c r="J86" s="7"/>
      <c r="K86" s="7"/>
      <c r="L86" s="7"/>
    </row>
    <row r="87" spans="1:12" ht="49.95" customHeight="1">
      <c r="A87" s="17" t="s">
        <v>373</v>
      </c>
      <c r="B87" s="47">
        <v>91914</v>
      </c>
      <c r="C87" s="48" t="s">
        <v>710</v>
      </c>
      <c r="D87" s="30" t="s">
        <v>61</v>
      </c>
      <c r="E87" s="30" t="s">
        <v>276</v>
      </c>
      <c r="F87" s="29">
        <v>2</v>
      </c>
      <c r="G87" s="76">
        <v>18.579999999999998</v>
      </c>
      <c r="H87" s="34">
        <f>F87*G87</f>
        <v>37.159999999999997</v>
      </c>
      <c r="I87" s="10"/>
      <c r="J87" s="10"/>
      <c r="K87" s="10"/>
      <c r="L87" s="10"/>
    </row>
    <row r="88" spans="1:12" ht="49.95" customHeight="1">
      <c r="A88" s="17" t="s">
        <v>374</v>
      </c>
      <c r="B88" s="35">
        <v>91884</v>
      </c>
      <c r="C88" s="49" t="s">
        <v>711</v>
      </c>
      <c r="D88" s="102" t="s">
        <v>61</v>
      </c>
      <c r="E88" s="102" t="s">
        <v>276</v>
      </c>
      <c r="F88" s="33">
        <v>4</v>
      </c>
      <c r="G88" s="34">
        <v>11.97</v>
      </c>
      <c r="H88" s="34">
        <f t="shared" ref="H88:H107" si="12">F88*G88</f>
        <v>47.88</v>
      </c>
      <c r="I88" s="10"/>
      <c r="J88" s="10"/>
      <c r="K88" s="10"/>
      <c r="L88" s="10"/>
    </row>
    <row r="89" spans="1:12" ht="49.95" customHeight="1">
      <c r="A89" s="17" t="s">
        <v>375</v>
      </c>
      <c r="B89" s="176">
        <v>39470</v>
      </c>
      <c r="C89" s="49" t="s">
        <v>692</v>
      </c>
      <c r="D89" s="102" t="s">
        <v>61</v>
      </c>
      <c r="E89" s="102" t="s">
        <v>276</v>
      </c>
      <c r="F89" s="33">
        <v>2</v>
      </c>
      <c r="G89" s="34">
        <v>89.64</v>
      </c>
      <c r="H89" s="34">
        <f t="shared" si="12"/>
        <v>179.28</v>
      </c>
      <c r="I89" s="10"/>
      <c r="J89" s="10"/>
      <c r="K89" s="10"/>
      <c r="L89" s="10"/>
    </row>
    <row r="90" spans="1:12" ht="49.95" customHeight="1">
      <c r="A90" s="17" t="s">
        <v>376</v>
      </c>
      <c r="B90" s="35">
        <v>16</v>
      </c>
      <c r="C90" s="49" t="s">
        <v>693</v>
      </c>
      <c r="D90" s="102" t="s">
        <v>274</v>
      </c>
      <c r="E90" s="102" t="s">
        <v>5</v>
      </c>
      <c r="F90" s="33">
        <v>1</v>
      </c>
      <c r="G90" s="34">
        <v>196.6</v>
      </c>
      <c r="H90" s="34">
        <f t="shared" si="12"/>
        <v>196.6</v>
      </c>
      <c r="I90" s="10"/>
      <c r="J90" s="10"/>
      <c r="K90" s="10"/>
      <c r="L90" s="10"/>
    </row>
    <row r="91" spans="1:12" ht="49.95" customHeight="1">
      <c r="A91" s="17" t="s">
        <v>377</v>
      </c>
      <c r="B91" s="47">
        <v>93653</v>
      </c>
      <c r="C91" s="48" t="s">
        <v>694</v>
      </c>
      <c r="D91" s="30" t="s">
        <v>61</v>
      </c>
      <c r="E91" s="30" t="s">
        <v>276</v>
      </c>
      <c r="F91" s="29">
        <v>1</v>
      </c>
      <c r="G91" s="76">
        <v>12.41</v>
      </c>
      <c r="H91" s="34">
        <f t="shared" si="12"/>
        <v>12.41</v>
      </c>
      <c r="I91" s="10"/>
      <c r="J91" s="10"/>
      <c r="K91" s="10"/>
      <c r="L91" s="10"/>
    </row>
    <row r="92" spans="1:12" ht="49.95" customHeight="1">
      <c r="A92" s="17" t="s">
        <v>378</v>
      </c>
      <c r="B92" s="35">
        <v>93654</v>
      </c>
      <c r="C92" s="49" t="s">
        <v>695</v>
      </c>
      <c r="D92" s="102" t="s">
        <v>61</v>
      </c>
      <c r="E92" s="102" t="s">
        <v>276</v>
      </c>
      <c r="F92" s="33">
        <v>1</v>
      </c>
      <c r="G92" s="34">
        <v>13.12</v>
      </c>
      <c r="H92" s="34">
        <f t="shared" si="12"/>
        <v>13.12</v>
      </c>
      <c r="I92" s="10"/>
      <c r="J92" s="10"/>
      <c r="K92" s="10"/>
      <c r="L92" s="10"/>
    </row>
    <row r="93" spans="1:12" ht="49.95" customHeight="1">
      <c r="A93" s="17" t="s">
        <v>379</v>
      </c>
      <c r="B93" s="35">
        <v>93657</v>
      </c>
      <c r="C93" s="49" t="s">
        <v>696</v>
      </c>
      <c r="D93" s="102" t="s">
        <v>61</v>
      </c>
      <c r="E93" s="102" t="s">
        <v>276</v>
      </c>
      <c r="F93" s="33">
        <v>1</v>
      </c>
      <c r="G93" s="34">
        <v>16.21</v>
      </c>
      <c r="H93" s="34">
        <f t="shared" si="12"/>
        <v>16.21</v>
      </c>
      <c r="I93" s="10"/>
      <c r="J93" s="10"/>
      <c r="K93" s="10"/>
      <c r="L93" s="10"/>
    </row>
    <row r="94" spans="1:12" ht="49.95" customHeight="1">
      <c r="A94" s="17" t="s">
        <v>380</v>
      </c>
      <c r="B94" s="47">
        <v>91953</v>
      </c>
      <c r="C94" s="48" t="s">
        <v>697</v>
      </c>
      <c r="D94" s="30" t="s">
        <v>61</v>
      </c>
      <c r="E94" s="30" t="s">
        <v>276</v>
      </c>
      <c r="F94" s="29">
        <v>1</v>
      </c>
      <c r="G94" s="76">
        <v>32.159999999999997</v>
      </c>
      <c r="H94" s="34">
        <f t="shared" si="12"/>
        <v>32.159999999999997</v>
      </c>
      <c r="I94" s="10"/>
      <c r="J94" s="10"/>
      <c r="K94" s="10"/>
      <c r="L94" s="10"/>
    </row>
    <row r="95" spans="1:12" ht="49.95" customHeight="1">
      <c r="A95" s="17" t="s">
        <v>381</v>
      </c>
      <c r="B95" s="35">
        <v>91967</v>
      </c>
      <c r="C95" s="49" t="s">
        <v>698</v>
      </c>
      <c r="D95" s="102" t="s">
        <v>61</v>
      </c>
      <c r="E95" s="102" t="s">
        <v>276</v>
      </c>
      <c r="F95" s="33">
        <v>1</v>
      </c>
      <c r="G95" s="34">
        <v>65.77</v>
      </c>
      <c r="H95" s="34">
        <f t="shared" si="12"/>
        <v>65.77</v>
      </c>
      <c r="I95" s="10"/>
      <c r="J95" s="10"/>
      <c r="K95" s="10"/>
      <c r="L95" s="10"/>
    </row>
    <row r="96" spans="1:12" ht="49.95" customHeight="1">
      <c r="A96" s="17" t="s">
        <v>382</v>
      </c>
      <c r="B96" s="35">
        <v>101876</v>
      </c>
      <c r="C96" s="49" t="s">
        <v>712</v>
      </c>
      <c r="D96" s="102" t="s">
        <v>61</v>
      </c>
      <c r="E96" s="102" t="s">
        <v>276</v>
      </c>
      <c r="F96" s="33">
        <v>1</v>
      </c>
      <c r="G96" s="34">
        <v>119.29</v>
      </c>
      <c r="H96" s="34">
        <f t="shared" si="12"/>
        <v>119.29</v>
      </c>
      <c r="I96" s="10"/>
      <c r="J96" s="10"/>
      <c r="K96" s="10"/>
      <c r="L96" s="10"/>
    </row>
    <row r="97" spans="1:12" ht="49.95" customHeight="1">
      <c r="A97" s="17" t="s">
        <v>383</v>
      </c>
      <c r="B97" s="35">
        <v>97886</v>
      </c>
      <c r="C97" s="49" t="s">
        <v>699</v>
      </c>
      <c r="D97" s="102" t="s">
        <v>61</v>
      </c>
      <c r="E97" s="102" t="s">
        <v>276</v>
      </c>
      <c r="F97" s="33">
        <v>1</v>
      </c>
      <c r="G97" s="34">
        <v>182.85</v>
      </c>
      <c r="H97" s="34">
        <f t="shared" si="12"/>
        <v>182.85</v>
      </c>
      <c r="I97" s="10"/>
      <c r="J97" s="10"/>
      <c r="K97" s="10"/>
      <c r="L97" s="10"/>
    </row>
    <row r="98" spans="1:12" ht="49.95" customHeight="1">
      <c r="A98" s="17" t="s">
        <v>384</v>
      </c>
      <c r="B98" s="47">
        <v>96985</v>
      </c>
      <c r="C98" s="48" t="s">
        <v>700</v>
      </c>
      <c r="D98" s="30" t="s">
        <v>61</v>
      </c>
      <c r="E98" s="30" t="s">
        <v>276</v>
      </c>
      <c r="F98" s="29">
        <v>1</v>
      </c>
      <c r="G98" s="76">
        <v>99.89</v>
      </c>
      <c r="H98" s="34">
        <f t="shared" si="12"/>
        <v>99.89</v>
      </c>
      <c r="I98" s="10"/>
      <c r="J98" s="10"/>
      <c r="K98" s="10"/>
      <c r="L98" s="10"/>
    </row>
    <row r="99" spans="1:12" ht="49.95" customHeight="1">
      <c r="A99" s="17" t="s">
        <v>385</v>
      </c>
      <c r="B99" s="35">
        <v>17</v>
      </c>
      <c r="C99" s="49" t="s">
        <v>701</v>
      </c>
      <c r="D99" s="102" t="s">
        <v>274</v>
      </c>
      <c r="E99" s="102" t="s">
        <v>5</v>
      </c>
      <c r="F99" s="33">
        <v>1</v>
      </c>
      <c r="G99" s="34">
        <v>71.3</v>
      </c>
      <c r="H99" s="34">
        <f t="shared" si="12"/>
        <v>71.3</v>
      </c>
      <c r="I99" s="10"/>
      <c r="J99" s="10"/>
      <c r="K99" s="10"/>
      <c r="L99" s="10"/>
    </row>
    <row r="100" spans="1:12" ht="49.95" customHeight="1">
      <c r="A100" s="17" t="s">
        <v>386</v>
      </c>
      <c r="B100" s="35">
        <v>91998</v>
      </c>
      <c r="C100" s="49" t="s">
        <v>702</v>
      </c>
      <c r="D100" s="102" t="s">
        <v>61</v>
      </c>
      <c r="E100" s="102" t="s">
        <v>276</v>
      </c>
      <c r="F100" s="33">
        <v>3</v>
      </c>
      <c r="G100" s="34">
        <v>21.88</v>
      </c>
      <c r="H100" s="34">
        <f t="shared" si="12"/>
        <v>65.64</v>
      </c>
      <c r="I100" s="10"/>
      <c r="J100" s="10"/>
      <c r="K100" s="10"/>
      <c r="L100" s="10"/>
    </row>
    <row r="101" spans="1:12" ht="49.95" customHeight="1">
      <c r="A101" s="17" t="s">
        <v>387</v>
      </c>
      <c r="B101" s="35">
        <v>92004</v>
      </c>
      <c r="C101" s="49" t="s">
        <v>703</v>
      </c>
      <c r="D101" s="102" t="s">
        <v>61</v>
      </c>
      <c r="E101" s="102" t="s">
        <v>276</v>
      </c>
      <c r="F101" s="33">
        <v>1</v>
      </c>
      <c r="G101" s="34">
        <v>60.61</v>
      </c>
      <c r="H101" s="34">
        <f t="shared" si="12"/>
        <v>60.61</v>
      </c>
      <c r="I101" s="10"/>
      <c r="J101" s="10"/>
      <c r="K101" s="10"/>
      <c r="L101" s="10"/>
    </row>
    <row r="102" spans="1:12" ht="49.95" customHeight="1">
      <c r="A102" s="17" t="s">
        <v>388</v>
      </c>
      <c r="B102" s="47">
        <v>91931</v>
      </c>
      <c r="C102" s="48" t="s">
        <v>704</v>
      </c>
      <c r="D102" s="30" t="s">
        <v>61</v>
      </c>
      <c r="E102" s="30" t="s">
        <v>63</v>
      </c>
      <c r="F102" s="29">
        <v>127.8</v>
      </c>
      <c r="G102" s="76">
        <v>13.01</v>
      </c>
      <c r="H102" s="34">
        <f>F102*G102-0.01</f>
        <v>1662.6679999999999</v>
      </c>
      <c r="I102" s="10"/>
      <c r="J102" s="10"/>
      <c r="K102" s="10"/>
      <c r="L102" s="10"/>
    </row>
    <row r="103" spans="1:12" ht="49.95" customHeight="1">
      <c r="A103" s="17" t="s">
        <v>389</v>
      </c>
      <c r="B103" s="35">
        <v>91924</v>
      </c>
      <c r="C103" s="49" t="s">
        <v>705</v>
      </c>
      <c r="D103" s="102" t="s">
        <v>61</v>
      </c>
      <c r="E103" s="102" t="s">
        <v>63</v>
      </c>
      <c r="F103" s="33">
        <v>111.6</v>
      </c>
      <c r="G103" s="34">
        <v>3.72</v>
      </c>
      <c r="H103" s="34">
        <f t="shared" si="12"/>
        <v>415.15199999999999</v>
      </c>
      <c r="I103" s="10"/>
      <c r="J103" s="10"/>
      <c r="K103" s="10"/>
      <c r="L103" s="10"/>
    </row>
    <row r="104" spans="1:12" ht="49.95" customHeight="1">
      <c r="A104" s="17" t="s">
        <v>390</v>
      </c>
      <c r="B104" s="35">
        <v>91926</v>
      </c>
      <c r="C104" s="49" t="s">
        <v>706</v>
      </c>
      <c r="D104" s="102" t="s">
        <v>61</v>
      </c>
      <c r="E104" s="102" t="s">
        <v>63</v>
      </c>
      <c r="F104" s="33">
        <v>27.2</v>
      </c>
      <c r="G104" s="34">
        <v>5.47</v>
      </c>
      <c r="H104" s="34">
        <f t="shared" si="12"/>
        <v>148.78399999999999</v>
      </c>
      <c r="I104" s="10"/>
      <c r="J104" s="10"/>
      <c r="K104" s="10"/>
      <c r="L104" s="10"/>
    </row>
    <row r="105" spans="1:12" ht="49.95" customHeight="1">
      <c r="A105" s="17" t="s">
        <v>391</v>
      </c>
      <c r="B105" s="35">
        <v>23</v>
      </c>
      <c r="C105" s="49" t="s">
        <v>707</v>
      </c>
      <c r="D105" s="102" t="s">
        <v>274</v>
      </c>
      <c r="E105" s="102" t="s">
        <v>63</v>
      </c>
      <c r="F105" s="33">
        <v>38.76</v>
      </c>
      <c r="G105" s="34">
        <v>26.17</v>
      </c>
      <c r="H105" s="34">
        <f>F105*G105-0.01</f>
        <v>1014.3392</v>
      </c>
      <c r="I105" s="10"/>
      <c r="J105" s="10"/>
      <c r="K105" s="10"/>
      <c r="L105" s="10"/>
    </row>
    <row r="106" spans="1:12" ht="49.95" customHeight="1">
      <c r="A106" s="17" t="s">
        <v>392</v>
      </c>
      <c r="B106" s="47">
        <v>95727</v>
      </c>
      <c r="C106" s="48" t="s">
        <v>708</v>
      </c>
      <c r="D106" s="30" t="s">
        <v>61</v>
      </c>
      <c r="E106" s="30" t="s">
        <v>63</v>
      </c>
      <c r="F106" s="29">
        <v>28.53</v>
      </c>
      <c r="G106" s="76">
        <v>22.3</v>
      </c>
      <c r="H106" s="34">
        <f>F106*G106-0.01</f>
        <v>636.20900000000006</v>
      </c>
      <c r="I106" s="10"/>
      <c r="J106" s="10"/>
      <c r="K106" s="10"/>
      <c r="L106" s="10"/>
    </row>
    <row r="107" spans="1:12" ht="49.95" customHeight="1">
      <c r="A107" s="17" t="s">
        <v>393</v>
      </c>
      <c r="B107" s="35">
        <v>91854</v>
      </c>
      <c r="C107" s="49" t="s">
        <v>709</v>
      </c>
      <c r="D107" s="102" t="s">
        <v>61</v>
      </c>
      <c r="E107" s="102" t="s">
        <v>63</v>
      </c>
      <c r="F107" s="33">
        <v>21.31</v>
      </c>
      <c r="G107" s="34">
        <v>10.81</v>
      </c>
      <c r="H107" s="34">
        <f t="shared" si="12"/>
        <v>230.36109999999999</v>
      </c>
      <c r="I107" s="10"/>
      <c r="J107" s="10"/>
      <c r="K107" s="10"/>
      <c r="L107" s="10"/>
    </row>
    <row r="108" spans="1:12" ht="20.100000000000001" customHeight="1">
      <c r="A108" s="101" t="s">
        <v>394</v>
      </c>
      <c r="B108" s="160" t="s">
        <v>395</v>
      </c>
      <c r="C108" s="161"/>
      <c r="D108" s="161"/>
      <c r="E108" s="161"/>
      <c r="F108" s="161"/>
      <c r="G108" s="162"/>
      <c r="H108" s="8">
        <f>SUM(H109:H129)</f>
        <v>5471.0644000000002</v>
      </c>
      <c r="I108" s="7"/>
      <c r="J108" s="7"/>
      <c r="K108" s="7"/>
      <c r="L108" s="7"/>
    </row>
    <row r="109" spans="1:12" ht="49.95" customHeight="1">
      <c r="A109" s="17" t="s">
        <v>396</v>
      </c>
      <c r="B109" s="50">
        <v>98062</v>
      </c>
      <c r="C109" s="46" t="s">
        <v>714</v>
      </c>
      <c r="D109" s="40" t="s">
        <v>61</v>
      </c>
      <c r="E109" s="40" t="s">
        <v>276</v>
      </c>
      <c r="F109" s="41">
        <v>1</v>
      </c>
      <c r="G109" s="62">
        <v>3778.29</v>
      </c>
      <c r="H109" s="34">
        <f>F109*G109</f>
        <v>3778.29</v>
      </c>
      <c r="I109" s="10"/>
      <c r="J109" s="10"/>
      <c r="K109" s="10"/>
      <c r="L109" s="10"/>
    </row>
    <row r="110" spans="1:12" ht="49.95" customHeight="1">
      <c r="A110" s="17" t="s">
        <v>397</v>
      </c>
      <c r="B110" s="50">
        <v>104084</v>
      </c>
      <c r="C110" s="46" t="s">
        <v>730</v>
      </c>
      <c r="D110" s="40" t="s">
        <v>61</v>
      </c>
      <c r="E110" s="40" t="s">
        <v>276</v>
      </c>
      <c r="F110" s="41">
        <v>1</v>
      </c>
      <c r="G110" s="62">
        <v>91.1</v>
      </c>
      <c r="H110" s="34">
        <f t="shared" ref="H110:H129" si="13">F110*G110</f>
        <v>91.1</v>
      </c>
      <c r="I110" s="10"/>
      <c r="J110" s="10"/>
      <c r="K110" s="10"/>
      <c r="L110" s="10"/>
    </row>
    <row r="111" spans="1:12" ht="49.95" customHeight="1">
      <c r="A111" s="17" t="s">
        <v>398</v>
      </c>
      <c r="B111" s="50">
        <v>104065</v>
      </c>
      <c r="C111" s="46" t="s">
        <v>715</v>
      </c>
      <c r="D111" s="40" t="s">
        <v>61</v>
      </c>
      <c r="E111" s="40" t="s">
        <v>276</v>
      </c>
      <c r="F111" s="41">
        <v>1</v>
      </c>
      <c r="G111" s="62">
        <v>161.43</v>
      </c>
      <c r="H111" s="34">
        <f t="shared" si="13"/>
        <v>161.43</v>
      </c>
      <c r="I111" s="10"/>
      <c r="J111" s="10"/>
      <c r="K111" s="10"/>
      <c r="L111" s="10"/>
    </row>
    <row r="112" spans="1:12" ht="49.95" customHeight="1">
      <c r="A112" s="17" t="s">
        <v>399</v>
      </c>
      <c r="B112" s="50">
        <v>89733</v>
      </c>
      <c r="C112" s="46" t="s">
        <v>716</v>
      </c>
      <c r="D112" s="40" t="s">
        <v>61</v>
      </c>
      <c r="E112" s="40" t="s">
        <v>276</v>
      </c>
      <c r="F112" s="41">
        <v>2</v>
      </c>
      <c r="G112" s="62">
        <v>26.18</v>
      </c>
      <c r="H112" s="34">
        <f t="shared" si="13"/>
        <v>52.36</v>
      </c>
      <c r="I112" s="10"/>
      <c r="J112" s="10"/>
      <c r="K112" s="10"/>
      <c r="L112" s="10"/>
    </row>
    <row r="113" spans="1:12" ht="49.95" customHeight="1">
      <c r="A113" s="17" t="s">
        <v>400</v>
      </c>
      <c r="B113" s="50">
        <v>89726</v>
      </c>
      <c r="C113" s="46" t="s">
        <v>717</v>
      </c>
      <c r="D113" s="40" t="s">
        <v>61</v>
      </c>
      <c r="E113" s="40" t="s">
        <v>276</v>
      </c>
      <c r="F113" s="41">
        <v>3</v>
      </c>
      <c r="G113" s="62">
        <v>10.95</v>
      </c>
      <c r="H113" s="34">
        <f t="shared" si="13"/>
        <v>32.849999999999994</v>
      </c>
      <c r="I113" s="10"/>
      <c r="J113" s="10"/>
      <c r="K113" s="10"/>
      <c r="L113" s="10"/>
    </row>
    <row r="114" spans="1:12" ht="49.95" customHeight="1">
      <c r="A114" s="17" t="s">
        <v>401</v>
      </c>
      <c r="B114" s="50">
        <v>89732</v>
      </c>
      <c r="C114" s="46" t="s">
        <v>718</v>
      </c>
      <c r="D114" s="40" t="s">
        <v>61</v>
      </c>
      <c r="E114" s="40" t="s">
        <v>276</v>
      </c>
      <c r="F114" s="41">
        <v>5</v>
      </c>
      <c r="G114" s="62">
        <v>17.82</v>
      </c>
      <c r="H114" s="34">
        <f t="shared" si="13"/>
        <v>89.1</v>
      </c>
      <c r="I114" s="10"/>
      <c r="J114" s="10"/>
      <c r="K114" s="10"/>
      <c r="L114" s="10"/>
    </row>
    <row r="115" spans="1:12" ht="49.95" customHeight="1">
      <c r="A115" s="17" t="s">
        <v>402</v>
      </c>
      <c r="B115" s="50">
        <v>89724</v>
      </c>
      <c r="C115" s="46" t="s">
        <v>719</v>
      </c>
      <c r="D115" s="40" t="s">
        <v>61</v>
      </c>
      <c r="E115" s="40" t="s">
        <v>276</v>
      </c>
      <c r="F115" s="41">
        <v>2</v>
      </c>
      <c r="G115" s="62">
        <v>10.7</v>
      </c>
      <c r="H115" s="34">
        <f t="shared" si="13"/>
        <v>21.4</v>
      </c>
      <c r="I115" s="10"/>
      <c r="J115" s="10"/>
      <c r="K115" s="10"/>
      <c r="L115" s="10"/>
    </row>
    <row r="116" spans="1:12" ht="49.95" customHeight="1">
      <c r="A116" s="17" t="s">
        <v>403</v>
      </c>
      <c r="B116" s="50">
        <v>89731</v>
      </c>
      <c r="C116" s="46" t="s">
        <v>684</v>
      </c>
      <c r="D116" s="40" t="s">
        <v>61</v>
      </c>
      <c r="E116" s="40" t="s">
        <v>276</v>
      </c>
      <c r="F116" s="41">
        <v>8</v>
      </c>
      <c r="G116" s="62">
        <v>17.02</v>
      </c>
      <c r="H116" s="34">
        <f t="shared" si="13"/>
        <v>136.16</v>
      </c>
      <c r="I116" s="10"/>
      <c r="J116" s="10"/>
      <c r="K116" s="10"/>
      <c r="L116" s="10"/>
    </row>
    <row r="117" spans="1:12" ht="49.95" customHeight="1">
      <c r="A117" s="17" t="s">
        <v>404</v>
      </c>
      <c r="B117" s="50">
        <v>89744</v>
      </c>
      <c r="C117" s="46" t="s">
        <v>720</v>
      </c>
      <c r="D117" s="40" t="s">
        <v>61</v>
      </c>
      <c r="E117" s="40" t="s">
        <v>276</v>
      </c>
      <c r="F117" s="41">
        <v>1</v>
      </c>
      <c r="G117" s="62">
        <v>31.13</v>
      </c>
      <c r="H117" s="34">
        <f t="shared" si="13"/>
        <v>31.13</v>
      </c>
      <c r="I117" s="10"/>
      <c r="J117" s="10"/>
      <c r="K117" s="10"/>
      <c r="L117" s="10"/>
    </row>
    <row r="118" spans="1:12" ht="49.95" customHeight="1">
      <c r="A118" s="17" t="s">
        <v>405</v>
      </c>
      <c r="B118" s="50">
        <v>89785</v>
      </c>
      <c r="C118" s="46" t="s">
        <v>721</v>
      </c>
      <c r="D118" s="40" t="s">
        <v>61</v>
      </c>
      <c r="E118" s="40" t="s">
        <v>276</v>
      </c>
      <c r="F118" s="41">
        <v>1</v>
      </c>
      <c r="G118" s="62">
        <v>30.01</v>
      </c>
      <c r="H118" s="34">
        <f t="shared" si="13"/>
        <v>30.01</v>
      </c>
      <c r="I118" s="10"/>
      <c r="J118" s="10"/>
      <c r="K118" s="10"/>
      <c r="L118" s="10"/>
    </row>
    <row r="119" spans="1:12" ht="49.95" customHeight="1">
      <c r="A119" s="17" t="s">
        <v>406</v>
      </c>
      <c r="B119" s="50">
        <v>104353</v>
      </c>
      <c r="C119" s="46" t="s">
        <v>722</v>
      </c>
      <c r="D119" s="40" t="s">
        <v>61</v>
      </c>
      <c r="E119" s="40" t="s">
        <v>276</v>
      </c>
      <c r="F119" s="41">
        <v>1</v>
      </c>
      <c r="G119" s="62">
        <v>46.81</v>
      </c>
      <c r="H119" s="34">
        <f t="shared" si="13"/>
        <v>46.81</v>
      </c>
      <c r="I119" s="10"/>
      <c r="J119" s="10"/>
      <c r="K119" s="10"/>
      <c r="L119" s="10"/>
    </row>
    <row r="120" spans="1:12" ht="49.95" customHeight="1">
      <c r="A120" s="17" t="s">
        <v>407</v>
      </c>
      <c r="B120" s="50">
        <v>104348</v>
      </c>
      <c r="C120" s="46" t="s">
        <v>723</v>
      </c>
      <c r="D120" s="40" t="s">
        <v>61</v>
      </c>
      <c r="E120" s="40" t="s">
        <v>276</v>
      </c>
      <c r="F120" s="41">
        <v>1</v>
      </c>
      <c r="G120" s="62">
        <v>11.64</v>
      </c>
      <c r="H120" s="34">
        <f t="shared" si="13"/>
        <v>11.64</v>
      </c>
      <c r="I120" s="10"/>
      <c r="J120" s="10"/>
      <c r="K120" s="10"/>
      <c r="L120" s="10"/>
    </row>
    <row r="121" spans="1:12" ht="49.95" customHeight="1">
      <c r="A121" s="17" t="s">
        <v>408</v>
      </c>
      <c r="B121" s="50">
        <v>89796</v>
      </c>
      <c r="C121" s="46" t="s">
        <v>724</v>
      </c>
      <c r="D121" s="40" t="s">
        <v>61</v>
      </c>
      <c r="E121" s="40" t="s">
        <v>276</v>
      </c>
      <c r="F121" s="41">
        <v>2</v>
      </c>
      <c r="G121" s="62">
        <v>48.82</v>
      </c>
      <c r="H121" s="34">
        <f t="shared" si="13"/>
        <v>97.64</v>
      </c>
      <c r="I121" s="10"/>
      <c r="J121" s="10"/>
      <c r="K121" s="10"/>
      <c r="L121" s="10"/>
    </row>
    <row r="122" spans="1:12" ht="49.95" customHeight="1">
      <c r="A122" s="17" t="s">
        <v>409</v>
      </c>
      <c r="B122" s="177">
        <v>20181</v>
      </c>
      <c r="C122" s="46" t="s">
        <v>725</v>
      </c>
      <c r="D122" s="40" t="s">
        <v>61</v>
      </c>
      <c r="E122" s="40" t="s">
        <v>276</v>
      </c>
      <c r="F122" s="41">
        <v>1</v>
      </c>
      <c r="G122" s="62">
        <v>125.71</v>
      </c>
      <c r="H122" s="34">
        <f t="shared" si="13"/>
        <v>125.71</v>
      </c>
      <c r="I122" s="10"/>
      <c r="J122" s="10"/>
      <c r="K122" s="10"/>
      <c r="L122" s="10"/>
    </row>
    <row r="123" spans="1:12" ht="49.95" customHeight="1">
      <c r="A123" s="17" t="s">
        <v>410</v>
      </c>
      <c r="B123" s="50">
        <v>104329</v>
      </c>
      <c r="C123" s="46" t="s">
        <v>726</v>
      </c>
      <c r="D123" s="40" t="s">
        <v>61</v>
      </c>
      <c r="E123" s="40" t="s">
        <v>276</v>
      </c>
      <c r="F123" s="41">
        <v>1</v>
      </c>
      <c r="G123" s="62">
        <v>77.48</v>
      </c>
      <c r="H123" s="34">
        <f t="shared" si="13"/>
        <v>77.48</v>
      </c>
      <c r="I123" s="10"/>
      <c r="J123" s="10"/>
      <c r="K123" s="10"/>
      <c r="L123" s="10"/>
    </row>
    <row r="124" spans="1:12" ht="49.95" customHeight="1">
      <c r="A124" s="17" t="s">
        <v>411</v>
      </c>
      <c r="B124" s="177">
        <v>6138</v>
      </c>
      <c r="C124" s="46" t="s">
        <v>727</v>
      </c>
      <c r="D124" s="40" t="s">
        <v>61</v>
      </c>
      <c r="E124" s="40" t="s">
        <v>276</v>
      </c>
      <c r="F124" s="41">
        <v>2</v>
      </c>
      <c r="G124" s="62">
        <v>10.67</v>
      </c>
      <c r="H124" s="34">
        <f t="shared" si="13"/>
        <v>21.34</v>
      </c>
      <c r="I124" s="10"/>
      <c r="J124" s="10"/>
      <c r="K124" s="10"/>
      <c r="L124" s="10"/>
    </row>
    <row r="125" spans="1:12" ht="49.95" customHeight="1">
      <c r="A125" s="17" t="s">
        <v>412</v>
      </c>
      <c r="B125" s="50">
        <v>89711</v>
      </c>
      <c r="C125" s="46" t="s">
        <v>731</v>
      </c>
      <c r="D125" s="40" t="s">
        <v>61</v>
      </c>
      <c r="E125" s="40" t="s">
        <v>63</v>
      </c>
      <c r="F125" s="41">
        <v>1.97</v>
      </c>
      <c r="G125" s="62">
        <v>23.31</v>
      </c>
      <c r="H125" s="34">
        <f t="shared" si="13"/>
        <v>45.920699999999997</v>
      </c>
      <c r="I125" s="10"/>
      <c r="J125" s="10"/>
      <c r="K125" s="10"/>
      <c r="L125" s="10"/>
    </row>
    <row r="126" spans="1:12" ht="49.95" customHeight="1">
      <c r="A126" s="17" t="s">
        <v>413</v>
      </c>
      <c r="B126" s="50">
        <v>89712</v>
      </c>
      <c r="C126" s="46" t="s">
        <v>732</v>
      </c>
      <c r="D126" s="40" t="s">
        <v>61</v>
      </c>
      <c r="E126" s="40" t="s">
        <v>63</v>
      </c>
      <c r="F126" s="41">
        <v>7.86</v>
      </c>
      <c r="G126" s="62">
        <v>29.55</v>
      </c>
      <c r="H126" s="34">
        <f t="shared" si="13"/>
        <v>232.26300000000001</v>
      </c>
      <c r="I126" s="10"/>
      <c r="J126" s="10"/>
      <c r="K126" s="10"/>
      <c r="L126" s="10"/>
    </row>
    <row r="127" spans="1:12" ht="49.95" customHeight="1">
      <c r="A127" s="17" t="s">
        <v>414</v>
      </c>
      <c r="B127" s="50">
        <v>89713</v>
      </c>
      <c r="C127" s="46" t="s">
        <v>733</v>
      </c>
      <c r="D127" s="40" t="s">
        <v>61</v>
      </c>
      <c r="E127" s="40" t="s">
        <v>63</v>
      </c>
      <c r="F127" s="41">
        <v>0.47</v>
      </c>
      <c r="G127" s="62">
        <v>36.79</v>
      </c>
      <c r="H127" s="34">
        <f t="shared" si="13"/>
        <v>17.2913</v>
      </c>
      <c r="I127" s="10"/>
      <c r="J127" s="10"/>
      <c r="K127" s="10"/>
      <c r="L127" s="10"/>
    </row>
    <row r="128" spans="1:12" ht="49.95" customHeight="1">
      <c r="A128" s="17" t="s">
        <v>415</v>
      </c>
      <c r="B128" s="50">
        <v>89714</v>
      </c>
      <c r="C128" s="46" t="s">
        <v>734</v>
      </c>
      <c r="D128" s="40" t="s">
        <v>61</v>
      </c>
      <c r="E128" s="40" t="s">
        <v>63</v>
      </c>
      <c r="F128" s="41">
        <v>1.83</v>
      </c>
      <c r="G128" s="62">
        <v>41.13</v>
      </c>
      <c r="H128" s="34">
        <f>F128*G128-0.01</f>
        <v>75.257900000000006</v>
      </c>
      <c r="I128" s="10"/>
      <c r="J128" s="10"/>
      <c r="K128" s="10"/>
      <c r="L128" s="10"/>
    </row>
    <row r="129" spans="1:12" ht="49.95" customHeight="1">
      <c r="A129" s="17" t="s">
        <v>416</v>
      </c>
      <c r="B129" s="50">
        <v>19</v>
      </c>
      <c r="C129" s="46" t="s">
        <v>735</v>
      </c>
      <c r="D129" s="40" t="s">
        <v>274</v>
      </c>
      <c r="E129" s="40" t="s">
        <v>63</v>
      </c>
      <c r="F129" s="41">
        <v>4.3099999999999996</v>
      </c>
      <c r="G129" s="62">
        <v>68.650000000000006</v>
      </c>
      <c r="H129" s="34">
        <f t="shared" si="13"/>
        <v>295.88150000000002</v>
      </c>
      <c r="I129" s="10"/>
      <c r="J129" s="10"/>
      <c r="K129" s="10"/>
      <c r="L129" s="10"/>
    </row>
    <row r="130" spans="1:12" ht="20.100000000000001" customHeight="1">
      <c r="A130" s="101" t="s">
        <v>417</v>
      </c>
      <c r="B130" s="154" t="s">
        <v>21</v>
      </c>
      <c r="C130" s="155"/>
      <c r="D130" s="155"/>
      <c r="E130" s="155"/>
      <c r="F130" s="155"/>
      <c r="G130" s="156"/>
      <c r="H130" s="8">
        <f>SUM(H131:H136)</f>
        <v>27189.414199999999</v>
      </c>
      <c r="I130" s="7"/>
      <c r="J130" s="7"/>
      <c r="K130" s="7"/>
      <c r="L130" s="7"/>
    </row>
    <row r="131" spans="1:12" ht="49.95" customHeight="1">
      <c r="A131" s="17" t="s">
        <v>418</v>
      </c>
      <c r="B131" s="50">
        <v>94204</v>
      </c>
      <c r="C131" s="46" t="s">
        <v>736</v>
      </c>
      <c r="D131" s="40" t="s">
        <v>61</v>
      </c>
      <c r="E131" s="40" t="s">
        <v>273</v>
      </c>
      <c r="F131" s="41">
        <v>98.46</v>
      </c>
      <c r="G131" s="62">
        <v>52.95</v>
      </c>
      <c r="H131" s="34">
        <f>F131*G131-0.01</f>
        <v>5213.4470000000001</v>
      </c>
      <c r="I131" s="10"/>
      <c r="J131" s="10"/>
      <c r="K131" s="10"/>
      <c r="L131" s="10"/>
    </row>
    <row r="132" spans="1:12" ht="49.95" customHeight="1">
      <c r="A132" s="17" t="s">
        <v>419</v>
      </c>
      <c r="B132" s="50">
        <v>92540</v>
      </c>
      <c r="C132" s="46" t="s">
        <v>737</v>
      </c>
      <c r="D132" s="40" t="s">
        <v>61</v>
      </c>
      <c r="E132" s="40" t="s">
        <v>273</v>
      </c>
      <c r="F132" s="41">
        <v>98.46</v>
      </c>
      <c r="G132" s="62">
        <v>92.74</v>
      </c>
      <c r="H132" s="34">
        <f t="shared" ref="H132:H136" si="14">F132*G132</f>
        <v>9131.1803999999993</v>
      </c>
      <c r="I132" s="10"/>
      <c r="J132" s="10"/>
      <c r="K132" s="10"/>
      <c r="L132" s="10"/>
    </row>
    <row r="133" spans="1:12" ht="49.95" customHeight="1">
      <c r="A133" s="17" t="s">
        <v>420</v>
      </c>
      <c r="B133" s="50">
        <v>100357</v>
      </c>
      <c r="C133" s="46" t="s">
        <v>738</v>
      </c>
      <c r="D133" s="40" t="s">
        <v>61</v>
      </c>
      <c r="E133" s="40" t="s">
        <v>276</v>
      </c>
      <c r="F133" s="41">
        <v>4</v>
      </c>
      <c r="G133" s="62">
        <v>1159.1500000000001</v>
      </c>
      <c r="H133" s="34">
        <f t="shared" si="14"/>
        <v>4636.6000000000004</v>
      </c>
      <c r="I133" s="10"/>
      <c r="J133" s="10"/>
      <c r="K133" s="10"/>
      <c r="L133" s="10"/>
    </row>
    <row r="134" spans="1:12" ht="49.95" customHeight="1">
      <c r="A134" s="17" t="s">
        <v>421</v>
      </c>
      <c r="B134" s="50">
        <v>100358</v>
      </c>
      <c r="C134" s="46" t="s">
        <v>739</v>
      </c>
      <c r="D134" s="40" t="s">
        <v>61</v>
      </c>
      <c r="E134" s="40" t="s">
        <v>276</v>
      </c>
      <c r="F134" s="41">
        <v>4</v>
      </c>
      <c r="G134" s="62">
        <v>1568.57</v>
      </c>
      <c r="H134" s="34">
        <f t="shared" si="14"/>
        <v>6274.28</v>
      </c>
      <c r="I134" s="10"/>
      <c r="J134" s="10"/>
      <c r="K134" s="10"/>
      <c r="L134" s="10"/>
    </row>
    <row r="135" spans="1:12" ht="49.95" customHeight="1">
      <c r="A135" s="17" t="s">
        <v>422</v>
      </c>
      <c r="B135" s="50">
        <v>102233</v>
      </c>
      <c r="C135" s="46" t="s">
        <v>740</v>
      </c>
      <c r="D135" s="40" t="s">
        <v>61</v>
      </c>
      <c r="E135" s="40" t="s">
        <v>273</v>
      </c>
      <c r="F135" s="41">
        <v>24.62</v>
      </c>
      <c r="G135" s="62">
        <v>13.54</v>
      </c>
      <c r="H135" s="34">
        <f t="shared" si="14"/>
        <v>333.35480000000001</v>
      </c>
      <c r="I135" s="10"/>
      <c r="J135" s="10"/>
      <c r="K135" s="10"/>
      <c r="L135" s="10"/>
    </row>
    <row r="136" spans="1:12" ht="49.95" customHeight="1">
      <c r="A136" s="17" t="s">
        <v>423</v>
      </c>
      <c r="B136" s="50">
        <v>94219</v>
      </c>
      <c r="C136" s="46" t="s">
        <v>741</v>
      </c>
      <c r="D136" s="40" t="s">
        <v>61</v>
      </c>
      <c r="E136" s="40" t="s">
        <v>63</v>
      </c>
      <c r="F136" s="41">
        <v>47.2</v>
      </c>
      <c r="G136" s="62">
        <v>33.909999999999997</v>
      </c>
      <c r="H136" s="34">
        <f t="shared" si="14"/>
        <v>1600.5519999999999</v>
      </c>
      <c r="I136" s="10"/>
      <c r="J136" s="10"/>
      <c r="K136" s="10"/>
      <c r="L136" s="10"/>
    </row>
    <row r="137" spans="1:12" ht="20.100000000000001" customHeight="1">
      <c r="A137" s="101" t="s">
        <v>424</v>
      </c>
      <c r="B137" s="157" t="s">
        <v>234</v>
      </c>
      <c r="C137" s="158"/>
      <c r="D137" s="158"/>
      <c r="E137" s="158"/>
      <c r="F137" s="158"/>
      <c r="G137" s="159"/>
      <c r="H137" s="8">
        <f>SUM(H138:H140)</f>
        <v>1292.7819999999999</v>
      </c>
      <c r="I137" s="7"/>
      <c r="J137" s="7"/>
      <c r="K137" s="7"/>
      <c r="L137" s="7"/>
    </row>
    <row r="138" spans="1:12" ht="49.95" customHeight="1">
      <c r="A138" s="17" t="s">
        <v>425</v>
      </c>
      <c r="B138" s="171">
        <v>90822</v>
      </c>
      <c r="C138" s="36" t="s">
        <v>742</v>
      </c>
      <c r="D138" s="102" t="s">
        <v>61</v>
      </c>
      <c r="E138" s="102" t="s">
        <v>276</v>
      </c>
      <c r="F138" s="33">
        <v>2</v>
      </c>
      <c r="G138" s="34">
        <v>443.77</v>
      </c>
      <c r="H138" s="34">
        <f>F138*G138</f>
        <v>887.54</v>
      </c>
      <c r="I138" s="10"/>
      <c r="J138" s="10"/>
      <c r="K138" s="10"/>
      <c r="L138" s="10"/>
    </row>
    <row r="139" spans="1:12" ht="49.95" customHeight="1">
      <c r="A139" s="17" t="s">
        <v>426</v>
      </c>
      <c r="B139" s="171">
        <v>101162</v>
      </c>
      <c r="C139" s="36" t="s">
        <v>743</v>
      </c>
      <c r="D139" s="102" t="s">
        <v>61</v>
      </c>
      <c r="E139" s="102" t="s">
        <v>273</v>
      </c>
      <c r="F139" s="33">
        <v>0.2</v>
      </c>
      <c r="G139" s="34">
        <v>172.11</v>
      </c>
      <c r="H139" s="34">
        <f t="shared" ref="H139:H140" si="15">F139*G139</f>
        <v>34.422000000000004</v>
      </c>
      <c r="I139" s="10"/>
      <c r="J139" s="10"/>
      <c r="K139" s="10"/>
      <c r="L139" s="10"/>
    </row>
    <row r="140" spans="1:12" ht="49.95" customHeight="1">
      <c r="A140" s="17" t="s">
        <v>427</v>
      </c>
      <c r="B140" s="171">
        <v>90830</v>
      </c>
      <c r="C140" s="36" t="s">
        <v>744</v>
      </c>
      <c r="D140" s="102" t="s">
        <v>61</v>
      </c>
      <c r="E140" s="102" t="s">
        <v>276</v>
      </c>
      <c r="F140" s="33">
        <v>2</v>
      </c>
      <c r="G140" s="34">
        <v>185.41</v>
      </c>
      <c r="H140" s="34">
        <f t="shared" si="15"/>
        <v>370.82</v>
      </c>
      <c r="I140" s="10"/>
      <c r="J140" s="10"/>
      <c r="K140" s="10"/>
      <c r="L140" s="10"/>
    </row>
    <row r="141" spans="1:12" ht="19.5" customHeight="1">
      <c r="A141" s="101">
        <v>3</v>
      </c>
      <c r="B141" s="106" t="s">
        <v>428</v>
      </c>
      <c r="C141" s="106"/>
      <c r="D141" s="106"/>
      <c r="E141" s="106"/>
      <c r="F141" s="106"/>
      <c r="G141" s="106"/>
      <c r="H141" s="8">
        <f>SUM(H142,H144,H147,H158,H169,H173,H181,H186,H190,H256,H262)+0.02</f>
        <v>48294.647399999994</v>
      </c>
      <c r="I141" s="7"/>
      <c r="J141" s="7"/>
      <c r="K141" s="7"/>
      <c r="L141" s="7"/>
    </row>
    <row r="142" spans="1:12" ht="19.5" customHeight="1">
      <c r="A142" s="5" t="s">
        <v>19</v>
      </c>
      <c r="B142" s="106" t="s">
        <v>12</v>
      </c>
      <c r="C142" s="106"/>
      <c r="D142" s="106"/>
      <c r="E142" s="106"/>
      <c r="F142" s="106"/>
      <c r="G142" s="106"/>
      <c r="H142" s="8">
        <f>SUM(H143)</f>
        <v>1054.568</v>
      </c>
      <c r="I142" s="7"/>
      <c r="J142" s="7"/>
      <c r="K142" s="7"/>
      <c r="L142" s="7"/>
    </row>
    <row r="143" spans="1:12" ht="49.95" customHeight="1">
      <c r="A143" s="17" t="s">
        <v>69</v>
      </c>
      <c r="B143" s="35">
        <v>99059</v>
      </c>
      <c r="C143" s="36" t="s">
        <v>297</v>
      </c>
      <c r="D143" s="32" t="s">
        <v>61</v>
      </c>
      <c r="E143" s="32" t="s">
        <v>63</v>
      </c>
      <c r="F143" s="33">
        <v>14.7</v>
      </c>
      <c r="G143" s="34">
        <v>71.739999999999995</v>
      </c>
      <c r="H143" s="34">
        <f>F143*G143-0.01</f>
        <v>1054.568</v>
      </c>
      <c r="I143" s="10"/>
      <c r="J143" s="193">
        <f t="shared" ref="J143:J168" si="16">K143/F143</f>
        <v>1</v>
      </c>
      <c r="K143" s="33">
        <v>14.7</v>
      </c>
      <c r="L143" s="197">
        <f t="shared" ref="L143" si="17">J143*H143</f>
        <v>1054.568</v>
      </c>
    </row>
    <row r="144" spans="1:12" ht="19.2" customHeight="1">
      <c r="A144" s="101" t="s">
        <v>20</v>
      </c>
      <c r="B144" s="106" t="s">
        <v>41</v>
      </c>
      <c r="C144" s="106"/>
      <c r="D144" s="106"/>
      <c r="E144" s="106"/>
      <c r="F144" s="106"/>
      <c r="G144" s="106"/>
      <c r="H144" s="8">
        <f>SUM(H145:H146)</f>
        <v>438.90919999999994</v>
      </c>
      <c r="I144" s="7"/>
      <c r="J144" s="7"/>
      <c r="K144" s="7"/>
      <c r="L144" s="7"/>
    </row>
    <row r="145" spans="1:12" ht="49.95" customHeight="1">
      <c r="A145" s="17" t="s">
        <v>83</v>
      </c>
      <c r="B145" s="35">
        <v>93358</v>
      </c>
      <c r="C145" s="36" t="s">
        <v>629</v>
      </c>
      <c r="D145" s="32" t="s">
        <v>61</v>
      </c>
      <c r="E145" s="32" t="s">
        <v>275</v>
      </c>
      <c r="F145" s="33">
        <v>3.88</v>
      </c>
      <c r="G145" s="34">
        <v>96.82</v>
      </c>
      <c r="H145" s="34">
        <f>F145*G145</f>
        <v>375.66159999999996</v>
      </c>
      <c r="I145" s="10"/>
      <c r="J145" s="193">
        <f t="shared" si="16"/>
        <v>1</v>
      </c>
      <c r="K145" s="33">
        <v>3.88</v>
      </c>
      <c r="L145" s="197">
        <f t="shared" ref="L145:L146" si="18">J145*H145</f>
        <v>375.66159999999996</v>
      </c>
    </row>
    <row r="146" spans="1:12" ht="49.95" customHeight="1">
      <c r="A146" s="17" t="s">
        <v>97</v>
      </c>
      <c r="B146" s="35">
        <v>104737</v>
      </c>
      <c r="C146" s="36" t="s">
        <v>630</v>
      </c>
      <c r="D146" s="32" t="s">
        <v>61</v>
      </c>
      <c r="E146" s="32" t="s">
        <v>275</v>
      </c>
      <c r="F146" s="33">
        <v>2.56</v>
      </c>
      <c r="G146" s="34">
        <v>24.71</v>
      </c>
      <c r="H146" s="34">
        <f>F146*G146-0.01</f>
        <v>63.247600000000006</v>
      </c>
      <c r="I146" s="10"/>
      <c r="J146" s="193">
        <f t="shared" si="16"/>
        <v>1</v>
      </c>
      <c r="K146" s="33">
        <v>2.56</v>
      </c>
      <c r="L146" s="197">
        <f t="shared" si="18"/>
        <v>63.247600000000006</v>
      </c>
    </row>
    <row r="147" spans="1:12" ht="19.2" customHeight="1">
      <c r="A147" s="101" t="s">
        <v>429</v>
      </c>
      <c r="B147" s="106" t="s">
        <v>68</v>
      </c>
      <c r="C147" s="106"/>
      <c r="D147" s="106"/>
      <c r="E147" s="106"/>
      <c r="F147" s="106"/>
      <c r="G147" s="106"/>
      <c r="H147" s="8">
        <f>SUM(H148:H157)-0.01</f>
        <v>4537.0481</v>
      </c>
      <c r="I147" s="7"/>
      <c r="J147" s="7"/>
      <c r="K147" s="7"/>
      <c r="L147" s="7"/>
    </row>
    <row r="148" spans="1:12" ht="49.95" customHeight="1">
      <c r="A148" s="17" t="s">
        <v>430</v>
      </c>
      <c r="B148" s="35">
        <v>96619</v>
      </c>
      <c r="C148" s="36" t="s">
        <v>631</v>
      </c>
      <c r="D148" s="32" t="s">
        <v>61</v>
      </c>
      <c r="E148" s="32" t="s">
        <v>273</v>
      </c>
      <c r="F148" s="33">
        <v>2.38</v>
      </c>
      <c r="G148" s="34">
        <v>44.9</v>
      </c>
      <c r="H148" s="34">
        <f>F148*G148</f>
        <v>106.86199999999999</v>
      </c>
      <c r="I148" s="10"/>
      <c r="J148" s="193">
        <f t="shared" si="16"/>
        <v>1</v>
      </c>
      <c r="K148" s="33">
        <v>2.38</v>
      </c>
      <c r="L148" s="197">
        <f t="shared" ref="L148:L168" si="19">J148*H148</f>
        <v>106.86199999999999</v>
      </c>
    </row>
    <row r="149" spans="1:12" ht="49.95" customHeight="1">
      <c r="A149" s="17" t="s">
        <v>431</v>
      </c>
      <c r="B149" s="35">
        <v>101616</v>
      </c>
      <c r="C149" s="36" t="s">
        <v>632</v>
      </c>
      <c r="D149" s="32" t="s">
        <v>61</v>
      </c>
      <c r="E149" s="32" t="s">
        <v>273</v>
      </c>
      <c r="F149" s="33">
        <v>4.6100000000000003</v>
      </c>
      <c r="G149" s="34">
        <v>7.07</v>
      </c>
      <c r="H149" s="34">
        <f t="shared" ref="H149:H157" si="20">F149*G149</f>
        <v>32.592700000000001</v>
      </c>
      <c r="I149" s="10"/>
      <c r="J149" s="193">
        <f t="shared" si="16"/>
        <v>1</v>
      </c>
      <c r="K149" s="33">
        <v>4.6100000000000003</v>
      </c>
      <c r="L149" s="197">
        <f t="shared" si="19"/>
        <v>32.592700000000001</v>
      </c>
    </row>
    <row r="150" spans="1:12" ht="49.95" customHeight="1">
      <c r="A150" s="17" t="s">
        <v>432</v>
      </c>
      <c r="B150" s="35">
        <v>94971</v>
      </c>
      <c r="C150" s="36" t="s">
        <v>633</v>
      </c>
      <c r="D150" s="32" t="s">
        <v>61</v>
      </c>
      <c r="E150" s="32" t="s">
        <v>275</v>
      </c>
      <c r="F150" s="33">
        <v>1.32</v>
      </c>
      <c r="G150" s="34">
        <v>559.80999999999995</v>
      </c>
      <c r="H150" s="34">
        <f>F150*G150-0.01</f>
        <v>738.93920000000003</v>
      </c>
      <c r="I150" s="10"/>
      <c r="J150" s="193">
        <f t="shared" si="16"/>
        <v>1</v>
      </c>
      <c r="K150" s="33">
        <v>1.32</v>
      </c>
      <c r="L150" s="197">
        <f t="shared" si="19"/>
        <v>738.93920000000003</v>
      </c>
    </row>
    <row r="151" spans="1:12" ht="49.95" customHeight="1">
      <c r="A151" s="17" t="s">
        <v>433</v>
      </c>
      <c r="B151" s="35">
        <v>103670</v>
      </c>
      <c r="C151" s="36" t="s">
        <v>634</v>
      </c>
      <c r="D151" s="32" t="s">
        <v>61</v>
      </c>
      <c r="E151" s="32" t="s">
        <v>275</v>
      </c>
      <c r="F151" s="33">
        <v>1.32</v>
      </c>
      <c r="G151" s="34">
        <v>331.13</v>
      </c>
      <c r="H151" s="34">
        <f t="shared" si="20"/>
        <v>437.09160000000003</v>
      </c>
      <c r="I151" s="10"/>
      <c r="J151" s="193">
        <f t="shared" si="16"/>
        <v>1</v>
      </c>
      <c r="K151" s="33">
        <v>1.32</v>
      </c>
      <c r="L151" s="197">
        <f t="shared" si="19"/>
        <v>437.09160000000003</v>
      </c>
    </row>
    <row r="152" spans="1:12" ht="49.95" customHeight="1">
      <c r="A152" s="17" t="s">
        <v>434</v>
      </c>
      <c r="B152" s="35">
        <v>104927</v>
      </c>
      <c r="C152" s="36" t="s">
        <v>635</v>
      </c>
      <c r="D152" s="32" t="s">
        <v>61</v>
      </c>
      <c r="E152" s="32" t="s">
        <v>273</v>
      </c>
      <c r="F152" s="33">
        <v>3.1</v>
      </c>
      <c r="G152" s="34">
        <v>93.61</v>
      </c>
      <c r="H152" s="34">
        <f t="shared" si="20"/>
        <v>290.19100000000003</v>
      </c>
      <c r="I152" s="10"/>
      <c r="J152" s="193">
        <f t="shared" si="16"/>
        <v>1</v>
      </c>
      <c r="K152" s="33">
        <v>3.1</v>
      </c>
      <c r="L152" s="197">
        <f t="shared" si="19"/>
        <v>290.19100000000003</v>
      </c>
    </row>
    <row r="153" spans="1:12" ht="49.95" customHeight="1">
      <c r="A153" s="17" t="s">
        <v>435</v>
      </c>
      <c r="B153" s="35">
        <v>96542</v>
      </c>
      <c r="C153" s="36" t="s">
        <v>745</v>
      </c>
      <c r="D153" s="32" t="s">
        <v>61</v>
      </c>
      <c r="E153" s="32" t="s">
        <v>273</v>
      </c>
      <c r="F153" s="33">
        <v>11.93</v>
      </c>
      <c r="G153" s="34">
        <v>102.97</v>
      </c>
      <c r="H153" s="34">
        <f t="shared" si="20"/>
        <v>1228.4321</v>
      </c>
      <c r="I153" s="10"/>
      <c r="J153" s="193">
        <f t="shared" si="16"/>
        <v>1</v>
      </c>
      <c r="K153" s="33">
        <v>11.93</v>
      </c>
      <c r="L153" s="197">
        <f t="shared" si="19"/>
        <v>1228.4321</v>
      </c>
    </row>
    <row r="154" spans="1:12" ht="49.95" customHeight="1">
      <c r="A154" s="17" t="s">
        <v>436</v>
      </c>
      <c r="B154" s="35">
        <v>104917</v>
      </c>
      <c r="C154" s="36" t="s">
        <v>637</v>
      </c>
      <c r="D154" s="32" t="s">
        <v>61</v>
      </c>
      <c r="E154" s="32" t="s">
        <v>74</v>
      </c>
      <c r="F154" s="33">
        <v>17.600000000000001</v>
      </c>
      <c r="G154" s="34">
        <v>17.399999999999999</v>
      </c>
      <c r="H154" s="34">
        <f t="shared" si="20"/>
        <v>306.24</v>
      </c>
      <c r="I154" s="10"/>
      <c r="J154" s="193">
        <f t="shared" si="16"/>
        <v>1</v>
      </c>
      <c r="K154" s="33">
        <v>17.600000000000001</v>
      </c>
      <c r="L154" s="197">
        <f t="shared" si="19"/>
        <v>306.24</v>
      </c>
    </row>
    <row r="155" spans="1:12" ht="49.95" customHeight="1">
      <c r="A155" s="17" t="s">
        <v>437</v>
      </c>
      <c r="B155" s="35">
        <v>104916</v>
      </c>
      <c r="C155" s="36" t="s">
        <v>638</v>
      </c>
      <c r="D155" s="32" t="s">
        <v>61</v>
      </c>
      <c r="E155" s="32" t="s">
        <v>74</v>
      </c>
      <c r="F155" s="33">
        <v>11.2</v>
      </c>
      <c r="G155" s="34">
        <v>18.75</v>
      </c>
      <c r="H155" s="34">
        <f t="shared" si="20"/>
        <v>210</v>
      </c>
      <c r="I155" s="10"/>
      <c r="J155" s="193">
        <f t="shared" si="16"/>
        <v>1</v>
      </c>
      <c r="K155" s="33">
        <v>11.2</v>
      </c>
      <c r="L155" s="197">
        <f t="shared" si="19"/>
        <v>210</v>
      </c>
    </row>
    <row r="156" spans="1:12" ht="49.95" customHeight="1">
      <c r="A156" s="17" t="s">
        <v>438</v>
      </c>
      <c r="B156" s="35">
        <v>104918</v>
      </c>
      <c r="C156" s="36" t="s">
        <v>639</v>
      </c>
      <c r="D156" s="32" t="s">
        <v>61</v>
      </c>
      <c r="E156" s="32" t="s">
        <v>74</v>
      </c>
      <c r="F156" s="33">
        <v>28.8</v>
      </c>
      <c r="G156" s="34">
        <v>16.16</v>
      </c>
      <c r="H156" s="34">
        <f>F156*G156-0.01</f>
        <v>465.39800000000002</v>
      </c>
      <c r="I156" s="10"/>
      <c r="J156" s="193">
        <f t="shared" si="16"/>
        <v>1</v>
      </c>
      <c r="K156" s="33">
        <v>28.8</v>
      </c>
      <c r="L156" s="197">
        <f t="shared" si="19"/>
        <v>465.39800000000002</v>
      </c>
    </row>
    <row r="157" spans="1:12" ht="49.95" customHeight="1">
      <c r="A157" s="17" t="s">
        <v>439</v>
      </c>
      <c r="B157" s="35">
        <v>98557</v>
      </c>
      <c r="C157" s="31" t="s">
        <v>640</v>
      </c>
      <c r="D157" s="32" t="s">
        <v>61</v>
      </c>
      <c r="E157" s="32" t="s">
        <v>273</v>
      </c>
      <c r="F157" s="33">
        <v>13.37</v>
      </c>
      <c r="G157" s="34">
        <v>53.95</v>
      </c>
      <c r="H157" s="34">
        <f t="shared" si="20"/>
        <v>721.31150000000002</v>
      </c>
      <c r="I157" s="10"/>
      <c r="J157" s="193">
        <f t="shared" si="16"/>
        <v>1</v>
      </c>
      <c r="K157" s="33">
        <v>13.37</v>
      </c>
      <c r="L157" s="197">
        <f t="shared" si="19"/>
        <v>721.31150000000002</v>
      </c>
    </row>
    <row r="158" spans="1:12" ht="19.2" customHeight="1">
      <c r="A158" s="101" t="s">
        <v>440</v>
      </c>
      <c r="B158" s="106" t="s">
        <v>66</v>
      </c>
      <c r="C158" s="106"/>
      <c r="D158" s="106"/>
      <c r="E158" s="106"/>
      <c r="F158" s="106"/>
      <c r="G158" s="106"/>
      <c r="H158" s="8">
        <f>SUM(H159:H168)-0.01</f>
        <v>10077.3951</v>
      </c>
      <c r="I158" s="7"/>
      <c r="J158" s="7"/>
      <c r="K158" s="7"/>
      <c r="L158" s="7"/>
    </row>
    <row r="159" spans="1:12" ht="49.95" customHeight="1">
      <c r="A159" s="17" t="s">
        <v>441</v>
      </c>
      <c r="B159" s="35">
        <v>92429</v>
      </c>
      <c r="C159" s="36" t="s">
        <v>641</v>
      </c>
      <c r="D159" s="32" t="s">
        <v>61</v>
      </c>
      <c r="E159" s="32" t="s">
        <v>273</v>
      </c>
      <c r="F159" s="33">
        <v>18.72</v>
      </c>
      <c r="G159" s="34">
        <v>82.09</v>
      </c>
      <c r="H159" s="34">
        <f>F159*G159</f>
        <v>1536.7248</v>
      </c>
      <c r="I159" s="10"/>
      <c r="J159" s="193">
        <f t="shared" si="16"/>
        <v>1</v>
      </c>
      <c r="K159" s="33">
        <v>18.72</v>
      </c>
      <c r="L159" s="197">
        <f t="shared" si="19"/>
        <v>1536.7248</v>
      </c>
    </row>
    <row r="160" spans="1:12" ht="49.95" customHeight="1">
      <c r="A160" s="17" t="s">
        <v>442</v>
      </c>
      <c r="B160" s="35">
        <v>92476</v>
      </c>
      <c r="C160" s="49" t="s">
        <v>642</v>
      </c>
      <c r="D160" s="32" t="s">
        <v>61</v>
      </c>
      <c r="E160" s="32" t="s">
        <v>273</v>
      </c>
      <c r="F160" s="33">
        <v>17.04</v>
      </c>
      <c r="G160" s="34">
        <v>101.44</v>
      </c>
      <c r="H160" s="34">
        <f>F160*G160-0.01</f>
        <v>1728.5275999999999</v>
      </c>
      <c r="I160" s="10"/>
      <c r="J160" s="193">
        <f t="shared" si="16"/>
        <v>1</v>
      </c>
      <c r="K160" s="33">
        <v>17.04</v>
      </c>
      <c r="L160" s="197">
        <f t="shared" si="19"/>
        <v>1728.5275999999999</v>
      </c>
    </row>
    <row r="161" spans="1:12" ht="49.95" customHeight="1">
      <c r="A161" s="17" t="s">
        <v>443</v>
      </c>
      <c r="B161" s="35">
        <v>92759</v>
      </c>
      <c r="C161" s="36" t="s">
        <v>644</v>
      </c>
      <c r="D161" s="102" t="s">
        <v>61</v>
      </c>
      <c r="E161" s="102" t="s">
        <v>74</v>
      </c>
      <c r="F161" s="33">
        <v>43.2</v>
      </c>
      <c r="G161" s="34">
        <v>15.87</v>
      </c>
      <c r="H161" s="34">
        <f t="shared" ref="H160:H168" si="21">F161*G161</f>
        <v>685.58400000000006</v>
      </c>
      <c r="I161" s="10"/>
      <c r="J161" s="193">
        <f t="shared" si="16"/>
        <v>1</v>
      </c>
      <c r="K161" s="33">
        <v>43.2</v>
      </c>
      <c r="L161" s="197">
        <f t="shared" si="19"/>
        <v>685.58400000000006</v>
      </c>
    </row>
    <row r="162" spans="1:12" ht="49.95" customHeight="1">
      <c r="A162" s="17" t="s">
        <v>444</v>
      </c>
      <c r="B162" s="35">
        <v>104108</v>
      </c>
      <c r="C162" s="49" t="s">
        <v>645</v>
      </c>
      <c r="D162" s="102" t="s">
        <v>61</v>
      </c>
      <c r="E162" s="102" t="s">
        <v>74</v>
      </c>
      <c r="F162" s="33">
        <v>69.900000000000006</v>
      </c>
      <c r="G162" s="34">
        <v>14.5</v>
      </c>
      <c r="H162" s="34">
        <f t="shared" si="21"/>
        <v>1013.5500000000001</v>
      </c>
      <c r="I162" s="10"/>
      <c r="J162" s="193">
        <f t="shared" si="16"/>
        <v>1</v>
      </c>
      <c r="K162" s="33">
        <v>69.900000000000006</v>
      </c>
      <c r="L162" s="197">
        <f t="shared" si="19"/>
        <v>1013.5500000000001</v>
      </c>
    </row>
    <row r="163" spans="1:12" ht="49.95" customHeight="1">
      <c r="A163" s="17" t="s">
        <v>445</v>
      </c>
      <c r="B163" s="35">
        <v>92761</v>
      </c>
      <c r="C163" s="49" t="s">
        <v>646</v>
      </c>
      <c r="D163" s="102" t="s">
        <v>61</v>
      </c>
      <c r="E163" s="102" t="s">
        <v>74</v>
      </c>
      <c r="F163" s="33">
        <v>36.5</v>
      </c>
      <c r="G163" s="34">
        <v>14.08</v>
      </c>
      <c r="H163" s="34">
        <f t="shared" si="21"/>
        <v>513.91999999999996</v>
      </c>
      <c r="I163" s="10"/>
      <c r="J163" s="193">
        <f t="shared" si="16"/>
        <v>1</v>
      </c>
      <c r="K163" s="33">
        <v>36.5</v>
      </c>
      <c r="L163" s="197">
        <f t="shared" si="19"/>
        <v>513.91999999999996</v>
      </c>
    </row>
    <row r="164" spans="1:12" ht="49.95" customHeight="1">
      <c r="A164" s="17" t="s">
        <v>446</v>
      </c>
      <c r="B164" s="35">
        <v>94971</v>
      </c>
      <c r="C164" s="36" t="s">
        <v>633</v>
      </c>
      <c r="D164" s="102" t="s">
        <v>61</v>
      </c>
      <c r="E164" s="102" t="s">
        <v>275</v>
      </c>
      <c r="F164" s="33">
        <v>2.61</v>
      </c>
      <c r="G164" s="34">
        <v>559.80999999999995</v>
      </c>
      <c r="H164" s="34">
        <f t="shared" si="21"/>
        <v>1461.1040999999998</v>
      </c>
      <c r="I164" s="10"/>
      <c r="J164" s="193">
        <f t="shared" si="16"/>
        <v>1</v>
      </c>
      <c r="K164" s="33">
        <v>2.61</v>
      </c>
      <c r="L164" s="197">
        <f t="shared" si="19"/>
        <v>1461.1040999999998</v>
      </c>
    </row>
    <row r="165" spans="1:12" ht="49.95" customHeight="1">
      <c r="A165" s="17" t="s">
        <v>447</v>
      </c>
      <c r="B165" s="35">
        <v>103670</v>
      </c>
      <c r="C165" s="49" t="s">
        <v>634</v>
      </c>
      <c r="D165" s="102" t="s">
        <v>61</v>
      </c>
      <c r="E165" s="102" t="s">
        <v>275</v>
      </c>
      <c r="F165" s="33">
        <v>2.61</v>
      </c>
      <c r="G165" s="34">
        <v>331.13</v>
      </c>
      <c r="H165" s="34">
        <f>F165*G165-0.01</f>
        <v>864.23929999999996</v>
      </c>
      <c r="I165" s="10"/>
      <c r="J165" s="193">
        <f t="shared" si="16"/>
        <v>1</v>
      </c>
      <c r="K165" s="33">
        <v>2.61</v>
      </c>
      <c r="L165" s="197">
        <f t="shared" si="19"/>
        <v>864.23929999999996</v>
      </c>
    </row>
    <row r="166" spans="1:12" ht="49.95" customHeight="1">
      <c r="A166" s="17" t="s">
        <v>448</v>
      </c>
      <c r="B166" s="35">
        <v>92486</v>
      </c>
      <c r="C166" s="36" t="s">
        <v>643</v>
      </c>
      <c r="D166" s="102" t="s">
        <v>61</v>
      </c>
      <c r="E166" s="102" t="s">
        <v>273</v>
      </c>
      <c r="F166" s="33">
        <v>8.67</v>
      </c>
      <c r="G166" s="34">
        <v>181.19</v>
      </c>
      <c r="H166" s="34">
        <f>F166*G166-0.01</f>
        <v>1570.9073000000001</v>
      </c>
      <c r="I166" s="10"/>
      <c r="J166" s="193">
        <f t="shared" si="16"/>
        <v>1</v>
      </c>
      <c r="K166" s="33">
        <v>8.67</v>
      </c>
      <c r="L166" s="197">
        <f t="shared" si="19"/>
        <v>1570.9073000000001</v>
      </c>
    </row>
    <row r="167" spans="1:12" ht="49.95" customHeight="1">
      <c r="A167" s="17" t="s">
        <v>449</v>
      </c>
      <c r="B167" s="35">
        <v>92769</v>
      </c>
      <c r="C167" s="49" t="s">
        <v>649</v>
      </c>
      <c r="D167" s="102" t="s">
        <v>61</v>
      </c>
      <c r="E167" s="102" t="s">
        <v>74</v>
      </c>
      <c r="F167" s="33">
        <v>16.3</v>
      </c>
      <c r="G167" s="34">
        <v>14.4</v>
      </c>
      <c r="H167" s="34">
        <f t="shared" si="21"/>
        <v>234.72000000000003</v>
      </c>
      <c r="I167" s="10"/>
      <c r="J167" s="193">
        <f t="shared" si="16"/>
        <v>1</v>
      </c>
      <c r="K167" s="33">
        <v>16.3</v>
      </c>
      <c r="L167" s="197">
        <f t="shared" si="19"/>
        <v>234.72000000000003</v>
      </c>
    </row>
    <row r="168" spans="1:12" ht="49.95" customHeight="1">
      <c r="A168" s="17" t="s">
        <v>450</v>
      </c>
      <c r="B168" s="35">
        <v>92770</v>
      </c>
      <c r="C168" s="49" t="s">
        <v>746</v>
      </c>
      <c r="D168" s="102" t="s">
        <v>61</v>
      </c>
      <c r="E168" s="102" t="s">
        <v>74</v>
      </c>
      <c r="F168" s="33">
        <v>34.6</v>
      </c>
      <c r="G168" s="34">
        <v>13.53</v>
      </c>
      <c r="H168" s="34">
        <f>F168*G168-0.01</f>
        <v>468.12799999999999</v>
      </c>
      <c r="I168" s="10"/>
      <c r="J168" s="193">
        <f t="shared" si="16"/>
        <v>1</v>
      </c>
      <c r="K168" s="33">
        <v>34.6</v>
      </c>
      <c r="L168" s="197">
        <f t="shared" si="19"/>
        <v>468.12799999999999</v>
      </c>
    </row>
    <row r="169" spans="1:12" ht="20.100000000000001" customHeight="1">
      <c r="A169" s="101" t="s">
        <v>451</v>
      </c>
      <c r="B169" s="160" t="s">
        <v>324</v>
      </c>
      <c r="C169" s="161"/>
      <c r="D169" s="161"/>
      <c r="E169" s="161"/>
      <c r="F169" s="161"/>
      <c r="G169" s="162"/>
      <c r="H169" s="8">
        <f>SUM(H170:H172)</f>
        <v>3247.7518000000005</v>
      </c>
      <c r="I169" s="7"/>
      <c r="J169" s="7"/>
      <c r="K169" s="7"/>
      <c r="L169" s="7"/>
    </row>
    <row r="170" spans="1:12" ht="49.95" customHeight="1">
      <c r="A170" s="17" t="s">
        <v>452</v>
      </c>
      <c r="B170" s="50">
        <v>103356</v>
      </c>
      <c r="C170" s="46" t="s">
        <v>650</v>
      </c>
      <c r="D170" s="40" t="s">
        <v>61</v>
      </c>
      <c r="E170" s="40" t="s">
        <v>273</v>
      </c>
      <c r="F170" s="40">
        <v>36.76</v>
      </c>
      <c r="G170" s="189">
        <v>67.73</v>
      </c>
      <c r="H170" s="34">
        <f>F170*G170</f>
        <v>2489.7548000000002</v>
      </c>
      <c r="I170" s="10"/>
      <c r="J170" s="10"/>
      <c r="K170" s="10"/>
      <c r="L170" s="10"/>
    </row>
    <row r="171" spans="1:12" ht="49.95" customHeight="1">
      <c r="A171" s="17" t="s">
        <v>453</v>
      </c>
      <c r="B171" s="50">
        <v>105023</v>
      </c>
      <c r="C171" s="46" t="s">
        <v>651</v>
      </c>
      <c r="D171" s="40" t="s">
        <v>61</v>
      </c>
      <c r="E171" s="40" t="s">
        <v>63</v>
      </c>
      <c r="F171" s="40">
        <v>7.2</v>
      </c>
      <c r="G171" s="189">
        <v>71.61</v>
      </c>
      <c r="H171" s="34">
        <f t="shared" ref="H171:H172" si="22">F171*G171</f>
        <v>515.59199999999998</v>
      </c>
      <c r="I171" s="10"/>
      <c r="J171" s="10"/>
      <c r="K171" s="10"/>
      <c r="L171" s="10"/>
    </row>
    <row r="172" spans="1:12" ht="49.95" customHeight="1">
      <c r="A172" s="17" t="s">
        <v>454</v>
      </c>
      <c r="B172" s="50">
        <v>105029</v>
      </c>
      <c r="C172" s="46" t="s">
        <v>652</v>
      </c>
      <c r="D172" s="40" t="s">
        <v>61</v>
      </c>
      <c r="E172" s="40" t="s">
        <v>63</v>
      </c>
      <c r="F172" s="40">
        <v>4.5</v>
      </c>
      <c r="G172" s="189">
        <v>53.87</v>
      </c>
      <c r="H172" s="34">
        <f>F172*G172-0.01</f>
        <v>242.405</v>
      </c>
      <c r="I172" s="10"/>
      <c r="J172" s="10"/>
      <c r="K172" s="10"/>
      <c r="L172" s="10"/>
    </row>
    <row r="173" spans="1:12" ht="20.100000000000001" customHeight="1">
      <c r="A173" s="101" t="s">
        <v>455</v>
      </c>
      <c r="B173" s="160" t="s">
        <v>128</v>
      </c>
      <c r="C173" s="161"/>
      <c r="D173" s="161"/>
      <c r="E173" s="161"/>
      <c r="F173" s="161"/>
      <c r="G173" s="162"/>
      <c r="H173" s="8">
        <f>SUM(H174:H180)</f>
        <v>6790.4302999999991</v>
      </c>
      <c r="I173" s="7"/>
      <c r="J173" s="7"/>
      <c r="K173" s="7"/>
      <c r="L173" s="7"/>
    </row>
    <row r="174" spans="1:12" ht="49.95" customHeight="1">
      <c r="A174" s="17" t="s">
        <v>456</v>
      </c>
      <c r="B174" s="30">
        <v>87878</v>
      </c>
      <c r="C174" s="51" t="s">
        <v>653</v>
      </c>
      <c r="D174" s="30" t="s">
        <v>61</v>
      </c>
      <c r="E174" s="30" t="s">
        <v>273</v>
      </c>
      <c r="F174" s="40">
        <v>36.76</v>
      </c>
      <c r="G174" s="190">
        <v>5.51</v>
      </c>
      <c r="H174" s="34">
        <f>F174*G174-0.01</f>
        <v>202.5376</v>
      </c>
      <c r="I174" s="10"/>
      <c r="J174" s="10"/>
      <c r="K174" s="10"/>
      <c r="L174" s="10"/>
    </row>
    <row r="175" spans="1:12" ht="49.95" customHeight="1">
      <c r="A175" s="17" t="s">
        <v>457</v>
      </c>
      <c r="B175" s="30">
        <v>87545</v>
      </c>
      <c r="C175" s="51" t="s">
        <v>654</v>
      </c>
      <c r="D175" s="30" t="s">
        <v>61</v>
      </c>
      <c r="E175" s="30" t="s">
        <v>273</v>
      </c>
      <c r="F175" s="40">
        <v>33.94</v>
      </c>
      <c r="G175" s="190">
        <v>32.409999999999997</v>
      </c>
      <c r="H175" s="34">
        <f>F175*G175-0.01</f>
        <v>1099.9853999999998</v>
      </c>
      <c r="I175" s="10"/>
      <c r="J175" s="10"/>
      <c r="K175" s="10"/>
      <c r="L175" s="10"/>
    </row>
    <row r="176" spans="1:12" ht="49.95" customHeight="1">
      <c r="A176" s="17" t="s">
        <v>458</v>
      </c>
      <c r="B176" s="30">
        <v>87529</v>
      </c>
      <c r="C176" s="51" t="s">
        <v>655</v>
      </c>
      <c r="D176" s="30" t="s">
        <v>61</v>
      </c>
      <c r="E176" s="30" t="s">
        <v>273</v>
      </c>
      <c r="F176" s="40">
        <v>33.94</v>
      </c>
      <c r="G176" s="190">
        <v>40.299999999999997</v>
      </c>
      <c r="H176" s="34">
        <f t="shared" ref="H175:H180" si="23">F176*G176</f>
        <v>1367.7819999999999</v>
      </c>
      <c r="I176" s="10"/>
      <c r="J176" s="10"/>
      <c r="K176" s="10"/>
      <c r="L176" s="10"/>
    </row>
    <row r="177" spans="1:12" ht="49.95" customHeight="1">
      <c r="A177" s="17" t="s">
        <v>459</v>
      </c>
      <c r="B177" s="30">
        <v>87908</v>
      </c>
      <c r="C177" s="51" t="s">
        <v>657</v>
      </c>
      <c r="D177" s="30" t="s">
        <v>61</v>
      </c>
      <c r="E177" s="30" t="s">
        <v>273</v>
      </c>
      <c r="F177" s="40">
        <v>40.83</v>
      </c>
      <c r="G177" s="190">
        <v>6.83</v>
      </c>
      <c r="H177" s="34">
        <f>F177*G177-0.01</f>
        <v>278.85890000000001</v>
      </c>
      <c r="I177" s="10"/>
      <c r="J177" s="10"/>
      <c r="K177" s="10"/>
      <c r="L177" s="10"/>
    </row>
    <row r="178" spans="1:12" ht="49.95" customHeight="1">
      <c r="A178" s="17" t="s">
        <v>460</v>
      </c>
      <c r="B178" s="30">
        <v>104218</v>
      </c>
      <c r="C178" s="51" t="s">
        <v>658</v>
      </c>
      <c r="D178" s="30" t="s">
        <v>61</v>
      </c>
      <c r="E178" s="30" t="s">
        <v>273</v>
      </c>
      <c r="F178" s="40">
        <v>40.83</v>
      </c>
      <c r="G178" s="190">
        <v>61.59</v>
      </c>
      <c r="H178" s="34">
        <f>F178*G178-0.01</f>
        <v>2514.7096999999999</v>
      </c>
      <c r="I178" s="10"/>
      <c r="J178" s="10"/>
      <c r="K178" s="10"/>
      <c r="L178" s="10"/>
    </row>
    <row r="179" spans="1:12" ht="49.95" customHeight="1">
      <c r="A179" s="17" t="s">
        <v>461</v>
      </c>
      <c r="B179" s="30">
        <v>88497</v>
      </c>
      <c r="C179" s="51" t="s">
        <v>747</v>
      </c>
      <c r="D179" s="30" t="s">
        <v>61</v>
      </c>
      <c r="E179" s="30" t="s">
        <v>273</v>
      </c>
      <c r="F179" s="40">
        <v>40.83</v>
      </c>
      <c r="G179" s="190">
        <v>18.440000000000001</v>
      </c>
      <c r="H179" s="34">
        <f>F179*G179-0.01</f>
        <v>752.89520000000005</v>
      </c>
      <c r="I179" s="10"/>
      <c r="J179" s="10"/>
      <c r="K179" s="10"/>
      <c r="L179" s="10"/>
    </row>
    <row r="180" spans="1:12" ht="49.95" customHeight="1">
      <c r="A180" s="17" t="s">
        <v>462</v>
      </c>
      <c r="B180" s="30">
        <v>88489</v>
      </c>
      <c r="C180" s="51" t="s">
        <v>748</v>
      </c>
      <c r="D180" s="30" t="s">
        <v>61</v>
      </c>
      <c r="E180" s="30" t="s">
        <v>273</v>
      </c>
      <c r="F180" s="40">
        <v>40.83</v>
      </c>
      <c r="G180" s="190">
        <v>14.05</v>
      </c>
      <c r="H180" s="34">
        <f t="shared" si="23"/>
        <v>573.66150000000005</v>
      </c>
      <c r="I180" s="10"/>
      <c r="J180" s="10"/>
      <c r="K180" s="10"/>
      <c r="L180" s="10"/>
    </row>
    <row r="181" spans="1:12" ht="20.100000000000001" customHeight="1">
      <c r="A181" s="5" t="s">
        <v>463</v>
      </c>
      <c r="B181" s="106" t="s">
        <v>464</v>
      </c>
      <c r="C181" s="106"/>
      <c r="D181" s="106"/>
      <c r="E181" s="106"/>
      <c r="F181" s="106"/>
      <c r="G181" s="106"/>
      <c r="H181" s="8">
        <f>SUM(H182:H185)-0.01</f>
        <v>1850.6069</v>
      </c>
      <c r="I181" s="7"/>
      <c r="J181" s="7"/>
      <c r="K181" s="7"/>
      <c r="L181" s="7"/>
    </row>
    <row r="182" spans="1:12" ht="49.95" customHeight="1">
      <c r="A182" s="17" t="s">
        <v>465</v>
      </c>
      <c r="B182" s="52">
        <v>88485</v>
      </c>
      <c r="C182" s="53" t="s">
        <v>749</v>
      </c>
      <c r="D182" s="54" t="s">
        <v>61</v>
      </c>
      <c r="E182" s="54" t="s">
        <v>273</v>
      </c>
      <c r="F182" s="55">
        <v>33.94</v>
      </c>
      <c r="G182" s="191">
        <v>4.2699999999999996</v>
      </c>
      <c r="H182" s="34">
        <f>F182*G182</f>
        <v>144.92379999999997</v>
      </c>
      <c r="I182" s="10"/>
      <c r="J182" s="10"/>
      <c r="K182" s="10"/>
      <c r="L182" s="10"/>
    </row>
    <row r="183" spans="1:12" ht="49.95" customHeight="1">
      <c r="A183" s="17" t="s">
        <v>466</v>
      </c>
      <c r="B183" s="42">
        <v>88497</v>
      </c>
      <c r="C183" s="36" t="s">
        <v>747</v>
      </c>
      <c r="D183" s="32" t="s">
        <v>61</v>
      </c>
      <c r="E183" s="32" t="s">
        <v>273</v>
      </c>
      <c r="F183" s="33">
        <v>33.94</v>
      </c>
      <c r="G183" s="34">
        <v>18.440000000000001</v>
      </c>
      <c r="H183" s="34">
        <f t="shared" ref="H183:H185" si="24">F183*G183</f>
        <v>625.85360000000003</v>
      </c>
      <c r="I183" s="10"/>
      <c r="J183" s="10"/>
      <c r="K183" s="10"/>
      <c r="L183" s="10"/>
    </row>
    <row r="184" spans="1:12" ht="49.95" customHeight="1">
      <c r="A184" s="17" t="s">
        <v>467</v>
      </c>
      <c r="B184" s="42">
        <v>88489</v>
      </c>
      <c r="C184" s="36" t="s">
        <v>748</v>
      </c>
      <c r="D184" s="32" t="s">
        <v>61</v>
      </c>
      <c r="E184" s="32" t="s">
        <v>273</v>
      </c>
      <c r="F184" s="33">
        <v>33.94</v>
      </c>
      <c r="G184" s="34">
        <v>14.05</v>
      </c>
      <c r="H184" s="34">
        <f>F184*G184-0.01</f>
        <v>476.84699999999998</v>
      </c>
      <c r="I184" s="10"/>
      <c r="J184" s="10"/>
      <c r="K184" s="10"/>
      <c r="L184" s="10"/>
    </row>
    <row r="185" spans="1:12" ht="49.95" customHeight="1">
      <c r="A185" s="17" t="s">
        <v>468</v>
      </c>
      <c r="B185" s="42">
        <v>96486</v>
      </c>
      <c r="C185" s="36" t="s">
        <v>661</v>
      </c>
      <c r="D185" s="32" t="s">
        <v>61</v>
      </c>
      <c r="E185" s="32" t="s">
        <v>273</v>
      </c>
      <c r="F185" s="33">
        <v>8.25</v>
      </c>
      <c r="G185" s="34">
        <v>73.09</v>
      </c>
      <c r="H185" s="34">
        <f t="shared" si="24"/>
        <v>602.99250000000006</v>
      </c>
      <c r="I185" s="10"/>
      <c r="J185" s="10"/>
      <c r="K185" s="10"/>
      <c r="L185" s="10"/>
    </row>
    <row r="186" spans="1:12" ht="20.100000000000001" customHeight="1">
      <c r="A186" s="101" t="s">
        <v>469</v>
      </c>
      <c r="B186" s="106" t="s">
        <v>133</v>
      </c>
      <c r="C186" s="106"/>
      <c r="D186" s="106"/>
      <c r="E186" s="106"/>
      <c r="F186" s="106"/>
      <c r="G186" s="106"/>
      <c r="H186" s="8">
        <f>SUM(H187:H189)+0.01</f>
        <v>1293.9100000000001</v>
      </c>
      <c r="I186" s="7"/>
      <c r="J186" s="7"/>
      <c r="K186" s="7"/>
      <c r="L186" s="7"/>
    </row>
    <row r="187" spans="1:12" ht="49.95" customHeight="1">
      <c r="A187" s="17" t="s">
        <v>470</v>
      </c>
      <c r="B187" s="42">
        <v>95241</v>
      </c>
      <c r="C187" s="36" t="s">
        <v>663</v>
      </c>
      <c r="D187" s="32" t="s">
        <v>61</v>
      </c>
      <c r="E187" s="32" t="s">
        <v>273</v>
      </c>
      <c r="F187" s="33">
        <v>8.25</v>
      </c>
      <c r="G187" s="34">
        <v>41.55</v>
      </c>
      <c r="H187" s="34">
        <f>F187*G187-0.01</f>
        <v>342.77749999999997</v>
      </c>
      <c r="I187" s="10"/>
      <c r="J187" s="10"/>
      <c r="K187" s="10"/>
      <c r="L187" s="10"/>
    </row>
    <row r="188" spans="1:12" ht="49.95" customHeight="1">
      <c r="A188" s="17" t="s">
        <v>471</v>
      </c>
      <c r="B188" s="42">
        <v>87622</v>
      </c>
      <c r="C188" s="36" t="s">
        <v>664</v>
      </c>
      <c r="D188" s="32" t="s">
        <v>61</v>
      </c>
      <c r="E188" s="32" t="s">
        <v>273</v>
      </c>
      <c r="F188" s="33">
        <v>8.25</v>
      </c>
      <c r="G188" s="34">
        <v>40.39</v>
      </c>
      <c r="H188" s="34">
        <f>F188*G188-0.01</f>
        <v>333.20750000000004</v>
      </c>
      <c r="I188" s="10"/>
      <c r="J188" s="10"/>
      <c r="K188" s="10"/>
      <c r="L188" s="10"/>
    </row>
    <row r="189" spans="1:12" ht="49.95" customHeight="1">
      <c r="A189" s="17" t="s">
        <v>472</v>
      </c>
      <c r="B189" s="42" t="s">
        <v>628</v>
      </c>
      <c r="C189" s="36" t="s">
        <v>656</v>
      </c>
      <c r="D189" s="32" t="s">
        <v>274</v>
      </c>
      <c r="E189" s="32" t="s">
        <v>273</v>
      </c>
      <c r="F189" s="33">
        <v>8.25</v>
      </c>
      <c r="G189" s="34">
        <v>74.900000000000006</v>
      </c>
      <c r="H189" s="34">
        <f>F189*G189-0.01</f>
        <v>617.91500000000008</v>
      </c>
      <c r="I189" s="10"/>
      <c r="J189" s="10"/>
      <c r="K189" s="10"/>
      <c r="L189" s="10"/>
    </row>
    <row r="190" spans="1:12" ht="20.100000000000001" customHeight="1">
      <c r="A190" s="101" t="s">
        <v>473</v>
      </c>
      <c r="B190" s="106" t="s">
        <v>344</v>
      </c>
      <c r="C190" s="106"/>
      <c r="D190" s="106"/>
      <c r="E190" s="106"/>
      <c r="F190" s="106"/>
      <c r="G190" s="106"/>
      <c r="H190" s="8">
        <f>SUM(H191,H216,H237)</f>
        <v>13670.025799999999</v>
      </c>
      <c r="I190" s="7"/>
      <c r="J190" s="7"/>
      <c r="K190" s="7"/>
      <c r="L190" s="7"/>
    </row>
    <row r="191" spans="1:12" ht="20.100000000000001" customHeight="1">
      <c r="A191" s="5" t="s">
        <v>474</v>
      </c>
      <c r="B191" s="106" t="s">
        <v>184</v>
      </c>
      <c r="C191" s="106"/>
      <c r="D191" s="106"/>
      <c r="E191" s="106"/>
      <c r="F191" s="106"/>
      <c r="G191" s="106"/>
      <c r="H191" s="8">
        <f>SUM(H192:H215)-0.01</f>
        <v>3065.1956</v>
      </c>
      <c r="I191" s="7"/>
      <c r="J191" s="7"/>
      <c r="K191" s="7"/>
      <c r="L191" s="7"/>
    </row>
    <row r="192" spans="1:12" ht="49.95" customHeight="1">
      <c r="A192" s="17" t="s">
        <v>475</v>
      </c>
      <c r="B192" s="42">
        <v>102611</v>
      </c>
      <c r="C192" s="31" t="s">
        <v>750</v>
      </c>
      <c r="D192" s="102" t="s">
        <v>61</v>
      </c>
      <c r="E192" s="102" t="s">
        <v>276</v>
      </c>
      <c r="F192" s="33">
        <v>1</v>
      </c>
      <c r="G192" s="34">
        <v>554.88</v>
      </c>
      <c r="H192" s="34">
        <f>F192*G192</f>
        <v>554.88</v>
      </c>
      <c r="I192" s="10"/>
      <c r="J192" s="10"/>
      <c r="K192" s="10"/>
      <c r="L192" s="10"/>
    </row>
    <row r="193" spans="1:12" ht="49.95" customHeight="1">
      <c r="A193" s="17" t="s">
        <v>476</v>
      </c>
      <c r="B193" s="42">
        <v>11762</v>
      </c>
      <c r="C193" s="31" t="s">
        <v>751</v>
      </c>
      <c r="D193" s="102" t="s">
        <v>61</v>
      </c>
      <c r="E193" s="102" t="s">
        <v>276</v>
      </c>
      <c r="F193" s="33">
        <v>1</v>
      </c>
      <c r="G193" s="34">
        <v>75.849999999999994</v>
      </c>
      <c r="H193" s="34">
        <f t="shared" ref="H193:H215" si="25">F193*G193</f>
        <v>75.849999999999994</v>
      </c>
      <c r="I193" s="10"/>
      <c r="J193" s="10"/>
      <c r="K193" s="10"/>
      <c r="L193" s="10"/>
    </row>
    <row r="194" spans="1:12" ht="49.95" customHeight="1">
      <c r="A194" s="17" t="s">
        <v>477</v>
      </c>
      <c r="B194" s="42">
        <v>86888</v>
      </c>
      <c r="C194" s="31" t="s">
        <v>667</v>
      </c>
      <c r="D194" s="102" t="s">
        <v>61</v>
      </c>
      <c r="E194" s="102" t="s">
        <v>276</v>
      </c>
      <c r="F194" s="33">
        <v>1</v>
      </c>
      <c r="G194" s="34">
        <v>591.21</v>
      </c>
      <c r="H194" s="34">
        <f t="shared" si="25"/>
        <v>591.21</v>
      </c>
      <c r="I194" s="10"/>
      <c r="J194" s="10"/>
      <c r="K194" s="10"/>
      <c r="L194" s="10"/>
    </row>
    <row r="195" spans="1:12" ht="49.95" customHeight="1">
      <c r="A195" s="17" t="s">
        <v>478</v>
      </c>
      <c r="B195" s="42">
        <v>1370</v>
      </c>
      <c r="C195" s="31" t="s">
        <v>668</v>
      </c>
      <c r="D195" s="102" t="s">
        <v>61</v>
      </c>
      <c r="E195" s="102" t="s">
        <v>276</v>
      </c>
      <c r="F195" s="33">
        <v>1</v>
      </c>
      <c r="G195" s="34">
        <v>141.46</v>
      </c>
      <c r="H195" s="34">
        <f t="shared" si="25"/>
        <v>141.46</v>
      </c>
      <c r="I195" s="10"/>
      <c r="J195" s="10"/>
      <c r="K195" s="10"/>
      <c r="L195" s="10"/>
    </row>
    <row r="196" spans="1:12" ht="49.95" customHeight="1">
      <c r="A196" s="17" t="s">
        <v>479</v>
      </c>
      <c r="B196" s="42">
        <v>10427</v>
      </c>
      <c r="C196" s="31" t="s">
        <v>669</v>
      </c>
      <c r="D196" s="102" t="s">
        <v>61</v>
      </c>
      <c r="E196" s="102" t="s">
        <v>276</v>
      </c>
      <c r="F196" s="33">
        <v>1</v>
      </c>
      <c r="G196" s="34">
        <v>596.73</v>
      </c>
      <c r="H196" s="34">
        <f t="shared" si="25"/>
        <v>596.73</v>
      </c>
      <c r="I196" s="10"/>
      <c r="J196" s="10"/>
      <c r="K196" s="10"/>
      <c r="L196" s="10"/>
    </row>
    <row r="197" spans="1:12" ht="49.95" customHeight="1">
      <c r="A197" s="17" t="s">
        <v>480</v>
      </c>
      <c r="B197" s="42">
        <v>6136</v>
      </c>
      <c r="C197" s="31" t="s">
        <v>670</v>
      </c>
      <c r="D197" s="102" t="s">
        <v>61</v>
      </c>
      <c r="E197" s="102" t="s">
        <v>276</v>
      </c>
      <c r="F197" s="33">
        <v>1</v>
      </c>
      <c r="G197" s="34">
        <v>206.49</v>
      </c>
      <c r="H197" s="34">
        <f t="shared" si="25"/>
        <v>206.49</v>
      </c>
      <c r="I197" s="10"/>
      <c r="J197" s="10"/>
      <c r="K197" s="10"/>
      <c r="L197" s="10"/>
    </row>
    <row r="198" spans="1:12" ht="49.95" customHeight="1">
      <c r="A198" s="17" t="s">
        <v>481</v>
      </c>
      <c r="B198" s="42">
        <v>86886</v>
      </c>
      <c r="C198" s="31" t="s">
        <v>671</v>
      </c>
      <c r="D198" s="102" t="s">
        <v>61</v>
      </c>
      <c r="E198" s="102" t="s">
        <v>276</v>
      </c>
      <c r="F198" s="33">
        <v>1</v>
      </c>
      <c r="G198" s="34">
        <v>53.04</v>
      </c>
      <c r="H198" s="34">
        <f t="shared" si="25"/>
        <v>53.04</v>
      </c>
      <c r="I198" s="10"/>
      <c r="J198" s="10"/>
      <c r="K198" s="10"/>
      <c r="L198" s="10"/>
    </row>
    <row r="199" spans="1:12" ht="49.95" customHeight="1">
      <c r="A199" s="17" t="s">
        <v>482</v>
      </c>
      <c r="B199" s="42">
        <v>100860</v>
      </c>
      <c r="C199" s="31" t="s">
        <v>752</v>
      </c>
      <c r="D199" s="102" t="s">
        <v>61</v>
      </c>
      <c r="E199" s="102" t="s">
        <v>276</v>
      </c>
      <c r="F199" s="33">
        <v>1</v>
      </c>
      <c r="G199" s="34">
        <v>120.45</v>
      </c>
      <c r="H199" s="34">
        <f t="shared" si="25"/>
        <v>120.45</v>
      </c>
      <c r="I199" s="10"/>
      <c r="J199" s="10"/>
      <c r="K199" s="10"/>
      <c r="L199" s="10"/>
    </row>
    <row r="200" spans="1:12" ht="49.95" customHeight="1">
      <c r="A200" s="17" t="s">
        <v>483</v>
      </c>
      <c r="B200" s="42">
        <v>89987</v>
      </c>
      <c r="C200" s="31" t="s">
        <v>753</v>
      </c>
      <c r="D200" s="102" t="s">
        <v>61</v>
      </c>
      <c r="E200" s="102" t="s">
        <v>276</v>
      </c>
      <c r="F200" s="33">
        <v>1</v>
      </c>
      <c r="G200" s="34">
        <v>115.36</v>
      </c>
      <c r="H200" s="34">
        <f t="shared" si="25"/>
        <v>115.36</v>
      </c>
      <c r="I200" s="10"/>
      <c r="J200" s="10"/>
      <c r="K200" s="10"/>
      <c r="L200" s="10"/>
    </row>
    <row r="201" spans="1:12" ht="49.95" customHeight="1">
      <c r="A201" s="17" t="s">
        <v>484</v>
      </c>
      <c r="B201" s="42">
        <v>89351</v>
      </c>
      <c r="C201" s="31" t="s">
        <v>754</v>
      </c>
      <c r="D201" s="102" t="s">
        <v>61</v>
      </c>
      <c r="E201" s="102" t="s">
        <v>276</v>
      </c>
      <c r="F201" s="33">
        <v>1</v>
      </c>
      <c r="G201" s="34">
        <v>40.01</v>
      </c>
      <c r="H201" s="34">
        <f t="shared" si="25"/>
        <v>40.01</v>
      </c>
      <c r="I201" s="10"/>
      <c r="J201" s="10"/>
      <c r="K201" s="10"/>
      <c r="L201" s="10"/>
    </row>
    <row r="202" spans="1:12" ht="49.95" customHeight="1">
      <c r="A202" s="17" t="s">
        <v>485</v>
      </c>
      <c r="B202" s="42">
        <v>94489</v>
      </c>
      <c r="C202" s="31" t="s">
        <v>677</v>
      </c>
      <c r="D202" s="102" t="s">
        <v>61</v>
      </c>
      <c r="E202" s="102" t="s">
        <v>276</v>
      </c>
      <c r="F202" s="33">
        <v>1</v>
      </c>
      <c r="G202" s="34">
        <v>26.72</v>
      </c>
      <c r="H202" s="34">
        <f t="shared" si="25"/>
        <v>26.72</v>
      </c>
      <c r="I202" s="10"/>
      <c r="J202" s="10"/>
      <c r="K202" s="10"/>
      <c r="L202" s="10"/>
    </row>
    <row r="203" spans="1:12" ht="49.95" customHeight="1">
      <c r="A203" s="17" t="s">
        <v>486</v>
      </c>
      <c r="B203" s="42">
        <v>94490</v>
      </c>
      <c r="C203" s="31" t="s">
        <v>755</v>
      </c>
      <c r="D203" s="102" t="s">
        <v>61</v>
      </c>
      <c r="E203" s="102" t="s">
        <v>276</v>
      </c>
      <c r="F203" s="33">
        <v>1</v>
      </c>
      <c r="G203" s="34">
        <v>39.07</v>
      </c>
      <c r="H203" s="34">
        <f t="shared" si="25"/>
        <v>39.07</v>
      </c>
      <c r="I203" s="10"/>
      <c r="J203" s="10"/>
      <c r="K203" s="10"/>
      <c r="L203" s="10"/>
    </row>
    <row r="204" spans="1:12" ht="49.95" customHeight="1">
      <c r="A204" s="17" t="s">
        <v>487</v>
      </c>
      <c r="B204" s="42">
        <v>94656</v>
      </c>
      <c r="C204" s="31" t="s">
        <v>678</v>
      </c>
      <c r="D204" s="102" t="s">
        <v>61</v>
      </c>
      <c r="E204" s="102" t="s">
        <v>276</v>
      </c>
      <c r="F204" s="33">
        <v>1</v>
      </c>
      <c r="G204" s="34">
        <v>3.57</v>
      </c>
      <c r="H204" s="34">
        <f t="shared" si="25"/>
        <v>3.57</v>
      </c>
      <c r="I204" s="10"/>
      <c r="J204" s="10"/>
      <c r="K204" s="10"/>
      <c r="L204" s="10"/>
    </row>
    <row r="205" spans="1:12" ht="49.95" customHeight="1">
      <c r="A205" s="17" t="s">
        <v>488</v>
      </c>
      <c r="B205" s="42">
        <v>89364</v>
      </c>
      <c r="C205" s="31" t="s">
        <v>680</v>
      </c>
      <c r="D205" s="102" t="s">
        <v>61</v>
      </c>
      <c r="E205" s="102" t="s">
        <v>276</v>
      </c>
      <c r="F205" s="33">
        <v>7</v>
      </c>
      <c r="G205" s="34">
        <v>12.66</v>
      </c>
      <c r="H205" s="34">
        <f t="shared" si="25"/>
        <v>88.62</v>
      </c>
      <c r="I205" s="10"/>
      <c r="J205" s="10"/>
      <c r="K205" s="10"/>
      <c r="L205" s="10"/>
    </row>
    <row r="206" spans="1:12" ht="49.95" customHeight="1">
      <c r="A206" s="17" t="s">
        <v>489</v>
      </c>
      <c r="B206" s="42">
        <v>89365</v>
      </c>
      <c r="C206" s="31" t="s">
        <v>756</v>
      </c>
      <c r="D206" s="102" t="s">
        <v>61</v>
      </c>
      <c r="E206" s="102" t="s">
        <v>276</v>
      </c>
      <c r="F206" s="33">
        <v>2</v>
      </c>
      <c r="G206" s="34">
        <v>12.04</v>
      </c>
      <c r="H206" s="34">
        <f t="shared" si="25"/>
        <v>24.08</v>
      </c>
      <c r="I206" s="10"/>
      <c r="J206" s="10"/>
      <c r="K206" s="10"/>
      <c r="L206" s="10"/>
    </row>
    <row r="207" spans="1:12" ht="49.95" customHeight="1">
      <c r="A207" s="17" t="s">
        <v>490</v>
      </c>
      <c r="B207" s="42">
        <v>89363</v>
      </c>
      <c r="C207" s="31" t="s">
        <v>682</v>
      </c>
      <c r="D207" s="102" t="s">
        <v>61</v>
      </c>
      <c r="E207" s="102" t="s">
        <v>276</v>
      </c>
      <c r="F207" s="33">
        <v>2</v>
      </c>
      <c r="G207" s="34">
        <v>10.94</v>
      </c>
      <c r="H207" s="34">
        <f t="shared" si="25"/>
        <v>21.88</v>
      </c>
      <c r="I207" s="10"/>
      <c r="J207" s="10"/>
      <c r="K207" s="10"/>
      <c r="L207" s="10"/>
    </row>
    <row r="208" spans="1:12" ht="49.95" customHeight="1">
      <c r="A208" s="17" t="s">
        <v>491</v>
      </c>
      <c r="B208" s="42">
        <v>89408</v>
      </c>
      <c r="C208" s="31" t="s">
        <v>683</v>
      </c>
      <c r="D208" s="102" t="s">
        <v>61</v>
      </c>
      <c r="E208" s="102" t="s">
        <v>276</v>
      </c>
      <c r="F208" s="33">
        <v>6</v>
      </c>
      <c r="G208" s="34">
        <v>9.18</v>
      </c>
      <c r="H208" s="34">
        <f t="shared" si="25"/>
        <v>55.08</v>
      </c>
      <c r="I208" s="10"/>
      <c r="J208" s="10"/>
      <c r="K208" s="10"/>
      <c r="L208" s="10"/>
    </row>
    <row r="209" spans="1:12" ht="49.95" customHeight="1">
      <c r="A209" s="17" t="s">
        <v>492</v>
      </c>
      <c r="B209" s="42">
        <v>89367</v>
      </c>
      <c r="C209" s="31" t="s">
        <v>757</v>
      </c>
      <c r="D209" s="102" t="s">
        <v>61</v>
      </c>
      <c r="E209" s="102" t="s">
        <v>276</v>
      </c>
      <c r="F209" s="33">
        <v>3</v>
      </c>
      <c r="G209" s="34">
        <v>13.93</v>
      </c>
      <c r="H209" s="34">
        <f t="shared" si="25"/>
        <v>41.79</v>
      </c>
      <c r="I209" s="10"/>
      <c r="J209" s="10"/>
      <c r="K209" s="10"/>
      <c r="L209" s="10"/>
    </row>
    <row r="210" spans="1:12" ht="49.95" customHeight="1">
      <c r="A210" s="17" t="s">
        <v>493</v>
      </c>
      <c r="B210" s="42">
        <v>89528</v>
      </c>
      <c r="C210" s="31" t="s">
        <v>758</v>
      </c>
      <c r="D210" s="102" t="s">
        <v>61</v>
      </c>
      <c r="E210" s="102" t="s">
        <v>276</v>
      </c>
      <c r="F210" s="33">
        <v>1</v>
      </c>
      <c r="G210" s="34">
        <v>4.42</v>
      </c>
      <c r="H210" s="34">
        <f t="shared" si="25"/>
        <v>4.42</v>
      </c>
      <c r="I210" s="10"/>
      <c r="J210" s="10"/>
      <c r="K210" s="10"/>
      <c r="L210" s="10"/>
    </row>
    <row r="211" spans="1:12" ht="49.95" customHeight="1">
      <c r="A211" s="17" t="s">
        <v>494</v>
      </c>
      <c r="B211" s="42">
        <v>89381</v>
      </c>
      <c r="C211" s="31" t="s">
        <v>759</v>
      </c>
      <c r="D211" s="102" t="s">
        <v>61</v>
      </c>
      <c r="E211" s="102" t="s">
        <v>276</v>
      </c>
      <c r="F211" s="33">
        <v>1</v>
      </c>
      <c r="G211" s="34">
        <v>13.55</v>
      </c>
      <c r="H211" s="34">
        <f t="shared" si="25"/>
        <v>13.55</v>
      </c>
      <c r="I211" s="10"/>
      <c r="J211" s="10"/>
      <c r="K211" s="10"/>
      <c r="L211" s="10"/>
    </row>
    <row r="212" spans="1:12" ht="49.95" customHeight="1">
      <c r="A212" s="17" t="s">
        <v>495</v>
      </c>
      <c r="B212" s="42">
        <v>89617</v>
      </c>
      <c r="C212" s="31" t="s">
        <v>686</v>
      </c>
      <c r="D212" s="102" t="s">
        <v>61</v>
      </c>
      <c r="E212" s="102" t="s">
        <v>276</v>
      </c>
      <c r="F212" s="33">
        <v>6</v>
      </c>
      <c r="G212" s="34">
        <v>7.9</v>
      </c>
      <c r="H212" s="34">
        <f t="shared" si="25"/>
        <v>47.400000000000006</v>
      </c>
      <c r="I212" s="10"/>
      <c r="J212" s="10"/>
      <c r="K212" s="10"/>
      <c r="L212" s="10"/>
    </row>
    <row r="213" spans="1:12" ht="49.95" customHeight="1">
      <c r="A213" s="17" t="s">
        <v>496</v>
      </c>
      <c r="B213" s="42">
        <v>89620</v>
      </c>
      <c r="C213" s="31" t="s">
        <v>760</v>
      </c>
      <c r="D213" s="102" t="s">
        <v>61</v>
      </c>
      <c r="E213" s="102" t="s">
        <v>276</v>
      </c>
      <c r="F213" s="33">
        <v>1</v>
      </c>
      <c r="G213" s="34">
        <v>12.52</v>
      </c>
      <c r="H213" s="34">
        <f t="shared" si="25"/>
        <v>12.52</v>
      </c>
      <c r="I213" s="10"/>
      <c r="J213" s="10"/>
      <c r="K213" s="10"/>
      <c r="L213" s="10"/>
    </row>
    <row r="214" spans="1:12" ht="49.95" customHeight="1">
      <c r="A214" s="17" t="s">
        <v>497</v>
      </c>
      <c r="B214" s="42">
        <v>89446</v>
      </c>
      <c r="C214" s="31" t="s">
        <v>688</v>
      </c>
      <c r="D214" s="32" t="s">
        <v>61</v>
      </c>
      <c r="E214" s="32" t="s">
        <v>63</v>
      </c>
      <c r="F214" s="33">
        <v>26.14</v>
      </c>
      <c r="G214" s="34">
        <v>6.09</v>
      </c>
      <c r="H214" s="34">
        <f t="shared" si="25"/>
        <v>159.1926</v>
      </c>
      <c r="I214" s="10"/>
      <c r="J214" s="10"/>
      <c r="K214" s="10"/>
      <c r="L214" s="10"/>
    </row>
    <row r="215" spans="1:12" ht="49.95" customHeight="1">
      <c r="A215" s="17" t="s">
        <v>498</v>
      </c>
      <c r="B215" s="56">
        <v>89447</v>
      </c>
      <c r="C215" s="36" t="s">
        <v>761</v>
      </c>
      <c r="D215" s="32" t="s">
        <v>61</v>
      </c>
      <c r="E215" s="32" t="s">
        <v>63</v>
      </c>
      <c r="F215" s="33">
        <v>2.62</v>
      </c>
      <c r="G215" s="34">
        <v>12.15</v>
      </c>
      <c r="H215" s="34">
        <f t="shared" si="25"/>
        <v>31.833000000000002</v>
      </c>
      <c r="I215" s="10"/>
      <c r="J215" s="10"/>
      <c r="K215" s="10"/>
      <c r="L215" s="10"/>
    </row>
    <row r="216" spans="1:12" ht="20.100000000000001" customHeight="1">
      <c r="A216" s="5" t="s">
        <v>499</v>
      </c>
      <c r="B216" s="106" t="s">
        <v>500</v>
      </c>
      <c r="C216" s="106"/>
      <c r="D216" s="106"/>
      <c r="E216" s="106"/>
      <c r="F216" s="106"/>
      <c r="G216" s="106"/>
      <c r="H216" s="8">
        <f>SUM(H217:H236)-0.01</f>
        <v>3565.1938999999993</v>
      </c>
      <c r="I216" s="7"/>
      <c r="J216" s="7"/>
      <c r="K216" s="7"/>
      <c r="L216" s="7"/>
    </row>
    <row r="217" spans="1:12" ht="49.95" customHeight="1">
      <c r="A217" s="17" t="s">
        <v>501</v>
      </c>
      <c r="B217" s="57">
        <v>91893</v>
      </c>
      <c r="C217" s="36" t="s">
        <v>762</v>
      </c>
      <c r="D217" s="58" t="s">
        <v>61</v>
      </c>
      <c r="E217" s="40" t="s">
        <v>276</v>
      </c>
      <c r="F217" s="41">
        <v>2</v>
      </c>
      <c r="G217" s="62">
        <v>16.37</v>
      </c>
      <c r="H217" s="34">
        <f>F217*G217</f>
        <v>32.74</v>
      </c>
      <c r="I217" s="10"/>
      <c r="J217" s="11"/>
      <c r="K217" s="12"/>
      <c r="L217" s="13"/>
    </row>
    <row r="218" spans="1:12" ht="49.95" customHeight="1">
      <c r="A218" s="17" t="s">
        <v>502</v>
      </c>
      <c r="B218" s="59">
        <v>95741</v>
      </c>
      <c r="C218" s="60" t="s">
        <v>763</v>
      </c>
      <c r="D218" s="61" t="s">
        <v>61</v>
      </c>
      <c r="E218" s="30" t="s">
        <v>276</v>
      </c>
      <c r="F218" s="29">
        <v>1</v>
      </c>
      <c r="G218" s="76">
        <v>16.03</v>
      </c>
      <c r="H218" s="34">
        <f t="shared" ref="H218:H236" si="26">F218*G218</f>
        <v>16.03</v>
      </c>
      <c r="I218" s="10"/>
      <c r="J218" s="10"/>
      <c r="K218" s="10"/>
      <c r="L218" s="10"/>
    </row>
    <row r="219" spans="1:12" ht="49.95" customHeight="1">
      <c r="A219" s="17" t="s">
        <v>503</v>
      </c>
      <c r="B219" s="35">
        <v>104447</v>
      </c>
      <c r="C219" s="36" t="s">
        <v>764</v>
      </c>
      <c r="D219" s="102" t="s">
        <v>61</v>
      </c>
      <c r="E219" s="102" t="s">
        <v>276</v>
      </c>
      <c r="F219" s="33">
        <v>4</v>
      </c>
      <c r="G219" s="34">
        <v>11.06</v>
      </c>
      <c r="H219" s="34">
        <f t="shared" si="26"/>
        <v>44.24</v>
      </c>
      <c r="I219" s="10"/>
      <c r="J219" s="10"/>
      <c r="K219" s="10"/>
      <c r="L219" s="10"/>
    </row>
    <row r="220" spans="1:12" ht="49.95" customHeight="1">
      <c r="A220" s="17" t="s">
        <v>504</v>
      </c>
      <c r="B220" s="35">
        <v>91953</v>
      </c>
      <c r="C220" s="36" t="s">
        <v>697</v>
      </c>
      <c r="D220" s="102" t="s">
        <v>61</v>
      </c>
      <c r="E220" s="102" t="s">
        <v>276</v>
      </c>
      <c r="F220" s="33">
        <v>1</v>
      </c>
      <c r="G220" s="34">
        <v>32.159999999999997</v>
      </c>
      <c r="H220" s="34">
        <f t="shared" si="26"/>
        <v>32.159999999999997</v>
      </c>
      <c r="I220" s="10"/>
      <c r="J220" s="10"/>
      <c r="K220" s="10"/>
      <c r="L220" s="10"/>
    </row>
    <row r="221" spans="1:12" ht="49.95" customHeight="1">
      <c r="A221" s="17" t="s">
        <v>505</v>
      </c>
      <c r="B221" s="35">
        <v>92023</v>
      </c>
      <c r="C221" s="36" t="s">
        <v>765</v>
      </c>
      <c r="D221" s="102" t="s">
        <v>61</v>
      </c>
      <c r="E221" s="102" t="s">
        <v>276</v>
      </c>
      <c r="F221" s="33">
        <v>1</v>
      </c>
      <c r="G221" s="34">
        <v>54.74</v>
      </c>
      <c r="H221" s="34">
        <f t="shared" si="26"/>
        <v>54.74</v>
      </c>
      <c r="I221" s="10"/>
      <c r="J221" s="10"/>
      <c r="K221" s="10"/>
      <c r="L221" s="10"/>
    </row>
    <row r="222" spans="1:12" ht="49.95" customHeight="1">
      <c r="A222" s="17" t="s">
        <v>506</v>
      </c>
      <c r="B222" s="35">
        <v>1872</v>
      </c>
      <c r="C222" s="36" t="s">
        <v>766</v>
      </c>
      <c r="D222" s="102" t="s">
        <v>61</v>
      </c>
      <c r="E222" s="102" t="s">
        <v>276</v>
      </c>
      <c r="F222" s="33">
        <v>1</v>
      </c>
      <c r="G222" s="34">
        <v>1.54</v>
      </c>
      <c r="H222" s="34">
        <f t="shared" si="26"/>
        <v>1.54</v>
      </c>
      <c r="I222" s="10"/>
      <c r="J222" s="10"/>
      <c r="K222" s="10"/>
      <c r="L222" s="10"/>
    </row>
    <row r="223" spans="1:12" ht="49.95" customHeight="1">
      <c r="A223" s="17" t="s">
        <v>507</v>
      </c>
      <c r="B223" s="35">
        <v>101876</v>
      </c>
      <c r="C223" s="36" t="s">
        <v>767</v>
      </c>
      <c r="D223" s="102" t="s">
        <v>61</v>
      </c>
      <c r="E223" s="102" t="s">
        <v>276</v>
      </c>
      <c r="F223" s="33">
        <v>1</v>
      </c>
      <c r="G223" s="34">
        <v>119.29</v>
      </c>
      <c r="H223" s="34">
        <f t="shared" si="26"/>
        <v>119.29</v>
      </c>
      <c r="I223" s="10"/>
      <c r="J223" s="10"/>
      <c r="K223" s="10"/>
      <c r="L223" s="10"/>
    </row>
    <row r="224" spans="1:12" ht="49.95" customHeight="1">
      <c r="A224" s="17" t="s">
        <v>508</v>
      </c>
      <c r="B224" s="35">
        <v>91996</v>
      </c>
      <c r="C224" s="36" t="s">
        <v>768</v>
      </c>
      <c r="D224" s="102" t="s">
        <v>61</v>
      </c>
      <c r="E224" s="102" t="s">
        <v>276</v>
      </c>
      <c r="F224" s="33">
        <v>1</v>
      </c>
      <c r="G224" s="34">
        <v>37.99</v>
      </c>
      <c r="H224" s="34">
        <f t="shared" si="26"/>
        <v>37.99</v>
      </c>
      <c r="I224" s="10"/>
      <c r="J224" s="10"/>
      <c r="K224" s="10"/>
      <c r="L224" s="10"/>
    </row>
    <row r="225" spans="1:12" ht="49.95" customHeight="1">
      <c r="A225" s="17" t="s">
        <v>509</v>
      </c>
      <c r="B225" s="57">
        <v>92004</v>
      </c>
      <c r="C225" s="36" t="s">
        <v>703</v>
      </c>
      <c r="D225" s="58" t="s">
        <v>61</v>
      </c>
      <c r="E225" s="40" t="s">
        <v>276</v>
      </c>
      <c r="F225" s="41">
        <v>1</v>
      </c>
      <c r="G225" s="62">
        <v>60.61</v>
      </c>
      <c r="H225" s="34">
        <f t="shared" si="26"/>
        <v>60.61</v>
      </c>
      <c r="I225" s="10"/>
      <c r="J225" s="11"/>
      <c r="K225" s="12"/>
      <c r="L225" s="13"/>
    </row>
    <row r="226" spans="1:12" ht="49.95" customHeight="1">
      <c r="A226" s="17" t="s">
        <v>510</v>
      </c>
      <c r="B226" s="59">
        <v>91924</v>
      </c>
      <c r="C226" s="60" t="s">
        <v>705</v>
      </c>
      <c r="D226" s="61" t="s">
        <v>61</v>
      </c>
      <c r="E226" s="30" t="s">
        <v>63</v>
      </c>
      <c r="F226" s="29">
        <v>16.600000000000001</v>
      </c>
      <c r="G226" s="76">
        <v>3.72</v>
      </c>
      <c r="H226" s="34">
        <f t="shared" si="26"/>
        <v>61.75200000000001</v>
      </c>
      <c r="I226" s="10"/>
      <c r="J226" s="10"/>
      <c r="K226" s="10"/>
      <c r="L226" s="10"/>
    </row>
    <row r="227" spans="1:12" ht="49.95" customHeight="1">
      <c r="A227" s="17" t="s">
        <v>511</v>
      </c>
      <c r="B227" s="35">
        <v>91926</v>
      </c>
      <c r="C227" s="36" t="s">
        <v>706</v>
      </c>
      <c r="D227" s="32" t="s">
        <v>61</v>
      </c>
      <c r="E227" s="32" t="s">
        <v>63</v>
      </c>
      <c r="F227" s="33">
        <v>52.2</v>
      </c>
      <c r="G227" s="34">
        <v>5.47</v>
      </c>
      <c r="H227" s="34">
        <f t="shared" si="26"/>
        <v>285.53399999999999</v>
      </c>
      <c r="I227" s="10"/>
      <c r="J227" s="10"/>
      <c r="K227" s="10"/>
      <c r="L227" s="10"/>
    </row>
    <row r="228" spans="1:12" ht="49.95" customHeight="1">
      <c r="A228" s="17" t="s">
        <v>512</v>
      </c>
      <c r="B228" s="35">
        <v>91931</v>
      </c>
      <c r="C228" s="36" t="s">
        <v>704</v>
      </c>
      <c r="D228" s="32" t="s">
        <v>61</v>
      </c>
      <c r="E228" s="32" t="s">
        <v>63</v>
      </c>
      <c r="F228" s="33">
        <v>112.2</v>
      </c>
      <c r="G228" s="34">
        <v>13.01</v>
      </c>
      <c r="H228" s="34">
        <f t="shared" si="26"/>
        <v>1459.722</v>
      </c>
      <c r="I228" s="10"/>
      <c r="J228" s="10"/>
      <c r="K228" s="10"/>
      <c r="L228" s="10"/>
    </row>
    <row r="229" spans="1:12" ht="49.95" customHeight="1">
      <c r="A229" s="17" t="s">
        <v>513</v>
      </c>
      <c r="B229" s="35">
        <v>91869</v>
      </c>
      <c r="C229" s="36" t="s">
        <v>769</v>
      </c>
      <c r="D229" s="32" t="s">
        <v>61</v>
      </c>
      <c r="E229" s="32" t="s">
        <v>63</v>
      </c>
      <c r="F229" s="33">
        <v>33.450000000000003</v>
      </c>
      <c r="G229" s="34">
        <v>20.399999999999999</v>
      </c>
      <c r="H229" s="34">
        <f t="shared" si="26"/>
        <v>682.38</v>
      </c>
      <c r="I229" s="10"/>
      <c r="J229" s="10"/>
      <c r="K229" s="10"/>
      <c r="L229" s="10"/>
    </row>
    <row r="230" spans="1:12" ht="49.95" customHeight="1">
      <c r="A230" s="17" t="s">
        <v>514</v>
      </c>
      <c r="B230" s="35">
        <v>95728</v>
      </c>
      <c r="C230" s="36" t="s">
        <v>770</v>
      </c>
      <c r="D230" s="32" t="s">
        <v>61</v>
      </c>
      <c r="E230" s="32" t="s">
        <v>63</v>
      </c>
      <c r="F230" s="33">
        <v>2.2799999999999998</v>
      </c>
      <c r="G230" s="34">
        <v>28.91</v>
      </c>
      <c r="H230" s="34">
        <f t="shared" si="26"/>
        <v>65.9148</v>
      </c>
      <c r="I230" s="10"/>
      <c r="J230" s="10"/>
      <c r="K230" s="10"/>
      <c r="L230" s="10"/>
    </row>
    <row r="231" spans="1:12" ht="49.95" customHeight="1">
      <c r="A231" s="17" t="s">
        <v>515</v>
      </c>
      <c r="B231" s="35">
        <v>91854</v>
      </c>
      <c r="C231" s="36" t="s">
        <v>709</v>
      </c>
      <c r="D231" s="32" t="s">
        <v>61</v>
      </c>
      <c r="E231" s="32" t="s">
        <v>63</v>
      </c>
      <c r="F231" s="33">
        <v>18.309999999999999</v>
      </c>
      <c r="G231" s="34">
        <v>10.81</v>
      </c>
      <c r="H231" s="34">
        <f t="shared" si="26"/>
        <v>197.93109999999999</v>
      </c>
      <c r="I231" s="10"/>
      <c r="J231" s="10"/>
      <c r="K231" s="10"/>
      <c r="L231" s="10"/>
    </row>
    <row r="232" spans="1:12" ht="49.95" customHeight="1">
      <c r="A232" s="17" t="s">
        <v>516</v>
      </c>
      <c r="B232" s="35">
        <v>39469</v>
      </c>
      <c r="C232" s="36" t="s">
        <v>771</v>
      </c>
      <c r="D232" s="102" t="s">
        <v>61</v>
      </c>
      <c r="E232" s="102" t="s">
        <v>276</v>
      </c>
      <c r="F232" s="33">
        <v>1</v>
      </c>
      <c r="G232" s="34">
        <v>72.95</v>
      </c>
      <c r="H232" s="34">
        <f t="shared" si="26"/>
        <v>72.95</v>
      </c>
      <c r="I232" s="10"/>
      <c r="J232" s="10"/>
      <c r="K232" s="10"/>
      <c r="L232" s="10"/>
    </row>
    <row r="233" spans="1:12" ht="49.95" customHeight="1">
      <c r="A233" s="17" t="s">
        <v>517</v>
      </c>
      <c r="B233" s="35">
        <v>39470</v>
      </c>
      <c r="C233" s="36" t="s">
        <v>692</v>
      </c>
      <c r="D233" s="102" t="s">
        <v>61</v>
      </c>
      <c r="E233" s="102" t="s">
        <v>276</v>
      </c>
      <c r="F233" s="33">
        <v>1</v>
      </c>
      <c r="G233" s="34">
        <v>89.64</v>
      </c>
      <c r="H233" s="34">
        <f t="shared" si="26"/>
        <v>89.64</v>
      </c>
      <c r="I233" s="10"/>
      <c r="J233" s="10"/>
      <c r="K233" s="10"/>
      <c r="L233" s="10"/>
    </row>
    <row r="234" spans="1:12" ht="49.95" customHeight="1">
      <c r="A234" s="17" t="s">
        <v>518</v>
      </c>
      <c r="B234" s="35">
        <v>16</v>
      </c>
      <c r="C234" s="36" t="s">
        <v>693</v>
      </c>
      <c r="D234" s="102" t="s">
        <v>274</v>
      </c>
      <c r="E234" s="102" t="s">
        <v>5</v>
      </c>
      <c r="F234" s="33">
        <v>1</v>
      </c>
      <c r="G234" s="34">
        <v>196.6</v>
      </c>
      <c r="H234" s="34">
        <f t="shared" si="26"/>
        <v>196.6</v>
      </c>
      <c r="I234" s="10"/>
      <c r="J234" s="10"/>
      <c r="K234" s="10"/>
      <c r="L234" s="10"/>
    </row>
    <row r="235" spans="1:12" ht="49.95" customHeight="1">
      <c r="A235" s="17" t="s">
        <v>519</v>
      </c>
      <c r="B235" s="35">
        <v>93653</v>
      </c>
      <c r="C235" s="36" t="s">
        <v>694</v>
      </c>
      <c r="D235" s="102" t="s">
        <v>61</v>
      </c>
      <c r="E235" s="102" t="s">
        <v>276</v>
      </c>
      <c r="F235" s="33">
        <v>3</v>
      </c>
      <c r="G235" s="34">
        <v>12.41</v>
      </c>
      <c r="H235" s="34">
        <f t="shared" si="26"/>
        <v>37.230000000000004</v>
      </c>
      <c r="I235" s="10"/>
      <c r="J235" s="10"/>
      <c r="K235" s="10"/>
      <c r="L235" s="10"/>
    </row>
    <row r="236" spans="1:12" ht="49.95" customHeight="1">
      <c r="A236" s="17" t="s">
        <v>520</v>
      </c>
      <c r="B236" s="35">
        <v>93657</v>
      </c>
      <c r="C236" s="36" t="s">
        <v>696</v>
      </c>
      <c r="D236" s="102" t="s">
        <v>61</v>
      </c>
      <c r="E236" s="102" t="s">
        <v>276</v>
      </c>
      <c r="F236" s="33">
        <v>1</v>
      </c>
      <c r="G236" s="34">
        <v>16.21</v>
      </c>
      <c r="H236" s="34">
        <f t="shared" si="26"/>
        <v>16.21</v>
      </c>
      <c r="I236" s="10"/>
      <c r="J236" s="10"/>
      <c r="K236" s="10"/>
      <c r="L236" s="10"/>
    </row>
    <row r="237" spans="1:12" ht="20.100000000000001" customHeight="1">
      <c r="A237" s="101" t="s">
        <v>521</v>
      </c>
      <c r="B237" s="160" t="s">
        <v>522</v>
      </c>
      <c r="C237" s="161"/>
      <c r="D237" s="161"/>
      <c r="E237" s="161"/>
      <c r="F237" s="161"/>
      <c r="G237" s="162"/>
      <c r="H237" s="8">
        <f>SUM(H238:H255)</f>
        <v>7039.6363000000001</v>
      </c>
      <c r="I237" s="7"/>
      <c r="J237" s="7"/>
      <c r="K237" s="7"/>
      <c r="L237" s="7"/>
    </row>
    <row r="238" spans="1:12" ht="49.95" customHeight="1">
      <c r="A238" s="17" t="s">
        <v>523</v>
      </c>
      <c r="B238" s="57">
        <v>98102</v>
      </c>
      <c r="C238" s="36" t="s">
        <v>772</v>
      </c>
      <c r="D238" s="58" t="s">
        <v>61</v>
      </c>
      <c r="E238" s="40" t="s">
        <v>276</v>
      </c>
      <c r="F238" s="41">
        <v>1</v>
      </c>
      <c r="G238" s="62">
        <v>232.2</v>
      </c>
      <c r="H238" s="34">
        <f>F238*G238</f>
        <v>232.2</v>
      </c>
      <c r="I238" s="10"/>
      <c r="J238" s="11"/>
      <c r="K238" s="12"/>
      <c r="L238" s="13"/>
    </row>
    <row r="239" spans="1:12" ht="49.95" customHeight="1">
      <c r="A239" s="17" t="s">
        <v>524</v>
      </c>
      <c r="B239" s="59">
        <v>104063</v>
      </c>
      <c r="C239" s="60" t="s">
        <v>773</v>
      </c>
      <c r="D239" s="61" t="s">
        <v>61</v>
      </c>
      <c r="E239" s="30" t="s">
        <v>276</v>
      </c>
      <c r="F239" s="29">
        <v>1</v>
      </c>
      <c r="G239" s="76">
        <v>72.98</v>
      </c>
      <c r="H239" s="34">
        <f t="shared" ref="H239:H255" si="27">F239*G239</f>
        <v>72.98</v>
      </c>
      <c r="I239" s="10"/>
      <c r="J239" s="10"/>
      <c r="K239" s="10"/>
      <c r="L239" s="10"/>
    </row>
    <row r="240" spans="1:12" ht="49.95" customHeight="1">
      <c r="A240" s="17" t="s">
        <v>525</v>
      </c>
      <c r="B240" s="35">
        <v>89726</v>
      </c>
      <c r="C240" s="36" t="s">
        <v>717</v>
      </c>
      <c r="D240" s="102" t="s">
        <v>61</v>
      </c>
      <c r="E240" s="102" t="s">
        <v>276</v>
      </c>
      <c r="F240" s="33">
        <v>3</v>
      </c>
      <c r="G240" s="34">
        <v>10.95</v>
      </c>
      <c r="H240" s="34">
        <f t="shared" si="27"/>
        <v>32.849999999999994</v>
      </c>
      <c r="I240" s="10"/>
      <c r="J240" s="10"/>
      <c r="K240" s="10"/>
      <c r="L240" s="10"/>
    </row>
    <row r="241" spans="1:12" ht="49.95" customHeight="1">
      <c r="A241" s="17" t="s">
        <v>526</v>
      </c>
      <c r="B241" s="35">
        <v>89732</v>
      </c>
      <c r="C241" s="36" t="s">
        <v>718</v>
      </c>
      <c r="D241" s="102" t="s">
        <v>61</v>
      </c>
      <c r="E241" s="102" t="s">
        <v>276</v>
      </c>
      <c r="F241" s="33">
        <v>3</v>
      </c>
      <c r="G241" s="34">
        <v>17.82</v>
      </c>
      <c r="H241" s="34">
        <f t="shared" si="27"/>
        <v>53.46</v>
      </c>
      <c r="I241" s="10"/>
      <c r="J241" s="10"/>
      <c r="K241" s="10"/>
      <c r="L241" s="10"/>
    </row>
    <row r="242" spans="1:12" ht="49.95" customHeight="1">
      <c r="A242" s="17" t="s">
        <v>527</v>
      </c>
      <c r="B242" s="35">
        <v>89724</v>
      </c>
      <c r="C242" s="36" t="s">
        <v>719</v>
      </c>
      <c r="D242" s="102" t="s">
        <v>61</v>
      </c>
      <c r="E242" s="102" t="s">
        <v>276</v>
      </c>
      <c r="F242" s="33">
        <v>4</v>
      </c>
      <c r="G242" s="34">
        <v>10.7</v>
      </c>
      <c r="H242" s="34">
        <f t="shared" si="27"/>
        <v>42.8</v>
      </c>
      <c r="I242" s="10"/>
      <c r="J242" s="10"/>
      <c r="K242" s="10"/>
      <c r="L242" s="10"/>
    </row>
    <row r="243" spans="1:12" ht="49.95" customHeight="1">
      <c r="A243" s="17" t="s">
        <v>528</v>
      </c>
      <c r="B243" s="35">
        <v>89731</v>
      </c>
      <c r="C243" s="36" t="s">
        <v>684</v>
      </c>
      <c r="D243" s="102" t="s">
        <v>61</v>
      </c>
      <c r="E243" s="102" t="s">
        <v>276</v>
      </c>
      <c r="F243" s="33">
        <v>3</v>
      </c>
      <c r="G243" s="34">
        <v>17.02</v>
      </c>
      <c r="H243" s="34">
        <f t="shared" si="27"/>
        <v>51.06</v>
      </c>
      <c r="I243" s="10"/>
      <c r="J243" s="10"/>
      <c r="K243" s="10"/>
      <c r="L243" s="10"/>
    </row>
    <row r="244" spans="1:12" ht="49.95" customHeight="1">
      <c r="A244" s="17" t="s">
        <v>529</v>
      </c>
      <c r="B244" s="35">
        <v>89744</v>
      </c>
      <c r="C244" s="36" t="s">
        <v>720</v>
      </c>
      <c r="D244" s="102" t="s">
        <v>61</v>
      </c>
      <c r="E244" s="102" t="s">
        <v>276</v>
      </c>
      <c r="F244" s="33">
        <v>1</v>
      </c>
      <c r="G244" s="34">
        <v>31.13</v>
      </c>
      <c r="H244" s="34">
        <f t="shared" si="27"/>
        <v>31.13</v>
      </c>
      <c r="I244" s="10"/>
      <c r="J244" s="10"/>
      <c r="K244" s="10"/>
      <c r="L244" s="10"/>
    </row>
    <row r="245" spans="1:12" ht="49.95" customHeight="1">
      <c r="A245" s="17" t="s">
        <v>530</v>
      </c>
      <c r="B245" s="35">
        <v>104353</v>
      </c>
      <c r="C245" s="36" t="s">
        <v>722</v>
      </c>
      <c r="D245" s="102" t="s">
        <v>61</v>
      </c>
      <c r="E245" s="102" t="s">
        <v>276</v>
      </c>
      <c r="F245" s="33">
        <v>1</v>
      </c>
      <c r="G245" s="34">
        <v>46.81</v>
      </c>
      <c r="H245" s="34">
        <f t="shared" si="27"/>
        <v>46.81</v>
      </c>
      <c r="I245" s="10"/>
      <c r="J245" s="10"/>
      <c r="K245" s="10"/>
      <c r="L245" s="10"/>
    </row>
    <row r="246" spans="1:12" ht="49.95" customHeight="1">
      <c r="A246" s="17" t="s">
        <v>531</v>
      </c>
      <c r="B246" s="57">
        <v>89779</v>
      </c>
      <c r="C246" s="36" t="s">
        <v>774</v>
      </c>
      <c r="D246" s="58" t="s">
        <v>61</v>
      </c>
      <c r="E246" s="40" t="s">
        <v>276</v>
      </c>
      <c r="F246" s="41">
        <v>1</v>
      </c>
      <c r="G246" s="62">
        <v>38.67</v>
      </c>
      <c r="H246" s="34">
        <f t="shared" si="27"/>
        <v>38.67</v>
      </c>
      <c r="I246" s="10"/>
      <c r="J246" s="11"/>
      <c r="K246" s="12"/>
      <c r="L246" s="13"/>
    </row>
    <row r="247" spans="1:12" ht="49.95" customHeight="1">
      <c r="A247" s="17" t="s">
        <v>532</v>
      </c>
      <c r="B247" s="59">
        <v>104348</v>
      </c>
      <c r="C247" s="60" t="s">
        <v>723</v>
      </c>
      <c r="D247" s="61" t="s">
        <v>61</v>
      </c>
      <c r="E247" s="30" t="s">
        <v>276</v>
      </c>
      <c r="F247" s="29">
        <v>1</v>
      </c>
      <c r="G247" s="76">
        <v>11.64</v>
      </c>
      <c r="H247" s="34">
        <f t="shared" si="27"/>
        <v>11.64</v>
      </c>
      <c r="I247" s="10"/>
      <c r="J247" s="10"/>
      <c r="K247" s="10"/>
      <c r="L247" s="10"/>
    </row>
    <row r="248" spans="1:12" ht="49.95" customHeight="1">
      <c r="A248" s="17" t="s">
        <v>533</v>
      </c>
      <c r="B248" s="35">
        <v>89696</v>
      </c>
      <c r="C248" s="36" t="s">
        <v>775</v>
      </c>
      <c r="D248" s="102" t="s">
        <v>61</v>
      </c>
      <c r="E248" s="102" t="s">
        <v>276</v>
      </c>
      <c r="F248" s="33">
        <v>1</v>
      </c>
      <c r="G248" s="34">
        <v>92.4</v>
      </c>
      <c r="H248" s="34">
        <f t="shared" si="27"/>
        <v>92.4</v>
      </c>
      <c r="I248" s="10"/>
      <c r="J248" s="10"/>
      <c r="K248" s="10"/>
      <c r="L248" s="10"/>
    </row>
    <row r="249" spans="1:12" ht="49.95" customHeight="1">
      <c r="A249" s="17" t="s">
        <v>534</v>
      </c>
      <c r="B249" s="57">
        <v>104329</v>
      </c>
      <c r="C249" s="36" t="s">
        <v>726</v>
      </c>
      <c r="D249" s="58" t="s">
        <v>61</v>
      </c>
      <c r="E249" s="40" t="s">
        <v>276</v>
      </c>
      <c r="F249" s="41">
        <v>1</v>
      </c>
      <c r="G249" s="62">
        <v>77.48</v>
      </c>
      <c r="H249" s="34">
        <f t="shared" si="27"/>
        <v>77.48</v>
      </c>
      <c r="I249" s="10"/>
      <c r="J249" s="11"/>
      <c r="K249" s="12"/>
      <c r="L249" s="13"/>
    </row>
    <row r="250" spans="1:12" ht="49.95" customHeight="1">
      <c r="A250" s="17" t="s">
        <v>535</v>
      </c>
      <c r="B250" s="59">
        <v>11745</v>
      </c>
      <c r="C250" s="60" t="s">
        <v>776</v>
      </c>
      <c r="D250" s="61" t="s">
        <v>61</v>
      </c>
      <c r="E250" s="30" t="s">
        <v>276</v>
      </c>
      <c r="F250" s="29">
        <v>1</v>
      </c>
      <c r="G250" s="76">
        <v>14.66</v>
      </c>
      <c r="H250" s="34">
        <f t="shared" si="27"/>
        <v>14.66</v>
      </c>
      <c r="I250" s="10"/>
      <c r="J250" s="10"/>
      <c r="K250" s="10"/>
      <c r="L250" s="10"/>
    </row>
    <row r="251" spans="1:12" ht="49.95" customHeight="1">
      <c r="A251" s="17" t="s">
        <v>536</v>
      </c>
      <c r="B251" s="35">
        <v>89711</v>
      </c>
      <c r="C251" s="36" t="s">
        <v>777</v>
      </c>
      <c r="D251" s="102" t="s">
        <v>61</v>
      </c>
      <c r="E251" s="102" t="s">
        <v>63</v>
      </c>
      <c r="F251" s="33">
        <v>2.54</v>
      </c>
      <c r="G251" s="34">
        <v>23.31</v>
      </c>
      <c r="H251" s="34">
        <f>F251*G251-0.01</f>
        <v>59.197400000000002</v>
      </c>
      <c r="I251" s="10"/>
      <c r="J251" s="10"/>
      <c r="K251" s="10"/>
      <c r="L251" s="10"/>
    </row>
    <row r="252" spans="1:12" ht="49.95" customHeight="1">
      <c r="A252" s="17" t="s">
        <v>537</v>
      </c>
      <c r="B252" s="35">
        <v>89712</v>
      </c>
      <c r="C252" s="36" t="s">
        <v>728</v>
      </c>
      <c r="D252" s="102" t="s">
        <v>61</v>
      </c>
      <c r="E252" s="102" t="s">
        <v>63</v>
      </c>
      <c r="F252" s="33">
        <v>5.05</v>
      </c>
      <c r="G252" s="34">
        <v>29.55</v>
      </c>
      <c r="H252" s="34">
        <f>F252*G252-0.01</f>
        <v>149.2175</v>
      </c>
      <c r="I252" s="10"/>
      <c r="J252" s="10"/>
      <c r="K252" s="10"/>
      <c r="L252" s="10"/>
    </row>
    <row r="253" spans="1:12" ht="49.95" customHeight="1">
      <c r="A253" s="17" t="s">
        <v>538</v>
      </c>
      <c r="B253" s="35">
        <v>89714</v>
      </c>
      <c r="C253" s="36" t="s">
        <v>729</v>
      </c>
      <c r="D253" s="102" t="s">
        <v>61</v>
      </c>
      <c r="E253" s="102" t="s">
        <v>63</v>
      </c>
      <c r="F253" s="33">
        <v>13.78</v>
      </c>
      <c r="G253" s="34">
        <v>41.13</v>
      </c>
      <c r="H253" s="34">
        <f t="shared" si="27"/>
        <v>566.77139999999997</v>
      </c>
      <c r="I253" s="10"/>
      <c r="J253" s="10"/>
      <c r="K253" s="10"/>
      <c r="L253" s="10"/>
    </row>
    <row r="254" spans="1:12" ht="49.95" customHeight="1">
      <c r="A254" s="17" t="s">
        <v>539</v>
      </c>
      <c r="B254" s="35">
        <v>89696</v>
      </c>
      <c r="C254" s="36" t="s">
        <v>775</v>
      </c>
      <c r="D254" s="102" t="s">
        <v>61</v>
      </c>
      <c r="E254" s="102" t="s">
        <v>276</v>
      </c>
      <c r="F254" s="33">
        <v>1</v>
      </c>
      <c r="G254" s="34">
        <v>92.4</v>
      </c>
      <c r="H254" s="34">
        <f t="shared" si="27"/>
        <v>92.4</v>
      </c>
      <c r="I254" s="10"/>
      <c r="J254" s="10"/>
      <c r="K254" s="10"/>
      <c r="L254" s="10"/>
    </row>
    <row r="255" spans="1:12" ht="49.95" customHeight="1">
      <c r="A255" s="17" t="s">
        <v>540</v>
      </c>
      <c r="B255" s="35">
        <v>98083</v>
      </c>
      <c r="C255" s="36" t="s">
        <v>778</v>
      </c>
      <c r="D255" s="102" t="s">
        <v>61</v>
      </c>
      <c r="E255" s="102" t="s">
        <v>276</v>
      </c>
      <c r="F255" s="33">
        <v>1</v>
      </c>
      <c r="G255" s="34">
        <v>5373.91</v>
      </c>
      <c r="H255" s="34">
        <f t="shared" si="27"/>
        <v>5373.91</v>
      </c>
      <c r="I255" s="10"/>
      <c r="J255" s="10"/>
      <c r="K255" s="10"/>
      <c r="L255" s="10"/>
    </row>
    <row r="256" spans="1:12" ht="20.100000000000001" customHeight="1">
      <c r="A256" s="101" t="s">
        <v>541</v>
      </c>
      <c r="B256" s="160" t="s">
        <v>21</v>
      </c>
      <c r="C256" s="161"/>
      <c r="D256" s="161"/>
      <c r="E256" s="161"/>
      <c r="F256" s="161"/>
      <c r="G256" s="162"/>
      <c r="H256" s="8">
        <f>SUM(H257:H261)+0.01</f>
        <v>4274.7034000000003</v>
      </c>
      <c r="I256" s="7"/>
      <c r="J256" s="7"/>
      <c r="K256" s="7"/>
      <c r="L256" s="7"/>
    </row>
    <row r="257" spans="1:12" ht="49.95" customHeight="1">
      <c r="A257" s="17" t="s">
        <v>542</v>
      </c>
      <c r="B257" s="57">
        <v>94204</v>
      </c>
      <c r="C257" s="36" t="s">
        <v>736</v>
      </c>
      <c r="D257" s="58" t="s">
        <v>61</v>
      </c>
      <c r="E257" s="40" t="s">
        <v>273</v>
      </c>
      <c r="F257" s="41">
        <v>13.28</v>
      </c>
      <c r="G257" s="62">
        <v>52.95</v>
      </c>
      <c r="H257" s="34">
        <f>F257*G257-0.01</f>
        <v>703.16600000000005</v>
      </c>
      <c r="I257" s="10"/>
      <c r="J257" s="11"/>
      <c r="K257" s="12"/>
      <c r="L257" s="13"/>
    </row>
    <row r="258" spans="1:12" ht="49.95" customHeight="1">
      <c r="A258" s="17" t="s">
        <v>543</v>
      </c>
      <c r="B258" s="59">
        <v>92540</v>
      </c>
      <c r="C258" s="60" t="s">
        <v>737</v>
      </c>
      <c r="D258" s="61" t="s">
        <v>61</v>
      </c>
      <c r="E258" s="30" t="s">
        <v>273</v>
      </c>
      <c r="F258" s="29">
        <v>13.28</v>
      </c>
      <c r="G258" s="76">
        <v>92.74</v>
      </c>
      <c r="H258" s="34">
        <f>F258*G258-0.01</f>
        <v>1231.5771999999999</v>
      </c>
      <c r="I258" s="10"/>
      <c r="J258" s="10"/>
      <c r="K258" s="10"/>
      <c r="L258" s="10"/>
    </row>
    <row r="259" spans="1:12" ht="49.95" customHeight="1">
      <c r="A259" s="17" t="s">
        <v>544</v>
      </c>
      <c r="B259" s="35">
        <v>92545</v>
      </c>
      <c r="C259" s="36" t="s">
        <v>779</v>
      </c>
      <c r="D259" s="102" t="s">
        <v>61</v>
      </c>
      <c r="E259" s="102" t="s">
        <v>276</v>
      </c>
      <c r="F259" s="33">
        <v>2</v>
      </c>
      <c r="G259" s="34">
        <v>1118.8800000000001</v>
      </c>
      <c r="H259" s="34">
        <f t="shared" ref="H258:H261" si="28">F259*G259</f>
        <v>2237.7600000000002</v>
      </c>
      <c r="I259" s="10"/>
      <c r="J259" s="10"/>
      <c r="K259" s="10"/>
      <c r="L259" s="10"/>
    </row>
    <row r="260" spans="1:12" ht="49.95" customHeight="1">
      <c r="A260" s="17" t="s">
        <v>545</v>
      </c>
      <c r="B260" s="35">
        <v>94221</v>
      </c>
      <c r="C260" s="36" t="s">
        <v>780</v>
      </c>
      <c r="D260" s="102" t="s">
        <v>61</v>
      </c>
      <c r="E260" s="102" t="s">
        <v>63</v>
      </c>
      <c r="F260" s="33">
        <v>3.2</v>
      </c>
      <c r="G260" s="34">
        <v>26.31</v>
      </c>
      <c r="H260" s="34">
        <f t="shared" si="28"/>
        <v>84.192000000000007</v>
      </c>
      <c r="I260" s="10"/>
      <c r="J260" s="10"/>
      <c r="K260" s="10"/>
      <c r="L260" s="10"/>
    </row>
    <row r="261" spans="1:12" ht="49.95" customHeight="1">
      <c r="A261" s="17" t="s">
        <v>546</v>
      </c>
      <c r="B261" s="35">
        <v>102233</v>
      </c>
      <c r="C261" s="36" t="s">
        <v>740</v>
      </c>
      <c r="D261" s="102" t="s">
        <v>61</v>
      </c>
      <c r="E261" s="102" t="s">
        <v>273</v>
      </c>
      <c r="F261" s="33">
        <v>1.33</v>
      </c>
      <c r="G261" s="34">
        <v>13.54</v>
      </c>
      <c r="H261" s="34">
        <f>F261*G261-0.01</f>
        <v>17.998199999999997</v>
      </c>
      <c r="I261" s="10"/>
      <c r="J261" s="10"/>
      <c r="K261" s="10"/>
      <c r="L261" s="10"/>
    </row>
    <row r="262" spans="1:12" ht="19.2" customHeight="1">
      <c r="A262" s="101" t="s">
        <v>547</v>
      </c>
      <c r="B262" s="160" t="s">
        <v>234</v>
      </c>
      <c r="C262" s="161"/>
      <c r="D262" s="161"/>
      <c r="E262" s="161"/>
      <c r="F262" s="161"/>
      <c r="G262" s="162"/>
      <c r="H262" s="8">
        <f>SUM(H263:H265)</f>
        <v>1059.2788</v>
      </c>
      <c r="I262" s="7"/>
      <c r="J262" s="7"/>
      <c r="K262" s="7"/>
      <c r="L262" s="7"/>
    </row>
    <row r="263" spans="1:12" ht="49.95" customHeight="1">
      <c r="A263" s="17" t="s">
        <v>548</v>
      </c>
      <c r="B263" s="57">
        <v>90822</v>
      </c>
      <c r="C263" s="36" t="s">
        <v>781</v>
      </c>
      <c r="D263" s="58" t="s">
        <v>61</v>
      </c>
      <c r="E263" s="40" t="s">
        <v>276</v>
      </c>
      <c r="F263" s="41">
        <v>1</v>
      </c>
      <c r="G263" s="62">
        <v>443.77</v>
      </c>
      <c r="H263" s="34">
        <f>F263*G263</f>
        <v>443.77</v>
      </c>
      <c r="I263" s="10"/>
      <c r="J263" s="11"/>
      <c r="K263" s="12"/>
      <c r="L263" s="13"/>
    </row>
    <row r="264" spans="1:12" ht="49.95" customHeight="1">
      <c r="A264" s="17" t="s">
        <v>549</v>
      </c>
      <c r="B264" s="59">
        <v>91010</v>
      </c>
      <c r="C264" s="60" t="s">
        <v>782</v>
      </c>
      <c r="D264" s="61" t="s">
        <v>61</v>
      </c>
      <c r="E264" s="30" t="s">
        <v>276</v>
      </c>
      <c r="F264" s="29">
        <v>1</v>
      </c>
      <c r="G264" s="76">
        <v>429.64</v>
      </c>
      <c r="H264" s="34">
        <f t="shared" ref="H264:H265" si="29">F264*G264</f>
        <v>429.64</v>
      </c>
      <c r="I264" s="10"/>
      <c r="J264" s="10"/>
      <c r="K264" s="10"/>
      <c r="L264" s="10"/>
    </row>
    <row r="265" spans="1:12" ht="49.95" customHeight="1">
      <c r="A265" s="17" t="s">
        <v>550</v>
      </c>
      <c r="B265" s="35">
        <v>101162</v>
      </c>
      <c r="C265" s="36" t="s">
        <v>783</v>
      </c>
      <c r="D265" s="102" t="s">
        <v>61</v>
      </c>
      <c r="E265" s="102" t="s">
        <v>273</v>
      </c>
      <c r="F265" s="33">
        <v>1.08</v>
      </c>
      <c r="G265" s="34">
        <v>172.11</v>
      </c>
      <c r="H265" s="34">
        <f>F265*G265-0.01</f>
        <v>185.86880000000005</v>
      </c>
      <c r="I265" s="10"/>
      <c r="J265" s="10"/>
      <c r="K265" s="10"/>
      <c r="L265" s="10"/>
    </row>
    <row r="266" spans="1:12" ht="20.100000000000001" customHeight="1">
      <c r="A266" s="101">
        <v>4</v>
      </c>
      <c r="B266" s="160" t="s">
        <v>551</v>
      </c>
      <c r="C266" s="161"/>
      <c r="D266" s="161"/>
      <c r="E266" s="161"/>
      <c r="F266" s="161"/>
      <c r="G266" s="162"/>
      <c r="H266" s="8">
        <f>SUM(H267,H270,H281,H289)</f>
        <v>92757.999499999991</v>
      </c>
      <c r="I266" s="7"/>
      <c r="J266" s="7"/>
      <c r="K266" s="7"/>
      <c r="L266" s="7"/>
    </row>
    <row r="267" spans="1:12" ht="20.100000000000001" customHeight="1">
      <c r="A267" s="101" t="s">
        <v>22</v>
      </c>
      <c r="B267" s="154" t="s">
        <v>41</v>
      </c>
      <c r="C267" s="155"/>
      <c r="D267" s="155"/>
      <c r="E267" s="155"/>
      <c r="F267" s="155"/>
      <c r="G267" s="156"/>
      <c r="H267" s="8">
        <f>SUM(H268:H269)+0.01</f>
        <v>3514.0226999999995</v>
      </c>
      <c r="I267" s="7"/>
      <c r="J267" s="7"/>
      <c r="K267" s="7"/>
      <c r="L267" s="7"/>
    </row>
    <row r="268" spans="1:12" ht="49.95" customHeight="1">
      <c r="A268" s="17" t="s">
        <v>554</v>
      </c>
      <c r="B268" s="57">
        <v>93358</v>
      </c>
      <c r="C268" s="36" t="s">
        <v>629</v>
      </c>
      <c r="D268" s="58" t="s">
        <v>61</v>
      </c>
      <c r="E268" s="40" t="s">
        <v>275</v>
      </c>
      <c r="F268" s="41">
        <v>30.57</v>
      </c>
      <c r="G268" s="62">
        <v>96.82</v>
      </c>
      <c r="H268" s="34">
        <f>F268*G268-0.01</f>
        <v>2959.7773999999995</v>
      </c>
      <c r="I268" s="10"/>
      <c r="J268" s="193">
        <f t="shared" ref="J268:J269" si="30">K268/F268</f>
        <v>1</v>
      </c>
      <c r="K268" s="41">
        <v>30.57</v>
      </c>
      <c r="L268" s="197">
        <f t="shared" ref="L268:L269" si="31">J268*H268</f>
        <v>2959.7773999999995</v>
      </c>
    </row>
    <row r="269" spans="1:12" ht="49.95" customHeight="1">
      <c r="A269" s="17" t="s">
        <v>555</v>
      </c>
      <c r="B269" s="59">
        <v>104737</v>
      </c>
      <c r="C269" s="60" t="s">
        <v>630</v>
      </c>
      <c r="D269" s="61" t="s">
        <v>61</v>
      </c>
      <c r="E269" s="30" t="s">
        <v>275</v>
      </c>
      <c r="F269" s="29">
        <v>22.43</v>
      </c>
      <c r="G269" s="76">
        <v>24.71</v>
      </c>
      <c r="H269" s="34">
        <f>F269*G269-0.01</f>
        <v>554.23530000000005</v>
      </c>
      <c r="I269" s="10"/>
      <c r="J269" s="193">
        <f t="shared" si="30"/>
        <v>1</v>
      </c>
      <c r="K269" s="29">
        <v>22.43</v>
      </c>
      <c r="L269" s="197">
        <f t="shared" si="31"/>
        <v>554.23530000000005</v>
      </c>
    </row>
    <row r="270" spans="1:12" ht="20.100000000000001" customHeight="1">
      <c r="A270" s="101" t="s">
        <v>552</v>
      </c>
      <c r="B270" s="160" t="s">
        <v>68</v>
      </c>
      <c r="C270" s="161"/>
      <c r="D270" s="161"/>
      <c r="E270" s="161"/>
      <c r="F270" s="161"/>
      <c r="G270" s="162"/>
      <c r="H270" s="8">
        <f>SUM(H271:H280)</f>
        <v>24777.845299999997</v>
      </c>
      <c r="I270" s="7"/>
      <c r="J270" s="7"/>
      <c r="K270" s="7"/>
      <c r="L270" s="7"/>
    </row>
    <row r="271" spans="1:12" ht="49.95" customHeight="1">
      <c r="A271" s="17" t="s">
        <v>556</v>
      </c>
      <c r="B271" s="57">
        <v>96619</v>
      </c>
      <c r="C271" s="36" t="s">
        <v>631</v>
      </c>
      <c r="D271" s="58" t="s">
        <v>61</v>
      </c>
      <c r="E271" s="40" t="s">
        <v>273</v>
      </c>
      <c r="F271" s="41">
        <v>20.49</v>
      </c>
      <c r="G271" s="62">
        <v>44.9</v>
      </c>
      <c r="H271" s="34">
        <f>F271*G271</f>
        <v>920.00099999999986</v>
      </c>
      <c r="I271" s="10"/>
      <c r="J271" s="193">
        <f t="shared" ref="J271:J280" si="32">K271/F271</f>
        <v>1</v>
      </c>
      <c r="K271" s="41">
        <v>20.49</v>
      </c>
      <c r="L271" s="197">
        <f t="shared" ref="L271:L288" si="33">J271*H271</f>
        <v>920.00099999999986</v>
      </c>
    </row>
    <row r="272" spans="1:12" ht="49.95" customHeight="1">
      <c r="A272" s="17" t="s">
        <v>557</v>
      </c>
      <c r="B272" s="59">
        <v>101616</v>
      </c>
      <c r="C272" s="60" t="s">
        <v>632</v>
      </c>
      <c r="D272" s="61" t="s">
        <v>61</v>
      </c>
      <c r="E272" s="30" t="s">
        <v>273</v>
      </c>
      <c r="F272" s="29">
        <v>35</v>
      </c>
      <c r="G272" s="76">
        <v>7.07</v>
      </c>
      <c r="H272" s="34">
        <f t="shared" ref="H272:H280" si="34">F272*G272</f>
        <v>247.45000000000002</v>
      </c>
      <c r="I272" s="10"/>
      <c r="J272" s="193">
        <f t="shared" si="32"/>
        <v>1</v>
      </c>
      <c r="K272" s="29">
        <v>35</v>
      </c>
      <c r="L272" s="197">
        <f t="shared" si="33"/>
        <v>247.45000000000002</v>
      </c>
    </row>
    <row r="273" spans="1:12" ht="49.95" customHeight="1">
      <c r="A273" s="17" t="s">
        <v>558</v>
      </c>
      <c r="B273" s="35">
        <v>94971</v>
      </c>
      <c r="C273" s="36" t="s">
        <v>633</v>
      </c>
      <c r="D273" s="102" t="s">
        <v>61</v>
      </c>
      <c r="E273" s="102" t="s">
        <v>275</v>
      </c>
      <c r="F273" s="33">
        <v>8.14</v>
      </c>
      <c r="G273" s="34">
        <v>559.80999999999995</v>
      </c>
      <c r="H273" s="34">
        <f t="shared" si="34"/>
        <v>4556.8534</v>
      </c>
      <c r="I273" s="10"/>
      <c r="J273" s="193">
        <f t="shared" si="32"/>
        <v>1</v>
      </c>
      <c r="K273" s="33">
        <v>8.14</v>
      </c>
      <c r="L273" s="197">
        <f t="shared" si="33"/>
        <v>4556.8534</v>
      </c>
    </row>
    <row r="274" spans="1:12" ht="49.95" customHeight="1">
      <c r="A274" s="17" t="s">
        <v>559</v>
      </c>
      <c r="B274" s="35">
        <v>103670</v>
      </c>
      <c r="C274" s="36" t="s">
        <v>634</v>
      </c>
      <c r="D274" s="102" t="s">
        <v>61</v>
      </c>
      <c r="E274" s="102" t="s">
        <v>275</v>
      </c>
      <c r="F274" s="33">
        <v>8.14</v>
      </c>
      <c r="G274" s="34">
        <v>331.13</v>
      </c>
      <c r="H274" s="34">
        <f>F274*G274-0.01</f>
        <v>2695.3881999999999</v>
      </c>
      <c r="I274" s="10"/>
      <c r="J274" s="193">
        <f t="shared" si="32"/>
        <v>1</v>
      </c>
      <c r="K274" s="33">
        <v>8.14</v>
      </c>
      <c r="L274" s="197">
        <f t="shared" si="33"/>
        <v>2695.3881999999999</v>
      </c>
    </row>
    <row r="275" spans="1:12" ht="49.95" customHeight="1">
      <c r="A275" s="17" t="s">
        <v>560</v>
      </c>
      <c r="B275" s="35">
        <v>104927</v>
      </c>
      <c r="C275" s="36" t="s">
        <v>635</v>
      </c>
      <c r="D275" s="102" t="s">
        <v>61</v>
      </c>
      <c r="E275" s="102" t="s">
        <v>273</v>
      </c>
      <c r="F275" s="33">
        <v>22.77</v>
      </c>
      <c r="G275" s="34">
        <v>93.61</v>
      </c>
      <c r="H275" s="34">
        <f>F275*G275-0.01</f>
        <v>2131.4896999999996</v>
      </c>
      <c r="I275" s="10"/>
      <c r="J275" s="193">
        <f t="shared" si="32"/>
        <v>1</v>
      </c>
      <c r="K275" s="33">
        <v>22.77</v>
      </c>
      <c r="L275" s="197">
        <f t="shared" si="33"/>
        <v>2131.4896999999996</v>
      </c>
    </row>
    <row r="276" spans="1:12" ht="49.95" customHeight="1">
      <c r="A276" s="17" t="s">
        <v>561</v>
      </c>
      <c r="B276" s="35">
        <v>96542</v>
      </c>
      <c r="C276" s="36" t="s">
        <v>636</v>
      </c>
      <c r="D276" s="102" t="s">
        <v>61</v>
      </c>
      <c r="E276" s="102" t="s">
        <v>273</v>
      </c>
      <c r="F276" s="33">
        <v>45.05</v>
      </c>
      <c r="G276" s="34">
        <v>102.97</v>
      </c>
      <c r="H276" s="34">
        <f>F276*G276-0.01</f>
        <v>4638.7884999999997</v>
      </c>
      <c r="I276" s="10"/>
      <c r="J276" s="193">
        <f t="shared" si="32"/>
        <v>1</v>
      </c>
      <c r="K276" s="33">
        <v>45.05</v>
      </c>
      <c r="L276" s="197">
        <f t="shared" si="33"/>
        <v>4638.7884999999997</v>
      </c>
    </row>
    <row r="277" spans="1:12" ht="49.95" customHeight="1">
      <c r="A277" s="17" t="s">
        <v>562</v>
      </c>
      <c r="B277" s="35">
        <v>104917</v>
      </c>
      <c r="C277" s="36" t="s">
        <v>637</v>
      </c>
      <c r="D277" s="102" t="s">
        <v>61</v>
      </c>
      <c r="E277" s="102" t="s">
        <v>74</v>
      </c>
      <c r="F277" s="33">
        <v>138.69999999999999</v>
      </c>
      <c r="G277" s="34">
        <v>17.399999999999999</v>
      </c>
      <c r="H277" s="34">
        <f t="shared" si="34"/>
        <v>2413.3799999999997</v>
      </c>
      <c r="I277" s="10"/>
      <c r="J277" s="193">
        <f t="shared" si="32"/>
        <v>1</v>
      </c>
      <c r="K277" s="33">
        <v>138.69999999999999</v>
      </c>
      <c r="L277" s="197">
        <f t="shared" si="33"/>
        <v>2413.3799999999997</v>
      </c>
    </row>
    <row r="278" spans="1:12" ht="49.95" customHeight="1">
      <c r="A278" s="17" t="s">
        <v>563</v>
      </c>
      <c r="B278" s="35">
        <v>104916</v>
      </c>
      <c r="C278" s="36" t="s">
        <v>638</v>
      </c>
      <c r="D278" s="102" t="s">
        <v>61</v>
      </c>
      <c r="E278" s="102" t="s">
        <v>74</v>
      </c>
      <c r="F278" s="33">
        <v>89</v>
      </c>
      <c r="G278" s="34">
        <v>18.75</v>
      </c>
      <c r="H278" s="34">
        <f t="shared" si="34"/>
        <v>1668.75</v>
      </c>
      <c r="I278" s="10"/>
      <c r="J278" s="193">
        <f t="shared" si="32"/>
        <v>1</v>
      </c>
      <c r="K278" s="33">
        <v>89</v>
      </c>
      <c r="L278" s="197">
        <f t="shared" si="33"/>
        <v>1668.75</v>
      </c>
    </row>
    <row r="279" spans="1:12" ht="49.95" customHeight="1">
      <c r="A279" s="17" t="s">
        <v>564</v>
      </c>
      <c r="B279" s="57">
        <v>104918</v>
      </c>
      <c r="C279" s="36" t="s">
        <v>639</v>
      </c>
      <c r="D279" s="58" t="s">
        <v>61</v>
      </c>
      <c r="E279" s="40" t="s">
        <v>74</v>
      </c>
      <c r="F279" s="41">
        <v>122.8</v>
      </c>
      <c r="G279" s="62">
        <v>16.16</v>
      </c>
      <c r="H279" s="34">
        <f>F279*G279-0.01</f>
        <v>1984.4379999999999</v>
      </c>
      <c r="I279" s="10"/>
      <c r="J279" s="193">
        <f t="shared" si="32"/>
        <v>1</v>
      </c>
      <c r="K279" s="41">
        <v>122.8</v>
      </c>
      <c r="L279" s="197">
        <f t="shared" si="33"/>
        <v>1984.4379999999999</v>
      </c>
    </row>
    <row r="280" spans="1:12" ht="49.95" customHeight="1">
      <c r="A280" s="17" t="s">
        <v>565</v>
      </c>
      <c r="B280" s="59">
        <v>98557</v>
      </c>
      <c r="C280" s="60" t="s">
        <v>640</v>
      </c>
      <c r="D280" s="61" t="s">
        <v>61</v>
      </c>
      <c r="E280" s="30" t="s">
        <v>273</v>
      </c>
      <c r="F280" s="29">
        <v>65.27</v>
      </c>
      <c r="G280" s="76">
        <v>53.95</v>
      </c>
      <c r="H280" s="34">
        <f>F280*G280-0.01</f>
        <v>3521.3064999999997</v>
      </c>
      <c r="I280" s="10"/>
      <c r="J280" s="193">
        <f t="shared" si="32"/>
        <v>1</v>
      </c>
      <c r="K280" s="29">
        <v>65.27</v>
      </c>
      <c r="L280" s="197">
        <f t="shared" si="33"/>
        <v>3521.3064999999997</v>
      </c>
    </row>
    <row r="281" spans="1:12" ht="20.100000000000001" customHeight="1">
      <c r="A281" s="101" t="s">
        <v>553</v>
      </c>
      <c r="B281" s="160" t="s">
        <v>566</v>
      </c>
      <c r="C281" s="161"/>
      <c r="D281" s="161"/>
      <c r="E281" s="161"/>
      <c r="F281" s="161"/>
      <c r="G281" s="162"/>
      <c r="H281" s="8">
        <f>SUM(H282:H288)</f>
        <v>25900.380399999998</v>
      </c>
      <c r="I281" s="7"/>
      <c r="J281" s="7"/>
      <c r="K281" s="7"/>
      <c r="L281" s="7"/>
    </row>
    <row r="282" spans="1:12" ht="49.95" customHeight="1">
      <c r="A282" s="17" t="s">
        <v>567</v>
      </c>
      <c r="B282" s="57">
        <v>92429</v>
      </c>
      <c r="C282" s="36" t="s">
        <v>641</v>
      </c>
      <c r="D282" s="58" t="s">
        <v>61</v>
      </c>
      <c r="E282" s="40" t="s">
        <v>273</v>
      </c>
      <c r="F282" s="41">
        <v>77.22</v>
      </c>
      <c r="G282" s="62">
        <v>82.09</v>
      </c>
      <c r="H282" s="34">
        <f>F282*G282-0.01</f>
        <v>6338.9798000000001</v>
      </c>
      <c r="I282" s="10"/>
      <c r="J282" s="193">
        <f t="shared" ref="J282:J286" si="35">K282/F282</f>
        <v>1</v>
      </c>
      <c r="K282" s="41">
        <v>77.22</v>
      </c>
      <c r="L282" s="197">
        <f t="shared" si="33"/>
        <v>6338.9798000000001</v>
      </c>
    </row>
    <row r="283" spans="1:12" ht="49.95" customHeight="1">
      <c r="A283" s="17" t="s">
        <v>568</v>
      </c>
      <c r="B283" s="59">
        <v>92476</v>
      </c>
      <c r="C283" s="60" t="s">
        <v>784</v>
      </c>
      <c r="D283" s="61" t="s">
        <v>61</v>
      </c>
      <c r="E283" s="30" t="s">
        <v>273</v>
      </c>
      <c r="F283" s="29">
        <v>45.51</v>
      </c>
      <c r="G283" s="76">
        <v>101.44</v>
      </c>
      <c r="H283" s="34">
        <f t="shared" ref="H283:H288" si="36">F283*G283</f>
        <v>4616.5343999999996</v>
      </c>
      <c r="I283" s="10"/>
      <c r="J283" s="193">
        <f t="shared" si="35"/>
        <v>1</v>
      </c>
      <c r="K283" s="29">
        <v>45.51</v>
      </c>
      <c r="L283" s="197">
        <f t="shared" si="33"/>
        <v>4616.5343999999996</v>
      </c>
    </row>
    <row r="284" spans="1:12" ht="49.95" customHeight="1">
      <c r="A284" s="17" t="s">
        <v>569</v>
      </c>
      <c r="B284" s="35">
        <v>92759</v>
      </c>
      <c r="C284" s="36" t="s">
        <v>785</v>
      </c>
      <c r="D284" s="102" t="s">
        <v>61</v>
      </c>
      <c r="E284" s="102" t="s">
        <v>74</v>
      </c>
      <c r="F284" s="33">
        <v>143.80000000000001</v>
      </c>
      <c r="G284" s="34">
        <v>15.87</v>
      </c>
      <c r="H284" s="34">
        <f>F284*G284-0.01</f>
        <v>2282.096</v>
      </c>
      <c r="I284" s="10"/>
      <c r="J284" s="193">
        <f t="shared" si="35"/>
        <v>1</v>
      </c>
      <c r="K284" s="33">
        <v>143.80000000000001</v>
      </c>
      <c r="L284" s="197">
        <f t="shared" si="33"/>
        <v>2282.096</v>
      </c>
    </row>
    <row r="285" spans="1:12" ht="49.95" customHeight="1">
      <c r="A285" s="17" t="s">
        <v>570</v>
      </c>
      <c r="B285" s="35">
        <v>104108</v>
      </c>
      <c r="C285" s="36" t="s">
        <v>645</v>
      </c>
      <c r="D285" s="102" t="s">
        <v>61</v>
      </c>
      <c r="E285" s="102" t="s">
        <v>74</v>
      </c>
      <c r="F285" s="33">
        <v>305.89999999999998</v>
      </c>
      <c r="G285" s="34">
        <v>14.5</v>
      </c>
      <c r="H285" s="34">
        <f t="shared" si="36"/>
        <v>4435.5499999999993</v>
      </c>
      <c r="I285" s="10"/>
      <c r="J285" s="193">
        <f t="shared" si="35"/>
        <v>1</v>
      </c>
      <c r="K285" s="33">
        <v>305.89999999999998</v>
      </c>
      <c r="L285" s="197">
        <f t="shared" si="33"/>
        <v>4435.5499999999993</v>
      </c>
    </row>
    <row r="286" spans="1:12" ht="49.95" customHeight="1">
      <c r="A286" s="17" t="s">
        <v>571</v>
      </c>
      <c r="B286" s="35">
        <v>92761</v>
      </c>
      <c r="C286" s="36" t="s">
        <v>786</v>
      </c>
      <c r="D286" s="102" t="s">
        <v>61</v>
      </c>
      <c r="E286" s="102" t="s">
        <v>74</v>
      </c>
      <c r="F286" s="33">
        <v>120.5</v>
      </c>
      <c r="G286" s="34">
        <v>14.08</v>
      </c>
      <c r="H286" s="34">
        <f t="shared" si="36"/>
        <v>1696.64</v>
      </c>
      <c r="I286" s="10"/>
      <c r="J286" s="193">
        <f t="shared" si="35"/>
        <v>1</v>
      </c>
      <c r="K286" s="33">
        <v>120.5</v>
      </c>
      <c r="L286" s="197">
        <f t="shared" si="33"/>
        <v>1696.64</v>
      </c>
    </row>
    <row r="287" spans="1:12" ht="49.95" customHeight="1">
      <c r="A287" s="17" t="s">
        <v>572</v>
      </c>
      <c r="B287" s="35">
        <v>94971</v>
      </c>
      <c r="C287" s="36" t="s">
        <v>633</v>
      </c>
      <c r="D287" s="102" t="s">
        <v>61</v>
      </c>
      <c r="E287" s="102" t="s">
        <v>275</v>
      </c>
      <c r="F287" s="33">
        <v>7.33</v>
      </c>
      <c r="G287" s="34">
        <v>559.80999999999995</v>
      </c>
      <c r="H287" s="34">
        <f>F287*G287-0.01</f>
        <v>4103.3972999999996</v>
      </c>
      <c r="I287" s="10"/>
      <c r="J287" s="10"/>
      <c r="K287" s="10"/>
      <c r="L287" s="10"/>
    </row>
    <row r="288" spans="1:12" ht="49.95" customHeight="1">
      <c r="A288" s="17" t="s">
        <v>573</v>
      </c>
      <c r="B288" s="35">
        <v>103670</v>
      </c>
      <c r="C288" s="36" t="s">
        <v>634</v>
      </c>
      <c r="D288" s="102" t="s">
        <v>61</v>
      </c>
      <c r="E288" s="102" t="s">
        <v>275</v>
      </c>
      <c r="F288" s="33">
        <v>7.33</v>
      </c>
      <c r="G288" s="34">
        <v>331.13</v>
      </c>
      <c r="H288" s="34">
        <f t="shared" si="36"/>
        <v>2427.1828999999998</v>
      </c>
      <c r="I288" s="10"/>
      <c r="J288" s="10"/>
      <c r="K288" s="10"/>
      <c r="L288" s="10"/>
    </row>
    <row r="289" spans="1:12" ht="20.100000000000001" customHeight="1">
      <c r="A289" s="101" t="s">
        <v>574</v>
      </c>
      <c r="B289" s="154" t="s">
        <v>575</v>
      </c>
      <c r="C289" s="155"/>
      <c r="D289" s="155"/>
      <c r="E289" s="155"/>
      <c r="F289" s="155"/>
      <c r="G289" s="156"/>
      <c r="H289" s="8">
        <f>SUM(H290:H297)+0.01</f>
        <v>38565.751099999994</v>
      </c>
      <c r="I289" s="7"/>
      <c r="J289" s="7"/>
      <c r="K289" s="7"/>
      <c r="L289" s="7"/>
    </row>
    <row r="290" spans="1:12" ht="49.95" customHeight="1">
      <c r="A290" s="17" t="s">
        <v>576</v>
      </c>
      <c r="B290" s="57">
        <v>103356</v>
      </c>
      <c r="C290" s="36" t="s">
        <v>650</v>
      </c>
      <c r="D290" s="58" t="s">
        <v>61</v>
      </c>
      <c r="E290" s="40" t="s">
        <v>273</v>
      </c>
      <c r="F290" s="41">
        <v>126.59</v>
      </c>
      <c r="G290" s="62">
        <v>67.73</v>
      </c>
      <c r="H290" s="34">
        <f>F290*G290</f>
        <v>8573.940700000001</v>
      </c>
      <c r="I290" s="10"/>
      <c r="J290" s="11"/>
      <c r="K290" s="12"/>
      <c r="L290" s="13"/>
    </row>
    <row r="291" spans="1:12" ht="49.95" customHeight="1">
      <c r="A291" s="17" t="s">
        <v>577</v>
      </c>
      <c r="B291" s="59">
        <v>87894</v>
      </c>
      <c r="C291" s="60" t="s">
        <v>787</v>
      </c>
      <c r="D291" s="61" t="s">
        <v>61</v>
      </c>
      <c r="E291" s="30" t="s">
        <v>273</v>
      </c>
      <c r="F291" s="29">
        <v>253.19</v>
      </c>
      <c r="G291" s="76">
        <v>7.56</v>
      </c>
      <c r="H291" s="34">
        <f>F291*G291-0.01</f>
        <v>1914.1063999999999</v>
      </c>
      <c r="I291" s="10"/>
      <c r="J291" s="10"/>
      <c r="K291" s="10"/>
      <c r="L291" s="10"/>
    </row>
    <row r="292" spans="1:12" ht="49.95" customHeight="1">
      <c r="A292" s="17" t="s">
        <v>578</v>
      </c>
      <c r="B292" s="35">
        <v>87792</v>
      </c>
      <c r="C292" s="36" t="s">
        <v>788</v>
      </c>
      <c r="D292" s="102" t="s">
        <v>61</v>
      </c>
      <c r="E292" s="102" t="s">
        <v>273</v>
      </c>
      <c r="F292" s="33">
        <v>253.19</v>
      </c>
      <c r="G292" s="34">
        <v>44.72</v>
      </c>
      <c r="H292" s="34">
        <f>F292*G292-0.01</f>
        <v>11322.646799999999</v>
      </c>
      <c r="I292" s="10"/>
      <c r="J292" s="10"/>
      <c r="K292" s="10"/>
      <c r="L292" s="10"/>
    </row>
    <row r="293" spans="1:12" ht="49.95" customHeight="1">
      <c r="A293" s="17" t="s">
        <v>579</v>
      </c>
      <c r="B293" s="35">
        <v>88485</v>
      </c>
      <c r="C293" s="36" t="s">
        <v>749</v>
      </c>
      <c r="D293" s="102" t="s">
        <v>61</v>
      </c>
      <c r="E293" s="102" t="s">
        <v>273</v>
      </c>
      <c r="F293" s="33">
        <v>102.07</v>
      </c>
      <c r="G293" s="34">
        <v>4.2699999999999996</v>
      </c>
      <c r="H293" s="34">
        <f>F293*G293-0.01</f>
        <v>435.82889999999992</v>
      </c>
      <c r="I293" s="10"/>
      <c r="J293" s="10"/>
      <c r="K293" s="10"/>
      <c r="L293" s="10"/>
    </row>
    <row r="294" spans="1:12" ht="49.95" customHeight="1">
      <c r="A294" s="17" t="s">
        <v>580</v>
      </c>
      <c r="B294" s="35">
        <v>88497</v>
      </c>
      <c r="C294" s="36" t="s">
        <v>747</v>
      </c>
      <c r="D294" s="102" t="s">
        <v>61</v>
      </c>
      <c r="E294" s="102" t="s">
        <v>273</v>
      </c>
      <c r="F294" s="33">
        <v>253.19</v>
      </c>
      <c r="G294" s="34">
        <v>18.440000000000001</v>
      </c>
      <c r="H294" s="34">
        <f t="shared" ref="H291:H297" si="37">F294*G294</f>
        <v>4668.8236000000006</v>
      </c>
      <c r="I294" s="10"/>
      <c r="J294" s="10"/>
      <c r="K294" s="10"/>
      <c r="L294" s="10"/>
    </row>
    <row r="295" spans="1:12" ht="49.95" customHeight="1">
      <c r="A295" s="17" t="s">
        <v>581</v>
      </c>
      <c r="B295" s="35">
        <v>88489</v>
      </c>
      <c r="C295" s="36" t="s">
        <v>748</v>
      </c>
      <c r="D295" s="102" t="s">
        <v>61</v>
      </c>
      <c r="E295" s="102" t="s">
        <v>273</v>
      </c>
      <c r="F295" s="33">
        <v>253.19</v>
      </c>
      <c r="G295" s="34">
        <v>14.05</v>
      </c>
      <c r="H295" s="34">
        <f>F295*G295-0.01</f>
        <v>3557.3094999999998</v>
      </c>
      <c r="I295" s="10"/>
      <c r="J295" s="10"/>
      <c r="K295" s="10"/>
      <c r="L295" s="10"/>
    </row>
    <row r="296" spans="1:12" ht="49.95" customHeight="1">
      <c r="A296" s="17" t="s">
        <v>582</v>
      </c>
      <c r="B296" s="35">
        <v>10</v>
      </c>
      <c r="C296" s="36" t="s">
        <v>789</v>
      </c>
      <c r="D296" s="102" t="s">
        <v>274</v>
      </c>
      <c r="E296" s="102" t="s">
        <v>273</v>
      </c>
      <c r="F296" s="33">
        <v>30</v>
      </c>
      <c r="G296" s="34">
        <v>189.69</v>
      </c>
      <c r="H296" s="34">
        <f t="shared" si="37"/>
        <v>5690.7</v>
      </c>
      <c r="I296" s="10"/>
      <c r="J296" s="10"/>
      <c r="K296" s="10"/>
      <c r="L296" s="10"/>
    </row>
    <row r="297" spans="1:12" ht="49.95" customHeight="1">
      <c r="A297" s="17" t="s">
        <v>583</v>
      </c>
      <c r="B297" s="35">
        <v>24</v>
      </c>
      <c r="C297" s="36" t="s">
        <v>790</v>
      </c>
      <c r="D297" s="102" t="s">
        <v>274</v>
      </c>
      <c r="E297" s="102" t="s">
        <v>63</v>
      </c>
      <c r="F297" s="33">
        <v>39.96</v>
      </c>
      <c r="G297" s="34">
        <v>60.12</v>
      </c>
      <c r="H297" s="34">
        <f>F297*G297-0.01</f>
        <v>2402.3851999999997</v>
      </c>
      <c r="I297" s="10"/>
      <c r="J297" s="10"/>
      <c r="K297" s="10"/>
      <c r="L297" s="10"/>
    </row>
    <row r="298" spans="1:12" ht="20.100000000000001" customHeight="1">
      <c r="A298" s="101">
        <v>5</v>
      </c>
      <c r="B298" s="160" t="s">
        <v>584</v>
      </c>
      <c r="C298" s="161"/>
      <c r="D298" s="161"/>
      <c r="E298" s="161"/>
      <c r="F298" s="161"/>
      <c r="G298" s="162"/>
      <c r="H298" s="8">
        <f>SUM(H299,H310,H314)+0.01</f>
        <v>82217.371799999994</v>
      </c>
      <c r="I298" s="7"/>
      <c r="J298" s="7"/>
      <c r="K298" s="7"/>
      <c r="L298" s="7"/>
    </row>
    <row r="299" spans="1:12" ht="20.100000000000001" customHeight="1">
      <c r="A299" s="101" t="s">
        <v>23</v>
      </c>
      <c r="B299" s="160" t="s">
        <v>585</v>
      </c>
      <c r="C299" s="161"/>
      <c r="D299" s="161"/>
      <c r="E299" s="161"/>
      <c r="F299" s="161"/>
      <c r="G299" s="162"/>
      <c r="H299" s="8">
        <f>SUM(H300:H309)</f>
        <v>71588.159299999999</v>
      </c>
      <c r="I299" s="7"/>
      <c r="J299" s="7"/>
      <c r="K299" s="7"/>
      <c r="L299" s="7"/>
    </row>
    <row r="300" spans="1:12" ht="49.95" customHeight="1">
      <c r="A300" s="17" t="s">
        <v>586</v>
      </c>
      <c r="B300" s="35">
        <v>93679</v>
      </c>
      <c r="C300" s="36" t="s">
        <v>791</v>
      </c>
      <c r="D300" s="58" t="s">
        <v>61</v>
      </c>
      <c r="E300" s="40" t="s">
        <v>273</v>
      </c>
      <c r="F300" s="41">
        <v>192</v>
      </c>
      <c r="G300" s="62">
        <v>93.84</v>
      </c>
      <c r="H300" s="34">
        <f>F300*G300</f>
        <v>18017.28</v>
      </c>
      <c r="I300" s="10"/>
      <c r="J300" s="11"/>
      <c r="K300" s="12"/>
      <c r="L300" s="13"/>
    </row>
    <row r="301" spans="1:12" ht="49.95" customHeight="1">
      <c r="A301" s="17" t="s">
        <v>587</v>
      </c>
      <c r="B301" s="59">
        <v>94275</v>
      </c>
      <c r="C301" s="60" t="s">
        <v>792</v>
      </c>
      <c r="D301" s="61" t="s">
        <v>61</v>
      </c>
      <c r="E301" s="30" t="s">
        <v>63</v>
      </c>
      <c r="F301" s="29">
        <v>132.02000000000001</v>
      </c>
      <c r="G301" s="76">
        <v>39.94</v>
      </c>
      <c r="H301" s="34">
        <f>F301*G301-0.01</f>
        <v>5272.8688000000002</v>
      </c>
      <c r="I301" s="10"/>
      <c r="J301" s="10"/>
      <c r="K301" s="10"/>
      <c r="L301" s="10"/>
    </row>
    <row r="302" spans="1:12" ht="49.95" customHeight="1">
      <c r="A302" s="17" t="s">
        <v>588</v>
      </c>
      <c r="B302" s="35">
        <v>94276</v>
      </c>
      <c r="C302" s="36" t="s">
        <v>793</v>
      </c>
      <c r="D302" s="102" t="s">
        <v>61</v>
      </c>
      <c r="E302" s="102" t="s">
        <v>63</v>
      </c>
      <c r="F302" s="33">
        <v>121.37</v>
      </c>
      <c r="G302" s="34">
        <v>43.06</v>
      </c>
      <c r="H302" s="34">
        <f t="shared" ref="H301:H309" si="38">F302*G302</f>
        <v>5226.1922000000004</v>
      </c>
      <c r="I302" s="10"/>
      <c r="J302" s="10"/>
      <c r="K302" s="10"/>
      <c r="L302" s="10"/>
    </row>
    <row r="303" spans="1:12" ht="49.95" customHeight="1">
      <c r="A303" s="17" t="s">
        <v>589</v>
      </c>
      <c r="B303" s="35">
        <v>92397</v>
      </c>
      <c r="C303" s="36" t="s">
        <v>794</v>
      </c>
      <c r="D303" s="102" t="s">
        <v>61</v>
      </c>
      <c r="E303" s="102" t="s">
        <v>273</v>
      </c>
      <c r="F303" s="33">
        <v>400</v>
      </c>
      <c r="G303" s="34">
        <v>73.92</v>
      </c>
      <c r="H303" s="34">
        <f t="shared" si="38"/>
        <v>29568</v>
      </c>
      <c r="I303" s="10"/>
      <c r="J303" s="10"/>
      <c r="K303" s="10"/>
      <c r="L303" s="10"/>
    </row>
    <row r="304" spans="1:12" ht="49.95" customHeight="1">
      <c r="A304" s="17" t="s">
        <v>590</v>
      </c>
      <c r="B304" s="35">
        <v>105004</v>
      </c>
      <c r="C304" s="36" t="s">
        <v>795</v>
      </c>
      <c r="D304" s="102" t="s">
        <v>61</v>
      </c>
      <c r="E304" s="102" t="s">
        <v>273</v>
      </c>
      <c r="F304" s="33">
        <v>5.0999999999999996</v>
      </c>
      <c r="G304" s="34">
        <v>134.66999999999999</v>
      </c>
      <c r="H304" s="34">
        <f>F304*G304-0.01</f>
        <v>686.8069999999999</v>
      </c>
      <c r="I304" s="10"/>
      <c r="J304" s="10"/>
      <c r="K304" s="10"/>
      <c r="L304" s="10"/>
    </row>
    <row r="305" spans="1:12" ht="49.95" customHeight="1">
      <c r="A305" s="17" t="s">
        <v>591</v>
      </c>
      <c r="B305" s="35">
        <v>102498</v>
      </c>
      <c r="C305" s="36" t="s">
        <v>796</v>
      </c>
      <c r="D305" s="102" t="s">
        <v>61</v>
      </c>
      <c r="E305" s="102" t="s">
        <v>63</v>
      </c>
      <c r="F305" s="33">
        <v>253.39</v>
      </c>
      <c r="G305" s="34">
        <v>1.77</v>
      </c>
      <c r="H305" s="34">
        <f t="shared" si="38"/>
        <v>448.50029999999998</v>
      </c>
      <c r="I305" s="10"/>
      <c r="J305" s="10"/>
      <c r="K305" s="10"/>
      <c r="L305" s="10"/>
    </row>
    <row r="306" spans="1:12" ht="49.95" customHeight="1">
      <c r="A306" s="17" t="s">
        <v>592</v>
      </c>
      <c r="B306" s="35">
        <v>104658</v>
      </c>
      <c r="C306" s="36" t="s">
        <v>797</v>
      </c>
      <c r="D306" s="102" t="s">
        <v>61</v>
      </c>
      <c r="E306" s="102" t="s">
        <v>273</v>
      </c>
      <c r="F306" s="33">
        <v>38</v>
      </c>
      <c r="G306" s="34">
        <v>156.38999999999999</v>
      </c>
      <c r="H306" s="34">
        <f t="shared" si="38"/>
        <v>5942.82</v>
      </c>
      <c r="I306" s="10"/>
      <c r="J306" s="10"/>
      <c r="K306" s="10"/>
      <c r="L306" s="10"/>
    </row>
    <row r="307" spans="1:12" ht="49.95" customHeight="1">
      <c r="A307" s="17" t="s">
        <v>593</v>
      </c>
      <c r="B307" s="35">
        <v>104658</v>
      </c>
      <c r="C307" s="36" t="s">
        <v>797</v>
      </c>
      <c r="D307" s="102" t="s">
        <v>61</v>
      </c>
      <c r="E307" s="102" t="s">
        <v>273</v>
      </c>
      <c r="F307" s="33">
        <v>1</v>
      </c>
      <c r="G307" s="34">
        <v>156.38999999999999</v>
      </c>
      <c r="H307" s="34">
        <f t="shared" si="38"/>
        <v>156.38999999999999</v>
      </c>
      <c r="I307" s="10"/>
      <c r="J307" s="10"/>
      <c r="K307" s="10"/>
      <c r="L307" s="10"/>
    </row>
    <row r="308" spans="1:12" ht="49.95" customHeight="1">
      <c r="A308" s="17" t="s">
        <v>594</v>
      </c>
      <c r="B308" s="57">
        <v>102494</v>
      </c>
      <c r="C308" s="36" t="s">
        <v>798</v>
      </c>
      <c r="D308" s="58" t="s">
        <v>61</v>
      </c>
      <c r="E308" s="40" t="s">
        <v>273</v>
      </c>
      <c r="F308" s="41">
        <v>5.0999999999999996</v>
      </c>
      <c r="G308" s="62">
        <v>67.510000000000005</v>
      </c>
      <c r="H308" s="34">
        <f t="shared" si="38"/>
        <v>344.30099999999999</v>
      </c>
      <c r="I308" s="10"/>
      <c r="J308" s="11"/>
      <c r="K308" s="12"/>
      <c r="L308" s="13"/>
    </row>
    <row r="309" spans="1:12" ht="49.95" customHeight="1">
      <c r="A309" s="17" t="s">
        <v>595</v>
      </c>
      <c r="B309" s="59">
        <v>103946</v>
      </c>
      <c r="C309" s="60" t="s">
        <v>799</v>
      </c>
      <c r="D309" s="61" t="s">
        <v>61</v>
      </c>
      <c r="E309" s="30" t="s">
        <v>273</v>
      </c>
      <c r="F309" s="29">
        <v>250</v>
      </c>
      <c r="G309" s="76">
        <v>23.7</v>
      </c>
      <c r="H309" s="34">
        <f t="shared" si="38"/>
        <v>5925</v>
      </c>
      <c r="I309" s="10"/>
      <c r="J309" s="10"/>
      <c r="K309" s="10"/>
      <c r="L309" s="10"/>
    </row>
    <row r="310" spans="1:12" ht="20.100000000000001" customHeight="1">
      <c r="A310" s="101" t="s">
        <v>42</v>
      </c>
      <c r="B310" s="154" t="s">
        <v>596</v>
      </c>
      <c r="C310" s="155"/>
      <c r="D310" s="155"/>
      <c r="E310" s="155"/>
      <c r="F310" s="155"/>
      <c r="G310" s="156"/>
      <c r="H310" s="8">
        <f>SUM(H311:H313)-0.01</f>
        <v>2906.4566999999997</v>
      </c>
      <c r="I310" s="7"/>
      <c r="J310" s="7"/>
      <c r="K310" s="7"/>
      <c r="L310" s="7"/>
    </row>
    <row r="311" spans="1:12" ht="49.95" customHeight="1">
      <c r="A311" s="17" t="s">
        <v>597</v>
      </c>
      <c r="B311" s="57">
        <v>103946</v>
      </c>
      <c r="C311" s="36" t="s">
        <v>799</v>
      </c>
      <c r="D311" s="58" t="s">
        <v>61</v>
      </c>
      <c r="E311" s="40" t="s">
        <v>273</v>
      </c>
      <c r="F311" s="41">
        <v>25.69</v>
      </c>
      <c r="G311" s="62">
        <v>23.7</v>
      </c>
      <c r="H311" s="34">
        <f>F311*G311</f>
        <v>608.85300000000007</v>
      </c>
      <c r="I311" s="10"/>
      <c r="J311" s="11"/>
      <c r="K311" s="12"/>
      <c r="L311" s="13"/>
    </row>
    <row r="312" spans="1:12" ht="49.95" customHeight="1">
      <c r="A312" s="17" t="s">
        <v>598</v>
      </c>
      <c r="B312" s="59">
        <v>105521</v>
      </c>
      <c r="C312" s="60" t="s">
        <v>800</v>
      </c>
      <c r="D312" s="61" t="s">
        <v>61</v>
      </c>
      <c r="E312" s="30" t="s">
        <v>273</v>
      </c>
      <c r="F312" s="29">
        <v>25.69</v>
      </c>
      <c r="G312" s="76">
        <v>3.73</v>
      </c>
      <c r="H312" s="34">
        <f t="shared" ref="H312:H313" si="39">F312*G312</f>
        <v>95.823700000000002</v>
      </c>
      <c r="I312" s="10"/>
      <c r="J312" s="10"/>
      <c r="K312" s="10"/>
      <c r="L312" s="10"/>
    </row>
    <row r="313" spans="1:12" ht="49.95" customHeight="1">
      <c r="A313" s="17" t="s">
        <v>599</v>
      </c>
      <c r="B313" s="35">
        <v>25</v>
      </c>
      <c r="C313" s="36" t="s">
        <v>801</v>
      </c>
      <c r="D313" s="102" t="s">
        <v>274</v>
      </c>
      <c r="E313" s="102" t="s">
        <v>5</v>
      </c>
      <c r="F313" s="33">
        <v>3</v>
      </c>
      <c r="G313" s="34">
        <v>733.93</v>
      </c>
      <c r="H313" s="34">
        <f t="shared" si="39"/>
        <v>2201.79</v>
      </c>
      <c r="I313" s="10"/>
      <c r="J313" s="10"/>
      <c r="K313" s="10"/>
      <c r="L313" s="10"/>
    </row>
    <row r="314" spans="1:12" ht="20.100000000000001" customHeight="1">
      <c r="A314" s="101" t="s">
        <v>43</v>
      </c>
      <c r="B314" s="160" t="s">
        <v>600</v>
      </c>
      <c r="C314" s="161"/>
      <c r="D314" s="161"/>
      <c r="E314" s="161"/>
      <c r="F314" s="161"/>
      <c r="G314" s="162"/>
      <c r="H314" s="8">
        <f>SUM(H315:H323)</f>
        <v>7722.7457999999997</v>
      </c>
      <c r="I314" s="7"/>
      <c r="J314" s="7"/>
      <c r="K314" s="7"/>
      <c r="L314" s="7"/>
    </row>
    <row r="315" spans="1:12" ht="49.95" customHeight="1">
      <c r="A315" s="17" t="s">
        <v>601</v>
      </c>
      <c r="B315" s="57">
        <v>93358</v>
      </c>
      <c r="C315" s="36" t="s">
        <v>629</v>
      </c>
      <c r="D315" s="58" t="s">
        <v>61</v>
      </c>
      <c r="E315" s="40" t="s">
        <v>275</v>
      </c>
      <c r="F315" s="41">
        <v>1.92</v>
      </c>
      <c r="G315" s="62">
        <v>96.82</v>
      </c>
      <c r="H315" s="34">
        <f>F315*G315</f>
        <v>185.89439999999999</v>
      </c>
      <c r="I315" s="10"/>
      <c r="J315" s="11"/>
      <c r="K315" s="12"/>
      <c r="L315" s="13"/>
    </row>
    <row r="316" spans="1:12" ht="49.95" customHeight="1">
      <c r="A316" s="17" t="s">
        <v>602</v>
      </c>
      <c r="B316" s="59">
        <v>101616</v>
      </c>
      <c r="C316" s="60" t="s">
        <v>632</v>
      </c>
      <c r="D316" s="61" t="s">
        <v>61</v>
      </c>
      <c r="E316" s="30" t="s">
        <v>273</v>
      </c>
      <c r="F316" s="29">
        <v>6.4</v>
      </c>
      <c r="G316" s="76">
        <v>7.07</v>
      </c>
      <c r="H316" s="34">
        <f>F316*G316-0.01</f>
        <v>45.238000000000007</v>
      </c>
      <c r="I316" s="10"/>
      <c r="J316" s="10"/>
      <c r="K316" s="10"/>
      <c r="L316" s="10"/>
    </row>
    <row r="317" spans="1:12" ht="49.95" customHeight="1">
      <c r="A317" s="17" t="s">
        <v>603</v>
      </c>
      <c r="B317" s="35">
        <v>96619</v>
      </c>
      <c r="C317" s="36" t="s">
        <v>631</v>
      </c>
      <c r="D317" s="102" t="s">
        <v>61</v>
      </c>
      <c r="E317" s="102" t="s">
        <v>273</v>
      </c>
      <c r="F317" s="33">
        <v>6.4</v>
      </c>
      <c r="G317" s="34">
        <v>44.9</v>
      </c>
      <c r="H317" s="34">
        <f t="shared" ref="H316:H323" si="40">F317*G317</f>
        <v>287.36</v>
      </c>
      <c r="I317" s="10"/>
      <c r="J317" s="10"/>
      <c r="K317" s="10"/>
      <c r="L317" s="10"/>
    </row>
    <row r="318" spans="1:12" ht="49.95" customHeight="1">
      <c r="A318" s="17" t="s">
        <v>604</v>
      </c>
      <c r="B318" s="35">
        <v>8</v>
      </c>
      <c r="C318" s="36" t="s">
        <v>802</v>
      </c>
      <c r="D318" s="102" t="s">
        <v>274</v>
      </c>
      <c r="E318" s="102" t="s">
        <v>273</v>
      </c>
      <c r="F318" s="33">
        <v>1.92</v>
      </c>
      <c r="G318" s="34">
        <v>120.42</v>
      </c>
      <c r="H318" s="34">
        <f>F318*G318-0.01</f>
        <v>231.19640000000001</v>
      </c>
      <c r="I318" s="10"/>
      <c r="J318" s="10"/>
      <c r="K318" s="10"/>
      <c r="L318" s="10"/>
    </row>
    <row r="319" spans="1:12" ht="49.95" customHeight="1">
      <c r="A319" s="17" t="s">
        <v>605</v>
      </c>
      <c r="B319" s="35">
        <v>87878</v>
      </c>
      <c r="C319" s="36" t="s">
        <v>803</v>
      </c>
      <c r="D319" s="102" t="s">
        <v>61</v>
      </c>
      <c r="E319" s="102" t="s">
        <v>273</v>
      </c>
      <c r="F319" s="33">
        <v>14.4</v>
      </c>
      <c r="G319" s="34">
        <v>5.51</v>
      </c>
      <c r="H319" s="34">
        <f t="shared" si="40"/>
        <v>79.343999999999994</v>
      </c>
      <c r="I319" s="10"/>
      <c r="J319" s="10"/>
      <c r="K319" s="10"/>
      <c r="L319" s="10"/>
    </row>
    <row r="320" spans="1:12" ht="49.95" customHeight="1">
      <c r="A320" s="17" t="s">
        <v>606</v>
      </c>
      <c r="B320" s="35">
        <v>87528</v>
      </c>
      <c r="C320" s="36" t="s">
        <v>804</v>
      </c>
      <c r="D320" s="102" t="s">
        <v>61</v>
      </c>
      <c r="E320" s="102" t="s">
        <v>273</v>
      </c>
      <c r="F320" s="33">
        <v>14.4</v>
      </c>
      <c r="G320" s="34">
        <v>48.77</v>
      </c>
      <c r="H320" s="34">
        <f>F320*G320-0.01</f>
        <v>702.27800000000002</v>
      </c>
      <c r="I320" s="10"/>
      <c r="J320" s="10"/>
      <c r="K320" s="10"/>
      <c r="L320" s="10"/>
    </row>
    <row r="321" spans="1:12" ht="49.95" customHeight="1">
      <c r="A321" s="17" t="s">
        <v>607</v>
      </c>
      <c r="B321" s="35">
        <v>95305</v>
      </c>
      <c r="C321" s="36" t="s">
        <v>805</v>
      </c>
      <c r="D321" s="102" t="s">
        <v>61</v>
      </c>
      <c r="E321" s="102" t="s">
        <v>273</v>
      </c>
      <c r="F321" s="33">
        <v>14.4</v>
      </c>
      <c r="G321" s="34">
        <v>14.88</v>
      </c>
      <c r="H321" s="34">
        <f t="shared" si="40"/>
        <v>214.27200000000002</v>
      </c>
      <c r="I321" s="10"/>
      <c r="J321" s="10"/>
      <c r="K321" s="10"/>
      <c r="L321" s="10"/>
    </row>
    <row r="322" spans="1:12" ht="49.95" customHeight="1">
      <c r="A322" s="17" t="s">
        <v>608</v>
      </c>
      <c r="B322" s="35">
        <v>8</v>
      </c>
      <c r="C322" s="36" t="s">
        <v>802</v>
      </c>
      <c r="D322" s="102" t="s">
        <v>274</v>
      </c>
      <c r="E322" s="102" t="s">
        <v>273</v>
      </c>
      <c r="F322" s="33">
        <v>14.4</v>
      </c>
      <c r="G322" s="34">
        <v>120.42</v>
      </c>
      <c r="H322" s="34">
        <f>F322*G322-0.01</f>
        <v>1734.038</v>
      </c>
      <c r="I322" s="10"/>
      <c r="J322" s="10"/>
      <c r="K322" s="10"/>
      <c r="L322" s="10"/>
    </row>
    <row r="323" spans="1:12" ht="49.95" customHeight="1">
      <c r="A323" s="17" t="s">
        <v>609</v>
      </c>
      <c r="B323" s="57">
        <v>7</v>
      </c>
      <c r="C323" s="36" t="s">
        <v>806</v>
      </c>
      <c r="D323" s="58" t="s">
        <v>274</v>
      </c>
      <c r="E323" s="40" t="s">
        <v>273</v>
      </c>
      <c r="F323" s="41">
        <v>6.5</v>
      </c>
      <c r="G323" s="62">
        <v>652.79</v>
      </c>
      <c r="H323" s="34">
        <f>F323*G323-0.01</f>
        <v>4243.125</v>
      </c>
      <c r="I323" s="10"/>
      <c r="J323" s="11"/>
      <c r="K323" s="12"/>
      <c r="L323" s="13"/>
    </row>
    <row r="324" spans="1:12" ht="20.100000000000001" customHeight="1">
      <c r="A324" s="101">
        <v>6</v>
      </c>
      <c r="B324" s="160" t="s">
        <v>610</v>
      </c>
      <c r="C324" s="161"/>
      <c r="D324" s="161"/>
      <c r="E324" s="161"/>
      <c r="F324" s="161"/>
      <c r="G324" s="162"/>
      <c r="H324" s="8">
        <f>SUM(H325:H343)</f>
        <v>46833.661200000002</v>
      </c>
      <c r="I324" s="7"/>
      <c r="J324" s="7"/>
      <c r="K324" s="7"/>
      <c r="L324" s="7"/>
    </row>
    <row r="325" spans="1:12" ht="49.95" customHeight="1">
      <c r="A325" s="17" t="s">
        <v>24</v>
      </c>
      <c r="B325" s="57">
        <v>93358</v>
      </c>
      <c r="C325" s="36" t="s">
        <v>629</v>
      </c>
      <c r="D325" s="58" t="s">
        <v>61</v>
      </c>
      <c r="E325" s="40" t="s">
        <v>275</v>
      </c>
      <c r="F325" s="41">
        <v>13.41</v>
      </c>
      <c r="G325" s="62">
        <v>96.82</v>
      </c>
      <c r="H325" s="34">
        <f>F325*G325-0.01</f>
        <v>1298.3462</v>
      </c>
      <c r="I325" s="10"/>
      <c r="J325" s="11"/>
      <c r="K325" s="12"/>
      <c r="L325" s="13"/>
    </row>
    <row r="326" spans="1:12" ht="49.95" customHeight="1">
      <c r="A326" s="17" t="s">
        <v>47</v>
      </c>
      <c r="B326" s="59">
        <v>97882</v>
      </c>
      <c r="C326" s="60" t="s">
        <v>807</v>
      </c>
      <c r="D326" s="61" t="s">
        <v>61</v>
      </c>
      <c r="E326" s="30" t="s">
        <v>276</v>
      </c>
      <c r="F326" s="29">
        <v>15</v>
      </c>
      <c r="G326" s="76">
        <v>270.14999999999998</v>
      </c>
      <c r="H326" s="34">
        <f t="shared" ref="H326:H343" si="41">F326*G326</f>
        <v>4052.2499999999995</v>
      </c>
      <c r="I326" s="10"/>
      <c r="J326" s="10"/>
      <c r="K326" s="10"/>
      <c r="L326" s="10"/>
    </row>
    <row r="327" spans="1:12" ht="49.95" customHeight="1">
      <c r="A327" s="17" t="s">
        <v>611</v>
      </c>
      <c r="B327" s="35">
        <v>20</v>
      </c>
      <c r="C327" s="36" t="s">
        <v>808</v>
      </c>
      <c r="D327" s="102" t="s">
        <v>274</v>
      </c>
      <c r="E327" s="102" t="s">
        <v>5</v>
      </c>
      <c r="F327" s="33">
        <v>1</v>
      </c>
      <c r="G327" s="34">
        <v>8.85</v>
      </c>
      <c r="H327" s="34">
        <f t="shared" si="41"/>
        <v>8.85</v>
      </c>
      <c r="I327" s="10"/>
      <c r="J327" s="10"/>
      <c r="K327" s="10"/>
      <c r="L327" s="10"/>
    </row>
    <row r="328" spans="1:12" ht="49.95" customHeight="1">
      <c r="A328" s="17" t="s">
        <v>612</v>
      </c>
      <c r="B328" s="35">
        <v>91914</v>
      </c>
      <c r="C328" s="36" t="s">
        <v>690</v>
      </c>
      <c r="D328" s="102" t="s">
        <v>61</v>
      </c>
      <c r="E328" s="102" t="s">
        <v>276</v>
      </c>
      <c r="F328" s="33">
        <v>3</v>
      </c>
      <c r="G328" s="34">
        <v>18.579999999999998</v>
      </c>
      <c r="H328" s="34">
        <f t="shared" si="41"/>
        <v>55.739999999999995</v>
      </c>
      <c r="I328" s="10"/>
      <c r="J328" s="10"/>
      <c r="K328" s="10"/>
      <c r="L328" s="10"/>
    </row>
    <row r="329" spans="1:12" ht="49.95" customHeight="1">
      <c r="A329" s="17" t="s">
        <v>613</v>
      </c>
      <c r="B329" s="35">
        <v>91902</v>
      </c>
      <c r="C329" s="36" t="s">
        <v>809</v>
      </c>
      <c r="D329" s="102" t="s">
        <v>61</v>
      </c>
      <c r="E329" s="102" t="s">
        <v>276</v>
      </c>
      <c r="F329" s="33">
        <v>3</v>
      </c>
      <c r="G329" s="34">
        <v>11.01</v>
      </c>
      <c r="H329" s="34">
        <f t="shared" si="41"/>
        <v>33.03</v>
      </c>
      <c r="I329" s="10"/>
      <c r="J329" s="10"/>
      <c r="K329" s="10"/>
      <c r="L329" s="10"/>
    </row>
    <row r="330" spans="1:12" ht="49.95" customHeight="1">
      <c r="A330" s="17" t="s">
        <v>614</v>
      </c>
      <c r="B330" s="35">
        <v>91884</v>
      </c>
      <c r="C330" s="36" t="s">
        <v>691</v>
      </c>
      <c r="D330" s="102" t="s">
        <v>61</v>
      </c>
      <c r="E330" s="102" t="s">
        <v>276</v>
      </c>
      <c r="F330" s="33">
        <v>6</v>
      </c>
      <c r="G330" s="34">
        <v>11.97</v>
      </c>
      <c r="H330" s="34">
        <f t="shared" si="41"/>
        <v>71.820000000000007</v>
      </c>
      <c r="I330" s="10"/>
      <c r="J330" s="10"/>
      <c r="K330" s="10"/>
      <c r="L330" s="10"/>
    </row>
    <row r="331" spans="1:12" ht="49.95" customHeight="1">
      <c r="A331" s="17" t="s">
        <v>615</v>
      </c>
      <c r="B331" s="35">
        <v>93013</v>
      </c>
      <c r="C331" s="36" t="s">
        <v>810</v>
      </c>
      <c r="D331" s="102" t="s">
        <v>61</v>
      </c>
      <c r="E331" s="102" t="s">
        <v>276</v>
      </c>
      <c r="F331" s="33">
        <v>8</v>
      </c>
      <c r="G331" s="34">
        <v>15.07</v>
      </c>
      <c r="H331" s="34">
        <f t="shared" si="41"/>
        <v>120.56</v>
      </c>
      <c r="I331" s="10"/>
      <c r="J331" s="10"/>
      <c r="K331" s="10"/>
      <c r="L331" s="10"/>
    </row>
    <row r="332" spans="1:12" ht="49.95" customHeight="1">
      <c r="A332" s="17" t="s">
        <v>616</v>
      </c>
      <c r="B332" s="35">
        <v>39470</v>
      </c>
      <c r="C332" s="36" t="s">
        <v>692</v>
      </c>
      <c r="D332" s="102" t="s">
        <v>61</v>
      </c>
      <c r="E332" s="102" t="s">
        <v>276</v>
      </c>
      <c r="F332" s="33">
        <v>2</v>
      </c>
      <c r="G332" s="34">
        <v>89.64</v>
      </c>
      <c r="H332" s="34">
        <f t="shared" si="41"/>
        <v>179.28</v>
      </c>
      <c r="I332" s="10"/>
      <c r="J332" s="10"/>
      <c r="K332" s="10"/>
      <c r="L332" s="10"/>
    </row>
    <row r="333" spans="1:12" ht="49.95" customHeight="1">
      <c r="A333" s="17" t="s">
        <v>617</v>
      </c>
      <c r="B333" s="57">
        <v>93656</v>
      </c>
      <c r="C333" s="36" t="s">
        <v>811</v>
      </c>
      <c r="D333" s="58" t="s">
        <v>61</v>
      </c>
      <c r="E333" s="40" t="s">
        <v>276</v>
      </c>
      <c r="F333" s="41">
        <v>2</v>
      </c>
      <c r="G333" s="62">
        <v>14.52</v>
      </c>
      <c r="H333" s="34">
        <f t="shared" si="41"/>
        <v>29.04</v>
      </c>
      <c r="I333" s="10"/>
      <c r="J333" s="11"/>
      <c r="K333" s="12"/>
      <c r="L333" s="13"/>
    </row>
    <row r="334" spans="1:12" ht="49.95" customHeight="1">
      <c r="A334" s="17" t="s">
        <v>618</v>
      </c>
      <c r="B334" s="59">
        <v>93657</v>
      </c>
      <c r="C334" s="60" t="s">
        <v>696</v>
      </c>
      <c r="D334" s="61" t="s">
        <v>61</v>
      </c>
      <c r="E334" s="30" t="s">
        <v>276</v>
      </c>
      <c r="F334" s="29">
        <v>1</v>
      </c>
      <c r="G334" s="76">
        <v>16.21</v>
      </c>
      <c r="H334" s="34">
        <f t="shared" si="41"/>
        <v>16.21</v>
      </c>
      <c r="I334" s="10"/>
      <c r="J334" s="10"/>
      <c r="K334" s="10"/>
      <c r="L334" s="10"/>
    </row>
    <row r="335" spans="1:12" ht="49.95" customHeight="1">
      <c r="A335" s="17" t="s">
        <v>619</v>
      </c>
      <c r="B335" s="57">
        <v>39396</v>
      </c>
      <c r="C335" s="36" t="s">
        <v>812</v>
      </c>
      <c r="D335" s="58" t="s">
        <v>61</v>
      </c>
      <c r="E335" s="40" t="s">
        <v>276</v>
      </c>
      <c r="F335" s="41">
        <v>2</v>
      </c>
      <c r="G335" s="62">
        <v>80.150000000000006</v>
      </c>
      <c r="H335" s="34">
        <f t="shared" si="41"/>
        <v>160.30000000000001</v>
      </c>
      <c r="I335" s="10"/>
      <c r="J335" s="11"/>
      <c r="K335" s="12"/>
      <c r="L335" s="13"/>
    </row>
    <row r="336" spans="1:12" ht="49.95" customHeight="1">
      <c r="A336" s="17" t="s">
        <v>620</v>
      </c>
      <c r="B336" s="59">
        <v>21</v>
      </c>
      <c r="C336" s="60" t="s">
        <v>813</v>
      </c>
      <c r="D336" s="61" t="s">
        <v>274</v>
      </c>
      <c r="E336" s="30" t="s">
        <v>5</v>
      </c>
      <c r="F336" s="29">
        <v>1</v>
      </c>
      <c r="G336" s="76">
        <v>7994.67</v>
      </c>
      <c r="H336" s="34">
        <f t="shared" si="41"/>
        <v>7994.67</v>
      </c>
      <c r="I336" s="10"/>
      <c r="J336" s="10"/>
      <c r="K336" s="10"/>
      <c r="L336" s="10"/>
    </row>
    <row r="337" spans="1:12" ht="49.95" customHeight="1">
      <c r="A337" s="17" t="s">
        <v>621</v>
      </c>
      <c r="B337" s="35">
        <v>101876</v>
      </c>
      <c r="C337" s="36" t="s">
        <v>767</v>
      </c>
      <c r="D337" s="102" t="s">
        <v>61</v>
      </c>
      <c r="E337" s="102" t="s">
        <v>276</v>
      </c>
      <c r="F337" s="33">
        <v>1</v>
      </c>
      <c r="G337" s="34">
        <v>119.29</v>
      </c>
      <c r="H337" s="34">
        <f t="shared" si="41"/>
        <v>119.29</v>
      </c>
      <c r="I337" s="10"/>
      <c r="J337" s="10"/>
      <c r="K337" s="10"/>
      <c r="L337" s="10"/>
    </row>
    <row r="338" spans="1:12" ht="49.95" customHeight="1">
      <c r="A338" s="17" t="s">
        <v>622</v>
      </c>
      <c r="B338" s="35">
        <v>97886</v>
      </c>
      <c r="C338" s="36" t="s">
        <v>814</v>
      </c>
      <c r="D338" s="102" t="s">
        <v>61</v>
      </c>
      <c r="E338" s="102" t="s">
        <v>276</v>
      </c>
      <c r="F338" s="33">
        <v>16</v>
      </c>
      <c r="G338" s="34">
        <v>182.85</v>
      </c>
      <c r="H338" s="34">
        <f t="shared" si="41"/>
        <v>2925.6</v>
      </c>
      <c r="I338" s="10"/>
      <c r="J338" s="10"/>
      <c r="K338" s="10"/>
      <c r="L338" s="10"/>
    </row>
    <row r="339" spans="1:12" ht="49.95" customHeight="1">
      <c r="A339" s="17" t="s">
        <v>623</v>
      </c>
      <c r="B339" s="35">
        <v>17</v>
      </c>
      <c r="C339" s="36" t="s">
        <v>701</v>
      </c>
      <c r="D339" s="102" t="s">
        <v>274</v>
      </c>
      <c r="E339" s="102" t="s">
        <v>5</v>
      </c>
      <c r="F339" s="33">
        <v>16</v>
      </c>
      <c r="G339" s="34">
        <v>71.3</v>
      </c>
      <c r="H339" s="34">
        <f t="shared" si="41"/>
        <v>1140.8</v>
      </c>
      <c r="I339" s="10"/>
      <c r="J339" s="10"/>
      <c r="K339" s="10"/>
      <c r="L339" s="10"/>
    </row>
    <row r="340" spans="1:12" ht="49.95" customHeight="1">
      <c r="A340" s="17" t="s">
        <v>624</v>
      </c>
      <c r="B340" s="35">
        <v>96985</v>
      </c>
      <c r="C340" s="36" t="s">
        <v>700</v>
      </c>
      <c r="D340" s="102" t="s">
        <v>61</v>
      </c>
      <c r="E340" s="102" t="s">
        <v>276</v>
      </c>
      <c r="F340" s="33">
        <v>16</v>
      </c>
      <c r="G340" s="34">
        <v>99.89</v>
      </c>
      <c r="H340" s="34">
        <f t="shared" si="41"/>
        <v>1598.24</v>
      </c>
      <c r="I340" s="10"/>
      <c r="J340" s="10"/>
      <c r="K340" s="10"/>
      <c r="L340" s="10"/>
    </row>
    <row r="341" spans="1:12" ht="49.95" customHeight="1">
      <c r="A341" s="17" t="s">
        <v>625</v>
      </c>
      <c r="B341" s="35">
        <v>91929</v>
      </c>
      <c r="C341" s="36" t="s">
        <v>815</v>
      </c>
      <c r="D341" s="102" t="s">
        <v>61</v>
      </c>
      <c r="E341" s="102" t="s">
        <v>63</v>
      </c>
      <c r="F341" s="33">
        <v>569.70000000000005</v>
      </c>
      <c r="G341" s="34">
        <v>9.16</v>
      </c>
      <c r="H341" s="34">
        <f t="shared" si="41"/>
        <v>5218.4520000000002</v>
      </c>
      <c r="I341" s="10"/>
      <c r="J341" s="10"/>
      <c r="K341" s="10"/>
      <c r="L341" s="10"/>
    </row>
    <row r="342" spans="1:12" ht="49.95" customHeight="1">
      <c r="A342" s="17" t="s">
        <v>626</v>
      </c>
      <c r="B342" s="35">
        <v>91931</v>
      </c>
      <c r="C342" s="36" t="s">
        <v>704</v>
      </c>
      <c r="D342" s="102" t="s">
        <v>61</v>
      </c>
      <c r="E342" s="102" t="s">
        <v>63</v>
      </c>
      <c r="F342" s="33">
        <v>24.3</v>
      </c>
      <c r="G342" s="34">
        <v>13.01</v>
      </c>
      <c r="H342" s="34">
        <f t="shared" si="41"/>
        <v>316.14300000000003</v>
      </c>
      <c r="I342" s="10"/>
      <c r="J342" s="10"/>
      <c r="K342" s="10"/>
      <c r="L342" s="10"/>
    </row>
    <row r="343" spans="1:12" ht="49.95" customHeight="1">
      <c r="A343" s="17" t="s">
        <v>627</v>
      </c>
      <c r="B343" s="57">
        <v>29</v>
      </c>
      <c r="C343" s="36" t="s">
        <v>816</v>
      </c>
      <c r="D343" s="58" t="s">
        <v>274</v>
      </c>
      <c r="E343" s="40" t="s">
        <v>5</v>
      </c>
      <c r="F343" s="41">
        <v>16</v>
      </c>
      <c r="G343" s="62">
        <v>1343.44</v>
      </c>
      <c r="H343" s="34">
        <f t="shared" si="41"/>
        <v>21495.040000000001</v>
      </c>
      <c r="I343" s="10"/>
      <c r="J343" s="11"/>
      <c r="K343" s="12"/>
      <c r="L343" s="13"/>
    </row>
    <row r="344" spans="1:12" ht="21.75" customHeight="1">
      <c r="A344" s="119" t="s">
        <v>32</v>
      </c>
      <c r="B344" s="119"/>
      <c r="C344" s="119"/>
      <c r="D344" s="119"/>
      <c r="E344" s="119"/>
      <c r="F344" s="119"/>
      <c r="G344" s="120"/>
      <c r="H344" s="64">
        <v>69696.92</v>
      </c>
      <c r="I344" s="7"/>
      <c r="J344" s="7"/>
      <c r="K344" s="7"/>
      <c r="L344" s="7"/>
    </row>
    <row r="345" spans="1:12" ht="20.25" customHeight="1">
      <c r="A345" s="117" t="s">
        <v>33</v>
      </c>
      <c r="B345" s="117"/>
      <c r="C345" s="117"/>
      <c r="D345" s="117"/>
      <c r="E345" s="117"/>
      <c r="F345" s="117"/>
      <c r="G345" s="118"/>
      <c r="H345" s="65">
        <v>308904.31</v>
      </c>
      <c r="I345" s="7"/>
      <c r="J345" s="7"/>
      <c r="K345" s="7"/>
      <c r="L345" s="7"/>
    </row>
    <row r="346" spans="1:12" ht="31.5" customHeight="1">
      <c r="A346" s="117" t="s">
        <v>34</v>
      </c>
      <c r="B346" s="117"/>
      <c r="C346" s="117"/>
      <c r="D346" s="117"/>
      <c r="E346" s="117"/>
      <c r="F346" s="117"/>
      <c r="G346" s="118"/>
      <c r="H346" s="9">
        <f>SUM(H344:H345)</f>
        <v>378601.23</v>
      </c>
      <c r="I346" s="21"/>
      <c r="J346" s="23">
        <f>L346/$H$346</f>
        <v>0.26833860788038122</v>
      </c>
      <c r="K346" s="24" t="s">
        <v>35</v>
      </c>
      <c r="L346" s="22">
        <f>SUM(L7:L343)</f>
        <v>101593.32700000002</v>
      </c>
    </row>
    <row r="347" spans="1:12" ht="60" customHeight="1">
      <c r="A347" s="108" t="s">
        <v>818</v>
      </c>
      <c r="B347" s="109"/>
      <c r="C347" s="110"/>
      <c r="D347" s="108" t="s">
        <v>819</v>
      </c>
      <c r="E347" s="109"/>
      <c r="F347" s="109"/>
      <c r="G347" s="109"/>
      <c r="H347" s="109"/>
      <c r="I347" s="110"/>
      <c r="J347" s="107" t="s">
        <v>820</v>
      </c>
      <c r="K347" s="107"/>
      <c r="L347" s="107"/>
    </row>
    <row r="348" spans="1:12" ht="60" customHeight="1">
      <c r="A348" s="111"/>
      <c r="B348" s="112"/>
      <c r="C348" s="113"/>
      <c r="D348" s="111"/>
      <c r="E348" s="112"/>
      <c r="F348" s="112"/>
      <c r="G348" s="112"/>
      <c r="H348" s="112"/>
      <c r="I348" s="113"/>
      <c r="J348" s="107"/>
      <c r="K348" s="107"/>
      <c r="L348" s="107"/>
    </row>
    <row r="349" spans="1:12" ht="70.05" customHeight="1">
      <c r="A349" s="111"/>
      <c r="B349" s="112"/>
      <c r="C349" s="113"/>
      <c r="D349" s="111"/>
      <c r="E349" s="112"/>
      <c r="F349" s="112"/>
      <c r="G349" s="112"/>
      <c r="H349" s="112"/>
      <c r="I349" s="113"/>
      <c r="J349" s="107"/>
      <c r="K349" s="107"/>
      <c r="L349" s="107"/>
    </row>
    <row r="350" spans="1:12">
      <c r="A350" s="114"/>
      <c r="B350" s="115"/>
      <c r="C350" s="116"/>
      <c r="D350" s="114"/>
      <c r="E350" s="115"/>
      <c r="F350" s="115"/>
      <c r="G350" s="115"/>
      <c r="H350" s="115"/>
      <c r="I350" s="116"/>
      <c r="J350" s="107"/>
      <c r="K350" s="107"/>
      <c r="L350" s="107"/>
    </row>
    <row r="352" spans="1:12">
      <c r="K352" s="91"/>
    </row>
    <row r="353" spans="3:10">
      <c r="C353" s="18"/>
      <c r="E353" s="18"/>
      <c r="H353" s="19"/>
      <c r="J353" s="18"/>
    </row>
    <row r="355" spans="3:10">
      <c r="H355" s="19"/>
    </row>
    <row r="356" spans="3:10">
      <c r="H356" s="20"/>
    </row>
    <row r="357" spans="3:10">
      <c r="H357" s="19"/>
    </row>
    <row r="358" spans="3:10">
      <c r="H358" s="19"/>
    </row>
    <row r="359" spans="3:10">
      <c r="H359" s="19"/>
    </row>
    <row r="360" spans="3:10">
      <c r="H360" s="19"/>
    </row>
    <row r="361" spans="3:10">
      <c r="H361" s="19"/>
    </row>
    <row r="362" spans="3:10">
      <c r="H362" s="66"/>
    </row>
  </sheetData>
  <mergeCells count="60">
    <mergeCell ref="B186:G186"/>
    <mergeCell ref="B190:G190"/>
    <mergeCell ref="B256:G256"/>
    <mergeCell ref="B324:G324"/>
    <mergeCell ref="B314:G314"/>
    <mergeCell ref="B298:G298"/>
    <mergeCell ref="B299:G299"/>
    <mergeCell ref="B310:G310"/>
    <mergeCell ref="B262:G262"/>
    <mergeCell ref="B266:G266"/>
    <mergeCell ref="B267:G267"/>
    <mergeCell ref="B270:G270"/>
    <mergeCell ref="B281:G281"/>
    <mergeCell ref="B289:G289"/>
    <mergeCell ref="B169:G169"/>
    <mergeCell ref="B181:G181"/>
    <mergeCell ref="B16:G16"/>
    <mergeCell ref="B38:G38"/>
    <mergeCell ref="B13:G13"/>
    <mergeCell ref="B52:G52"/>
    <mergeCell ref="B59:G59"/>
    <mergeCell ref="B60:G60"/>
    <mergeCell ref="B141:G141"/>
    <mergeCell ref="B144:G144"/>
    <mergeCell ref="B147:G147"/>
    <mergeCell ref="B158:G158"/>
    <mergeCell ref="B173:G173"/>
    <mergeCell ref="B55:G55"/>
    <mergeCell ref="B191:G191"/>
    <mergeCell ref="B6:G6"/>
    <mergeCell ref="J6:L6"/>
    <mergeCell ref="J1:L2"/>
    <mergeCell ref="J4:L4"/>
    <mergeCell ref="J3:K3"/>
    <mergeCell ref="B86:G86"/>
    <mergeCell ref="B108:G108"/>
    <mergeCell ref="B137:G137"/>
    <mergeCell ref="B142:G142"/>
    <mergeCell ref="B27:G27"/>
    <mergeCell ref="B130:G130"/>
    <mergeCell ref="B42:G42"/>
    <mergeCell ref="B1:D1"/>
    <mergeCell ref="E1:F1"/>
    <mergeCell ref="J347:L350"/>
    <mergeCell ref="B216:G216"/>
    <mergeCell ref="A347:C350"/>
    <mergeCell ref="D347:I350"/>
    <mergeCell ref="A345:G345"/>
    <mergeCell ref="A346:G346"/>
    <mergeCell ref="A344:G344"/>
    <mergeCell ref="B237:G237"/>
    <mergeCell ref="G1:H1"/>
    <mergeCell ref="A2:D2"/>
    <mergeCell ref="E2:F2"/>
    <mergeCell ref="G2:H2"/>
    <mergeCell ref="B11:G11"/>
    <mergeCell ref="A3:D3"/>
    <mergeCell ref="E3:I3"/>
    <mergeCell ref="A4:H4"/>
    <mergeCell ref="B10:G10"/>
  </mergeCells>
  <phoneticPr fontId="15" type="noConversion"/>
  <conditionalFormatting sqref="J43:J51 J53:J54 J62:J68 J91:J93 J109 J138:J140 J170:J172 J182:J185 J214:J215 J225:J231 J85 J107 J174:J175 J187:J189 J236">
    <cfRule type="cellIs" dxfId="266" priority="482" operator="between">
      <formula>0.01</formula>
      <formula>1</formula>
    </cfRule>
  </conditionalFormatting>
  <conditionalFormatting sqref="K43:K51 K53:K54 K62:K68 K91:K93 K109 K138:K140 K170:K172 K182:K185 K214:K215 K225:K231 K85 K107 K174:K175 K187:K189 K236">
    <cfRule type="cellIs" dxfId="265" priority="481" operator="between">
      <formula>1</formula>
      <formula>1000</formula>
    </cfRule>
  </conditionalFormatting>
  <conditionalFormatting sqref="L43:L51 L53:L54 L62:L68 L91:L93 L109 L138:L140 L170:L172 L182:L185 L214:L215 L225:L231 L85 L107 L174:L175 L187:L189 L236">
    <cfRule type="cellIs" dxfId="264" priority="480" operator="between">
      <formula>1</formula>
      <formula>100000</formula>
    </cfRule>
  </conditionalFormatting>
  <conditionalFormatting sqref="L70:L84">
    <cfRule type="cellIs" dxfId="263" priority="268" operator="between">
      <formula>1</formula>
      <formula>100000</formula>
    </cfRule>
  </conditionalFormatting>
  <conditionalFormatting sqref="J70:J84">
    <cfRule type="cellIs" dxfId="262" priority="270" operator="between">
      <formula>0.01</formula>
      <formula>1</formula>
    </cfRule>
  </conditionalFormatting>
  <conditionalFormatting sqref="K70:K84">
    <cfRule type="cellIs" dxfId="261" priority="269" operator="between">
      <formula>1</formula>
      <formula>1000</formula>
    </cfRule>
  </conditionalFormatting>
  <conditionalFormatting sqref="L87:L90">
    <cfRule type="cellIs" dxfId="260" priority="265" operator="between">
      <formula>1</formula>
      <formula>100000</formula>
    </cfRule>
  </conditionalFormatting>
  <conditionalFormatting sqref="J87:J90">
    <cfRule type="cellIs" dxfId="259" priority="267" operator="between">
      <formula>0.01</formula>
      <formula>1</formula>
    </cfRule>
  </conditionalFormatting>
  <conditionalFormatting sqref="K87:K90">
    <cfRule type="cellIs" dxfId="258" priority="266" operator="between">
      <formula>1</formula>
      <formula>1000</formula>
    </cfRule>
  </conditionalFormatting>
  <conditionalFormatting sqref="L94:L97">
    <cfRule type="cellIs" dxfId="257" priority="259" operator="between">
      <formula>1</formula>
      <formula>100000</formula>
    </cfRule>
  </conditionalFormatting>
  <conditionalFormatting sqref="J98:J100">
    <cfRule type="cellIs" dxfId="256" priority="264" operator="between">
      <formula>0.01</formula>
      <formula>1</formula>
    </cfRule>
  </conditionalFormatting>
  <conditionalFormatting sqref="K98:K100">
    <cfRule type="cellIs" dxfId="255" priority="263" operator="between">
      <formula>1</formula>
      <formula>1000</formula>
    </cfRule>
  </conditionalFormatting>
  <conditionalFormatting sqref="L98:L100">
    <cfRule type="cellIs" dxfId="254" priority="262" operator="between">
      <formula>1</formula>
      <formula>100000</formula>
    </cfRule>
  </conditionalFormatting>
  <conditionalFormatting sqref="L102:L105">
    <cfRule type="cellIs" dxfId="253" priority="250" operator="between">
      <formula>1</formula>
      <formula>100000</formula>
    </cfRule>
  </conditionalFormatting>
  <conditionalFormatting sqref="J94:J97">
    <cfRule type="cellIs" dxfId="252" priority="261" operator="between">
      <formula>0.01</formula>
      <formula>1</formula>
    </cfRule>
  </conditionalFormatting>
  <conditionalFormatting sqref="K94:K97">
    <cfRule type="cellIs" dxfId="251" priority="260" operator="between">
      <formula>1</formula>
      <formula>1000</formula>
    </cfRule>
  </conditionalFormatting>
  <conditionalFormatting sqref="J101">
    <cfRule type="cellIs" dxfId="250" priority="258" operator="between">
      <formula>0.01</formula>
      <formula>1</formula>
    </cfRule>
  </conditionalFormatting>
  <conditionalFormatting sqref="K101">
    <cfRule type="cellIs" dxfId="249" priority="257" operator="between">
      <formula>1</formula>
      <formula>1000</formula>
    </cfRule>
  </conditionalFormatting>
  <conditionalFormatting sqref="L101">
    <cfRule type="cellIs" dxfId="248" priority="256" operator="between">
      <formula>1</formula>
      <formula>100000</formula>
    </cfRule>
  </conditionalFormatting>
  <conditionalFormatting sqref="L110">
    <cfRule type="cellIs" dxfId="247" priority="247" operator="between">
      <formula>1</formula>
      <formula>100000</formula>
    </cfRule>
  </conditionalFormatting>
  <conditionalFormatting sqref="J106">
    <cfRule type="cellIs" dxfId="246" priority="255" operator="between">
      <formula>0.01</formula>
      <formula>1</formula>
    </cfRule>
  </conditionalFormatting>
  <conditionalFormatting sqref="K106">
    <cfRule type="cellIs" dxfId="245" priority="254" operator="between">
      <formula>1</formula>
      <formula>1000</formula>
    </cfRule>
  </conditionalFormatting>
  <conditionalFormatting sqref="L106">
    <cfRule type="cellIs" dxfId="244" priority="253" operator="between">
      <formula>1</formula>
      <formula>100000</formula>
    </cfRule>
  </conditionalFormatting>
  <conditionalFormatting sqref="J102:J105">
    <cfRule type="cellIs" dxfId="243" priority="252" operator="between">
      <formula>0.01</formula>
      <formula>1</formula>
    </cfRule>
  </conditionalFormatting>
  <conditionalFormatting sqref="K102:K105">
    <cfRule type="cellIs" dxfId="242" priority="251" operator="between">
      <formula>1</formula>
      <formula>1000</formula>
    </cfRule>
  </conditionalFormatting>
  <conditionalFormatting sqref="J110">
    <cfRule type="cellIs" dxfId="241" priority="249" operator="between">
      <formula>0.01</formula>
      <formula>1</formula>
    </cfRule>
  </conditionalFormatting>
  <conditionalFormatting sqref="K110">
    <cfRule type="cellIs" dxfId="240" priority="248" operator="between">
      <formula>1</formula>
      <formula>1000</formula>
    </cfRule>
  </conditionalFormatting>
  <conditionalFormatting sqref="L112">
    <cfRule type="cellIs" dxfId="239" priority="241" operator="between">
      <formula>1</formula>
      <formula>100000</formula>
    </cfRule>
  </conditionalFormatting>
  <conditionalFormatting sqref="J111">
    <cfRule type="cellIs" dxfId="238" priority="246" operator="between">
      <formula>0.01</formula>
      <formula>1</formula>
    </cfRule>
  </conditionalFormatting>
  <conditionalFormatting sqref="K111">
    <cfRule type="cellIs" dxfId="237" priority="245" operator="between">
      <formula>1</formula>
      <formula>1000</formula>
    </cfRule>
  </conditionalFormatting>
  <conditionalFormatting sqref="L111">
    <cfRule type="cellIs" dxfId="236" priority="244" operator="between">
      <formula>1</formula>
      <formula>100000</formula>
    </cfRule>
  </conditionalFormatting>
  <conditionalFormatting sqref="L116">
    <cfRule type="cellIs" dxfId="235" priority="229" operator="between">
      <formula>1</formula>
      <formula>100000</formula>
    </cfRule>
  </conditionalFormatting>
  <conditionalFormatting sqref="J112">
    <cfRule type="cellIs" dxfId="234" priority="243" operator="between">
      <formula>0.01</formula>
      <formula>1</formula>
    </cfRule>
  </conditionalFormatting>
  <conditionalFormatting sqref="K112">
    <cfRule type="cellIs" dxfId="233" priority="242" operator="between">
      <formula>1</formula>
      <formula>1000</formula>
    </cfRule>
  </conditionalFormatting>
  <conditionalFormatting sqref="J113">
    <cfRule type="cellIs" dxfId="232" priority="240" operator="between">
      <formula>0.01</formula>
      <formula>1</formula>
    </cfRule>
  </conditionalFormatting>
  <conditionalFormatting sqref="K113">
    <cfRule type="cellIs" dxfId="231" priority="239" operator="between">
      <formula>1</formula>
      <formula>1000</formula>
    </cfRule>
  </conditionalFormatting>
  <conditionalFormatting sqref="L113">
    <cfRule type="cellIs" dxfId="230" priority="238" operator="between">
      <formula>1</formula>
      <formula>100000</formula>
    </cfRule>
  </conditionalFormatting>
  <conditionalFormatting sqref="L114">
    <cfRule type="cellIs" dxfId="229" priority="235" operator="between">
      <formula>1</formula>
      <formula>100000</formula>
    </cfRule>
  </conditionalFormatting>
  <conditionalFormatting sqref="J114">
    <cfRule type="cellIs" dxfId="228" priority="237" operator="between">
      <formula>0.01</formula>
      <formula>1</formula>
    </cfRule>
  </conditionalFormatting>
  <conditionalFormatting sqref="K114">
    <cfRule type="cellIs" dxfId="227" priority="236" operator="between">
      <formula>1</formula>
      <formula>1000</formula>
    </cfRule>
  </conditionalFormatting>
  <conditionalFormatting sqref="L124">
    <cfRule type="cellIs" dxfId="226" priority="205" operator="between">
      <formula>1</formula>
      <formula>100000</formula>
    </cfRule>
  </conditionalFormatting>
  <conditionalFormatting sqref="J115">
    <cfRule type="cellIs" dxfId="225" priority="234" operator="between">
      <formula>0.01</formula>
      <formula>1</formula>
    </cfRule>
  </conditionalFormatting>
  <conditionalFormatting sqref="K115">
    <cfRule type="cellIs" dxfId="224" priority="233" operator="between">
      <formula>1</formula>
      <formula>1000</formula>
    </cfRule>
  </conditionalFormatting>
  <conditionalFormatting sqref="L115">
    <cfRule type="cellIs" dxfId="223" priority="232" operator="between">
      <formula>1</formula>
      <formula>100000</formula>
    </cfRule>
  </conditionalFormatting>
  <conditionalFormatting sqref="J116">
    <cfRule type="cellIs" dxfId="222" priority="231" operator="between">
      <formula>0.01</formula>
      <formula>1</formula>
    </cfRule>
  </conditionalFormatting>
  <conditionalFormatting sqref="K116">
    <cfRule type="cellIs" dxfId="221" priority="230" operator="between">
      <formula>1</formula>
      <formula>1000</formula>
    </cfRule>
  </conditionalFormatting>
  <conditionalFormatting sqref="J117">
    <cfRule type="cellIs" dxfId="220" priority="228" operator="between">
      <formula>0.01</formula>
      <formula>1</formula>
    </cfRule>
  </conditionalFormatting>
  <conditionalFormatting sqref="K117">
    <cfRule type="cellIs" dxfId="219" priority="227" operator="between">
      <formula>1</formula>
      <formula>1000</formula>
    </cfRule>
  </conditionalFormatting>
  <conditionalFormatting sqref="L117">
    <cfRule type="cellIs" dxfId="218" priority="226" operator="between">
      <formula>1</formula>
      <formula>100000</formula>
    </cfRule>
  </conditionalFormatting>
  <conditionalFormatting sqref="L118">
    <cfRule type="cellIs" dxfId="217" priority="223" operator="between">
      <formula>1</formula>
      <formula>100000</formula>
    </cfRule>
  </conditionalFormatting>
  <conditionalFormatting sqref="J118">
    <cfRule type="cellIs" dxfId="216" priority="225" operator="between">
      <formula>0.01</formula>
      <formula>1</formula>
    </cfRule>
  </conditionalFormatting>
  <conditionalFormatting sqref="K118">
    <cfRule type="cellIs" dxfId="215" priority="224" operator="between">
      <formula>1</formula>
      <formula>1000</formula>
    </cfRule>
  </conditionalFormatting>
  <conditionalFormatting sqref="L120">
    <cfRule type="cellIs" dxfId="214" priority="217" operator="between">
      <formula>1</formula>
      <formula>100000</formula>
    </cfRule>
  </conditionalFormatting>
  <conditionalFormatting sqref="J119">
    <cfRule type="cellIs" dxfId="213" priority="222" operator="between">
      <formula>0.01</formula>
      <formula>1</formula>
    </cfRule>
  </conditionalFormatting>
  <conditionalFormatting sqref="K119">
    <cfRule type="cellIs" dxfId="212" priority="221" operator="between">
      <formula>1</formula>
      <formula>1000</formula>
    </cfRule>
  </conditionalFormatting>
  <conditionalFormatting sqref="L119">
    <cfRule type="cellIs" dxfId="211" priority="220" operator="between">
      <formula>1</formula>
      <formula>100000</formula>
    </cfRule>
  </conditionalFormatting>
  <conditionalFormatting sqref="L136">
    <cfRule type="cellIs" dxfId="210" priority="184" operator="between">
      <formula>1</formula>
      <formula>100000</formula>
    </cfRule>
  </conditionalFormatting>
  <conditionalFormatting sqref="J120">
    <cfRule type="cellIs" dxfId="209" priority="219" operator="between">
      <formula>0.01</formula>
      <formula>1</formula>
    </cfRule>
  </conditionalFormatting>
  <conditionalFormatting sqref="K120">
    <cfRule type="cellIs" dxfId="208" priority="218" operator="between">
      <formula>1</formula>
      <formula>1000</formula>
    </cfRule>
  </conditionalFormatting>
  <conditionalFormatting sqref="J121">
    <cfRule type="cellIs" dxfId="207" priority="216" operator="between">
      <formula>0.01</formula>
      <formula>1</formula>
    </cfRule>
  </conditionalFormatting>
  <conditionalFormatting sqref="K121">
    <cfRule type="cellIs" dxfId="206" priority="215" operator="between">
      <formula>1</formula>
      <formula>1000</formula>
    </cfRule>
  </conditionalFormatting>
  <conditionalFormatting sqref="L121">
    <cfRule type="cellIs" dxfId="205" priority="214" operator="between">
      <formula>1</formula>
      <formula>100000</formula>
    </cfRule>
  </conditionalFormatting>
  <conditionalFormatting sqref="L122">
    <cfRule type="cellIs" dxfId="204" priority="211" operator="between">
      <formula>1</formula>
      <formula>100000</formula>
    </cfRule>
  </conditionalFormatting>
  <conditionalFormatting sqref="J122">
    <cfRule type="cellIs" dxfId="203" priority="213" operator="between">
      <formula>0.01</formula>
      <formula>1</formula>
    </cfRule>
  </conditionalFormatting>
  <conditionalFormatting sqref="K122">
    <cfRule type="cellIs" dxfId="202" priority="212" operator="between">
      <formula>1</formula>
      <formula>1000</formula>
    </cfRule>
  </conditionalFormatting>
  <conditionalFormatting sqref="J123">
    <cfRule type="cellIs" dxfId="201" priority="210" operator="between">
      <formula>0.01</formula>
      <formula>1</formula>
    </cfRule>
  </conditionalFormatting>
  <conditionalFormatting sqref="K123">
    <cfRule type="cellIs" dxfId="200" priority="209" operator="between">
      <formula>1</formula>
      <formula>1000</formula>
    </cfRule>
  </conditionalFormatting>
  <conditionalFormatting sqref="L123">
    <cfRule type="cellIs" dxfId="199" priority="208" operator="between">
      <formula>1</formula>
      <formula>100000</formula>
    </cfRule>
  </conditionalFormatting>
  <conditionalFormatting sqref="J124">
    <cfRule type="cellIs" dxfId="198" priority="207" operator="between">
      <formula>0.01</formula>
      <formula>1</formula>
    </cfRule>
  </conditionalFormatting>
  <conditionalFormatting sqref="K124">
    <cfRule type="cellIs" dxfId="197" priority="206" operator="between">
      <formula>1</formula>
      <formula>1000</formula>
    </cfRule>
  </conditionalFormatting>
  <conditionalFormatting sqref="L131:L135">
    <cfRule type="cellIs" dxfId="196" priority="181" operator="between">
      <formula>1</formula>
      <formula>100000</formula>
    </cfRule>
  </conditionalFormatting>
  <conditionalFormatting sqref="L176:L177">
    <cfRule type="cellIs" dxfId="193" priority="166" operator="between">
      <formula>1</formula>
      <formula>100000</formula>
    </cfRule>
  </conditionalFormatting>
  <conditionalFormatting sqref="L125">
    <cfRule type="cellIs" dxfId="192" priority="202" operator="between">
      <formula>1</formula>
      <formula>100000</formula>
    </cfRule>
  </conditionalFormatting>
  <conditionalFormatting sqref="J125">
    <cfRule type="cellIs" dxfId="191" priority="204" operator="between">
      <formula>0.01</formula>
      <formula>1</formula>
    </cfRule>
  </conditionalFormatting>
  <conditionalFormatting sqref="K125">
    <cfRule type="cellIs" dxfId="190" priority="203" operator="between">
      <formula>1</formula>
      <formula>1000</formula>
    </cfRule>
  </conditionalFormatting>
  <conditionalFormatting sqref="L127">
    <cfRule type="cellIs" dxfId="189" priority="196" operator="between">
      <formula>1</formula>
      <formula>100000</formula>
    </cfRule>
  </conditionalFormatting>
  <conditionalFormatting sqref="J126">
    <cfRule type="cellIs" dxfId="188" priority="201" operator="between">
      <formula>0.01</formula>
      <formula>1</formula>
    </cfRule>
  </conditionalFormatting>
  <conditionalFormatting sqref="K126">
    <cfRule type="cellIs" dxfId="187" priority="200" operator="between">
      <formula>1</formula>
      <formula>1000</formula>
    </cfRule>
  </conditionalFormatting>
  <conditionalFormatting sqref="L126">
    <cfRule type="cellIs" dxfId="186" priority="199" operator="between">
      <formula>1</formula>
      <formula>100000</formula>
    </cfRule>
  </conditionalFormatting>
  <conditionalFormatting sqref="J127">
    <cfRule type="cellIs" dxfId="185" priority="198" operator="between">
      <formula>0.01</formula>
      <formula>1</formula>
    </cfRule>
  </conditionalFormatting>
  <conditionalFormatting sqref="K127">
    <cfRule type="cellIs" dxfId="184" priority="197" operator="between">
      <formula>1</formula>
      <formula>1000</formula>
    </cfRule>
  </conditionalFormatting>
  <conditionalFormatting sqref="J128">
    <cfRule type="cellIs" dxfId="183" priority="195" operator="between">
      <formula>0.01</formula>
      <formula>1</formula>
    </cfRule>
  </conditionalFormatting>
  <conditionalFormatting sqref="K128">
    <cfRule type="cellIs" dxfId="182" priority="194" operator="between">
      <formula>1</formula>
      <formula>1000</formula>
    </cfRule>
  </conditionalFormatting>
  <conditionalFormatting sqref="L128">
    <cfRule type="cellIs" dxfId="181" priority="193" operator="between">
      <formula>1</formula>
      <formula>100000</formula>
    </cfRule>
  </conditionalFormatting>
  <conditionalFormatting sqref="L129">
    <cfRule type="cellIs" dxfId="180" priority="190" operator="between">
      <formula>1</formula>
      <formula>100000</formula>
    </cfRule>
  </conditionalFormatting>
  <conditionalFormatting sqref="J129">
    <cfRule type="cellIs" dxfId="179" priority="192" operator="between">
      <formula>0.01</formula>
      <formula>1</formula>
    </cfRule>
  </conditionalFormatting>
  <conditionalFormatting sqref="K129">
    <cfRule type="cellIs" dxfId="178" priority="191" operator="between">
      <formula>1</formula>
      <formula>1000</formula>
    </cfRule>
  </conditionalFormatting>
  <conditionalFormatting sqref="J136">
    <cfRule type="cellIs" dxfId="177" priority="186" operator="between">
      <formula>0.01</formula>
      <formula>1</formula>
    </cfRule>
  </conditionalFormatting>
  <conditionalFormatting sqref="K136">
    <cfRule type="cellIs" dxfId="176" priority="185" operator="between">
      <formula>1</formula>
      <formula>1000</formula>
    </cfRule>
  </conditionalFormatting>
  <conditionalFormatting sqref="L180">
    <cfRule type="cellIs" dxfId="175" priority="160" operator="between">
      <formula>1</formula>
      <formula>100000</formula>
    </cfRule>
  </conditionalFormatting>
  <conditionalFormatting sqref="L203">
    <cfRule type="cellIs" dxfId="174" priority="148" operator="between">
      <formula>1</formula>
      <formula>100000</formula>
    </cfRule>
  </conditionalFormatting>
  <conditionalFormatting sqref="L206">
    <cfRule type="cellIs" dxfId="173" priority="157" operator="between">
      <formula>1</formula>
      <formula>100000</formula>
    </cfRule>
  </conditionalFormatting>
  <conditionalFormatting sqref="J131:J135">
    <cfRule type="cellIs" dxfId="172" priority="183" operator="between">
      <formula>0.01</formula>
      <formula>1</formula>
    </cfRule>
  </conditionalFormatting>
  <conditionalFormatting sqref="K131:K135">
    <cfRule type="cellIs" dxfId="171" priority="182" operator="between">
      <formula>1</formula>
      <formula>1000</formula>
    </cfRule>
  </conditionalFormatting>
  <conditionalFormatting sqref="L204">
    <cfRule type="cellIs" dxfId="170" priority="151" operator="between">
      <formula>1</formula>
      <formula>100000</formula>
    </cfRule>
  </conditionalFormatting>
  <conditionalFormatting sqref="L200">
    <cfRule type="cellIs" dxfId="165" priority="139" operator="between">
      <formula>1</formula>
      <formula>100000</formula>
    </cfRule>
  </conditionalFormatting>
  <conditionalFormatting sqref="L192">
    <cfRule type="cellIs" dxfId="161" priority="115" operator="between">
      <formula>1</formula>
      <formula>100000</formula>
    </cfRule>
  </conditionalFormatting>
  <conditionalFormatting sqref="J176:J177">
    <cfRule type="cellIs" dxfId="160" priority="168" operator="between">
      <formula>0.01</formula>
      <formula>1</formula>
    </cfRule>
  </conditionalFormatting>
  <conditionalFormatting sqref="K176:K177">
    <cfRule type="cellIs" dxfId="159" priority="167" operator="between">
      <formula>1</formula>
      <formula>1000</formula>
    </cfRule>
  </conditionalFormatting>
  <conditionalFormatting sqref="J180">
    <cfRule type="cellIs" dxfId="158" priority="162" operator="between">
      <formula>0.01</formula>
      <formula>1</formula>
    </cfRule>
  </conditionalFormatting>
  <conditionalFormatting sqref="K180">
    <cfRule type="cellIs" dxfId="157" priority="161" operator="between">
      <formula>1</formula>
      <formula>1000</formula>
    </cfRule>
  </conditionalFormatting>
  <conditionalFormatting sqref="L207">
    <cfRule type="cellIs" dxfId="156" priority="94" operator="between">
      <formula>1</formula>
      <formula>100000</formula>
    </cfRule>
  </conditionalFormatting>
  <conditionalFormatting sqref="J203">
    <cfRule type="cellIs" dxfId="155" priority="150" operator="between">
      <formula>0.01</formula>
      <formula>1</formula>
    </cfRule>
  </conditionalFormatting>
  <conditionalFormatting sqref="K203">
    <cfRule type="cellIs" dxfId="154" priority="149" operator="between">
      <formula>1</formula>
      <formula>1000</formula>
    </cfRule>
  </conditionalFormatting>
  <conditionalFormatting sqref="L217:L224">
    <cfRule type="cellIs" dxfId="153" priority="91" operator="between">
      <formula>1</formula>
      <formula>100000</formula>
    </cfRule>
  </conditionalFormatting>
  <conditionalFormatting sqref="J178:J179">
    <cfRule type="cellIs" dxfId="152" priority="165" operator="between">
      <formula>0.01</formula>
      <formula>1</formula>
    </cfRule>
  </conditionalFormatting>
  <conditionalFormatting sqref="K178:K179">
    <cfRule type="cellIs" dxfId="151" priority="164" operator="between">
      <formula>1</formula>
      <formula>1000</formula>
    </cfRule>
  </conditionalFormatting>
  <conditionalFormatting sqref="L178:L179">
    <cfRule type="cellIs" dxfId="150" priority="163" operator="between">
      <formula>1</formula>
      <formula>100000</formula>
    </cfRule>
  </conditionalFormatting>
  <conditionalFormatting sqref="L232:L235">
    <cfRule type="cellIs" dxfId="149" priority="88" operator="between">
      <formula>1</formula>
      <formula>100000</formula>
    </cfRule>
  </conditionalFormatting>
  <conditionalFormatting sqref="J206">
    <cfRule type="cellIs" dxfId="148" priority="159" operator="between">
      <formula>0.01</formula>
      <formula>1</formula>
    </cfRule>
  </conditionalFormatting>
  <conditionalFormatting sqref="K206">
    <cfRule type="cellIs" dxfId="147" priority="158" operator="between">
      <formula>1</formula>
      <formula>1000</formula>
    </cfRule>
  </conditionalFormatting>
  <conditionalFormatting sqref="J204">
    <cfRule type="cellIs" dxfId="146" priority="153" operator="between">
      <formula>0.01</formula>
      <formula>1</formula>
    </cfRule>
  </conditionalFormatting>
  <conditionalFormatting sqref="K204">
    <cfRule type="cellIs" dxfId="145" priority="152" operator="between">
      <formula>1</formula>
      <formula>1000</formula>
    </cfRule>
  </conditionalFormatting>
  <conditionalFormatting sqref="L238:L245">
    <cfRule type="cellIs" dxfId="144" priority="82" operator="between">
      <formula>1</formula>
      <formula>100000</formula>
    </cfRule>
  </conditionalFormatting>
  <conditionalFormatting sqref="J205">
    <cfRule type="cellIs" dxfId="143" priority="156" operator="between">
      <formula>0.01</formula>
      <formula>1</formula>
    </cfRule>
  </conditionalFormatting>
  <conditionalFormatting sqref="K205">
    <cfRule type="cellIs" dxfId="142" priority="155" operator="between">
      <formula>1</formula>
      <formula>1000</formula>
    </cfRule>
  </conditionalFormatting>
  <conditionalFormatting sqref="L205">
    <cfRule type="cellIs" dxfId="141" priority="154" operator="between">
      <formula>1</formula>
      <formula>100000</formula>
    </cfRule>
  </conditionalFormatting>
  <conditionalFormatting sqref="L249:L255">
    <cfRule type="cellIs" dxfId="140" priority="79" operator="between">
      <formula>1</formula>
      <formula>100000</formula>
    </cfRule>
  </conditionalFormatting>
  <conditionalFormatting sqref="J200">
    <cfRule type="cellIs" dxfId="139" priority="141" operator="between">
      <formula>0.01</formula>
      <formula>1</formula>
    </cfRule>
  </conditionalFormatting>
  <conditionalFormatting sqref="K200">
    <cfRule type="cellIs" dxfId="138" priority="140" operator="between">
      <formula>1</formula>
      <formula>1000</formula>
    </cfRule>
  </conditionalFormatting>
  <conditionalFormatting sqref="J195">
    <cfRule type="cellIs" dxfId="137" priority="126" operator="between">
      <formula>0.01</formula>
      <formula>1</formula>
    </cfRule>
  </conditionalFormatting>
  <conditionalFormatting sqref="K195">
    <cfRule type="cellIs" dxfId="136" priority="125" operator="between">
      <formula>1</formula>
      <formula>1000</formula>
    </cfRule>
  </conditionalFormatting>
  <conditionalFormatting sqref="L195">
    <cfRule type="cellIs" dxfId="135" priority="124" operator="between">
      <formula>1</formula>
      <formula>100000</formula>
    </cfRule>
  </conditionalFormatting>
  <conditionalFormatting sqref="L202">
    <cfRule type="cellIs" dxfId="134" priority="145" operator="between">
      <formula>1</formula>
      <formula>100000</formula>
    </cfRule>
  </conditionalFormatting>
  <conditionalFormatting sqref="L257:L261">
    <cfRule type="cellIs" dxfId="133" priority="76" operator="between">
      <formula>1</formula>
      <formula>100000</formula>
    </cfRule>
  </conditionalFormatting>
  <conditionalFormatting sqref="J202">
    <cfRule type="cellIs" dxfId="132" priority="147" operator="between">
      <formula>0.01</formula>
      <formula>1</formula>
    </cfRule>
  </conditionalFormatting>
  <conditionalFormatting sqref="K202">
    <cfRule type="cellIs" dxfId="131" priority="146" operator="between">
      <formula>1</formula>
      <formula>1000</formula>
    </cfRule>
  </conditionalFormatting>
  <conditionalFormatting sqref="J192">
    <cfRule type="cellIs" dxfId="130" priority="117" operator="between">
      <formula>0.01</formula>
      <formula>1</formula>
    </cfRule>
  </conditionalFormatting>
  <conditionalFormatting sqref="K192">
    <cfRule type="cellIs" dxfId="129" priority="116" operator="between">
      <formula>1</formula>
      <formula>1000</formula>
    </cfRule>
  </conditionalFormatting>
  <conditionalFormatting sqref="J201">
    <cfRule type="cellIs" dxfId="128" priority="144" operator="between">
      <formula>0.01</formula>
      <formula>1</formula>
    </cfRule>
  </conditionalFormatting>
  <conditionalFormatting sqref="K201">
    <cfRule type="cellIs" dxfId="127" priority="143" operator="between">
      <formula>1</formula>
      <formula>1000</formula>
    </cfRule>
  </conditionalFormatting>
  <conditionalFormatting sqref="L201">
    <cfRule type="cellIs" dxfId="126" priority="142" operator="between">
      <formula>1</formula>
      <formula>100000</formula>
    </cfRule>
  </conditionalFormatting>
  <conditionalFormatting sqref="J199">
    <cfRule type="cellIs" dxfId="125" priority="138" operator="between">
      <formula>0.01</formula>
      <formula>1</formula>
    </cfRule>
  </conditionalFormatting>
  <conditionalFormatting sqref="K199">
    <cfRule type="cellIs" dxfId="124" priority="137" operator="between">
      <formula>1</formula>
      <formula>1000</formula>
    </cfRule>
  </conditionalFormatting>
  <conditionalFormatting sqref="L199">
    <cfRule type="cellIs" dxfId="123" priority="136" operator="between">
      <formula>1</formula>
      <formula>100000</formula>
    </cfRule>
  </conditionalFormatting>
  <conditionalFormatting sqref="L210">
    <cfRule type="cellIs" dxfId="122" priority="103" operator="between">
      <formula>1</formula>
      <formula>100000</formula>
    </cfRule>
  </conditionalFormatting>
  <conditionalFormatting sqref="L198">
    <cfRule type="cellIs" dxfId="121" priority="133" operator="between">
      <formula>1</formula>
      <formula>100000</formula>
    </cfRule>
  </conditionalFormatting>
  <conditionalFormatting sqref="L196">
    <cfRule type="cellIs" dxfId="120" priority="127" operator="between">
      <formula>1</formula>
      <formula>100000</formula>
    </cfRule>
  </conditionalFormatting>
  <conditionalFormatting sqref="L263:L265">
    <cfRule type="cellIs" dxfId="119" priority="73" operator="between">
      <formula>1</formula>
      <formula>100000</formula>
    </cfRule>
  </conditionalFormatting>
  <conditionalFormatting sqref="J210">
    <cfRule type="cellIs" dxfId="118" priority="105" operator="between">
      <formula>0.01</formula>
      <formula>1</formula>
    </cfRule>
  </conditionalFormatting>
  <conditionalFormatting sqref="K210">
    <cfRule type="cellIs" dxfId="117" priority="104" operator="between">
      <formula>1</formula>
      <formula>1000</formula>
    </cfRule>
  </conditionalFormatting>
  <conditionalFormatting sqref="J198">
    <cfRule type="cellIs" dxfId="116" priority="135" operator="between">
      <formula>0.01</formula>
      <formula>1</formula>
    </cfRule>
  </conditionalFormatting>
  <conditionalFormatting sqref="K198">
    <cfRule type="cellIs" dxfId="115" priority="134" operator="between">
      <formula>1</formula>
      <formula>1000</formula>
    </cfRule>
  </conditionalFormatting>
  <conditionalFormatting sqref="J196">
    <cfRule type="cellIs" dxfId="114" priority="129" operator="between">
      <formula>0.01</formula>
      <formula>1</formula>
    </cfRule>
  </conditionalFormatting>
  <conditionalFormatting sqref="K196">
    <cfRule type="cellIs" dxfId="113" priority="128" operator="between">
      <formula>1</formula>
      <formula>1000</formula>
    </cfRule>
  </conditionalFormatting>
  <conditionalFormatting sqref="J197">
    <cfRule type="cellIs" dxfId="112" priority="132" operator="between">
      <formula>0.01</formula>
      <formula>1</formula>
    </cfRule>
  </conditionalFormatting>
  <conditionalFormatting sqref="K197">
    <cfRule type="cellIs" dxfId="111" priority="131" operator="between">
      <formula>1</formula>
      <formula>1000</formula>
    </cfRule>
  </conditionalFormatting>
  <conditionalFormatting sqref="L197">
    <cfRule type="cellIs" dxfId="110" priority="130" operator="between">
      <formula>1</formula>
      <formula>100000</formula>
    </cfRule>
  </conditionalFormatting>
  <conditionalFormatting sqref="J207">
    <cfRule type="cellIs" dxfId="109" priority="96" operator="between">
      <formula>0.01</formula>
      <formula>1</formula>
    </cfRule>
  </conditionalFormatting>
  <conditionalFormatting sqref="K207">
    <cfRule type="cellIs" dxfId="108" priority="95" operator="between">
      <formula>1</formula>
      <formula>1000</formula>
    </cfRule>
  </conditionalFormatting>
  <conditionalFormatting sqref="L194">
    <cfRule type="cellIs" dxfId="107" priority="121" operator="between">
      <formula>1</formula>
      <formula>100000</formula>
    </cfRule>
  </conditionalFormatting>
  <conditionalFormatting sqref="J194">
    <cfRule type="cellIs" dxfId="106" priority="123" operator="between">
      <formula>0.01</formula>
      <formula>1</formula>
    </cfRule>
  </conditionalFormatting>
  <conditionalFormatting sqref="K194">
    <cfRule type="cellIs" dxfId="105" priority="122" operator="between">
      <formula>1</formula>
      <formula>1000</formula>
    </cfRule>
  </conditionalFormatting>
  <conditionalFormatting sqref="J193">
    <cfRule type="cellIs" dxfId="104" priority="120" operator="between">
      <formula>0.01</formula>
      <formula>1</formula>
    </cfRule>
  </conditionalFormatting>
  <conditionalFormatting sqref="K193">
    <cfRule type="cellIs" dxfId="103" priority="119" operator="between">
      <formula>1</formula>
      <formula>1000</formula>
    </cfRule>
  </conditionalFormatting>
  <conditionalFormatting sqref="L193">
    <cfRule type="cellIs" dxfId="102" priority="118" operator="between">
      <formula>1</formula>
      <formula>100000</formula>
    </cfRule>
  </conditionalFormatting>
  <conditionalFormatting sqref="L209">
    <cfRule type="cellIs" dxfId="101" priority="100" operator="between">
      <formula>1</formula>
      <formula>100000</formula>
    </cfRule>
  </conditionalFormatting>
  <conditionalFormatting sqref="L213">
    <cfRule type="cellIs" dxfId="100" priority="112" operator="between">
      <formula>1</formula>
      <formula>100000</formula>
    </cfRule>
  </conditionalFormatting>
  <conditionalFormatting sqref="L211">
    <cfRule type="cellIs" dxfId="99" priority="106" operator="between">
      <formula>1</formula>
      <formula>100000</formula>
    </cfRule>
  </conditionalFormatting>
  <conditionalFormatting sqref="J209">
    <cfRule type="cellIs" dxfId="97" priority="102" operator="between">
      <formula>0.01</formula>
      <formula>1</formula>
    </cfRule>
  </conditionalFormatting>
  <conditionalFormatting sqref="K209">
    <cfRule type="cellIs" dxfId="96" priority="101" operator="between">
      <formula>1</formula>
      <formula>1000</formula>
    </cfRule>
  </conditionalFormatting>
  <conditionalFormatting sqref="J213">
    <cfRule type="cellIs" dxfId="95" priority="114" operator="between">
      <formula>0.01</formula>
      <formula>1</formula>
    </cfRule>
  </conditionalFormatting>
  <conditionalFormatting sqref="K213">
    <cfRule type="cellIs" dxfId="94" priority="113" operator="between">
      <formula>1</formula>
      <formula>1000</formula>
    </cfRule>
  </conditionalFormatting>
  <conditionalFormatting sqref="J211">
    <cfRule type="cellIs" dxfId="93" priority="108" operator="between">
      <formula>0.01</formula>
      <formula>1</formula>
    </cfRule>
  </conditionalFormatting>
  <conditionalFormatting sqref="K211">
    <cfRule type="cellIs" dxfId="92" priority="107" operator="between">
      <formula>1</formula>
      <formula>1000</formula>
    </cfRule>
  </conditionalFormatting>
  <conditionalFormatting sqref="J212">
    <cfRule type="cellIs" dxfId="91" priority="111" operator="between">
      <formula>0.01</formula>
      <formula>1</formula>
    </cfRule>
  </conditionalFormatting>
  <conditionalFormatting sqref="K212">
    <cfRule type="cellIs" dxfId="90" priority="110" operator="between">
      <formula>1</formula>
      <formula>1000</formula>
    </cfRule>
  </conditionalFormatting>
  <conditionalFormatting sqref="L212">
    <cfRule type="cellIs" dxfId="89" priority="109" operator="between">
      <formula>1</formula>
      <formula>100000</formula>
    </cfRule>
  </conditionalFormatting>
  <conditionalFormatting sqref="J217:J224">
    <cfRule type="cellIs" dxfId="88" priority="93" operator="between">
      <formula>0.01</formula>
      <formula>1</formula>
    </cfRule>
  </conditionalFormatting>
  <conditionalFormatting sqref="K217:K224">
    <cfRule type="cellIs" dxfId="87" priority="92" operator="between">
      <formula>1</formula>
      <formula>1000</formula>
    </cfRule>
  </conditionalFormatting>
  <conditionalFormatting sqref="L208">
    <cfRule type="cellIs" dxfId="86" priority="97" operator="between">
      <formula>1</formula>
      <formula>100000</formula>
    </cfRule>
  </conditionalFormatting>
  <conditionalFormatting sqref="J208">
    <cfRule type="cellIs" dxfId="85" priority="99" operator="between">
      <formula>0.01</formula>
      <formula>1</formula>
    </cfRule>
  </conditionalFormatting>
  <conditionalFormatting sqref="K208">
    <cfRule type="cellIs" dxfId="84" priority="98" operator="between">
      <formula>1</formula>
      <formula>1000</formula>
    </cfRule>
  </conditionalFormatting>
  <conditionalFormatting sqref="J232:J235">
    <cfRule type="cellIs" dxfId="83" priority="90" operator="between">
      <formula>0.01</formula>
      <formula>1</formula>
    </cfRule>
  </conditionalFormatting>
  <conditionalFormatting sqref="K232:K235">
    <cfRule type="cellIs" dxfId="82" priority="89" operator="between">
      <formula>1</formula>
      <formula>1000</formula>
    </cfRule>
  </conditionalFormatting>
  <conditionalFormatting sqref="L246:L248">
    <cfRule type="cellIs" dxfId="81" priority="85" operator="between">
      <formula>1</formula>
      <formula>100000</formula>
    </cfRule>
  </conditionalFormatting>
  <conditionalFormatting sqref="J246:J248">
    <cfRule type="cellIs" dxfId="80" priority="87" operator="between">
      <formula>0.01</formula>
      <formula>1</formula>
    </cfRule>
  </conditionalFormatting>
  <conditionalFormatting sqref="K246:K248">
    <cfRule type="cellIs" dxfId="79" priority="86" operator="between">
      <formula>1</formula>
      <formula>1000</formula>
    </cfRule>
  </conditionalFormatting>
  <conditionalFormatting sqref="L287:L288">
    <cfRule type="cellIs" dxfId="77" priority="61" operator="between">
      <formula>1</formula>
      <formula>100000</formula>
    </cfRule>
  </conditionalFormatting>
  <conditionalFormatting sqref="J238:J245">
    <cfRule type="cellIs" dxfId="76" priority="84" operator="between">
      <formula>0.01</formula>
      <formula>1</formula>
    </cfRule>
  </conditionalFormatting>
  <conditionalFormatting sqref="K238:K245">
    <cfRule type="cellIs" dxfId="75" priority="83" operator="between">
      <formula>1</formula>
      <formula>1000</formula>
    </cfRule>
  </conditionalFormatting>
  <conditionalFormatting sqref="L290:L297">
    <cfRule type="cellIs" dxfId="74" priority="58" operator="between">
      <formula>1</formula>
      <formula>100000</formula>
    </cfRule>
  </conditionalFormatting>
  <conditionalFormatting sqref="J249:J255">
    <cfRule type="cellIs" dxfId="73" priority="81" operator="between">
      <formula>0.01</formula>
      <formula>1</formula>
    </cfRule>
  </conditionalFormatting>
  <conditionalFormatting sqref="K249:K255">
    <cfRule type="cellIs" dxfId="72" priority="80" operator="between">
      <formula>1</formula>
      <formula>1000</formula>
    </cfRule>
  </conditionalFormatting>
  <conditionalFormatting sqref="L300:L307">
    <cfRule type="cellIs" dxfId="70" priority="52" operator="between">
      <formula>1</formula>
      <formula>100000</formula>
    </cfRule>
  </conditionalFormatting>
  <conditionalFormatting sqref="J263:J265">
    <cfRule type="cellIs" dxfId="69" priority="75" operator="between">
      <formula>0.01</formula>
      <formula>1</formula>
    </cfRule>
  </conditionalFormatting>
  <conditionalFormatting sqref="K263:K265">
    <cfRule type="cellIs" dxfId="68" priority="74" operator="between">
      <formula>1</formula>
      <formula>1000</formula>
    </cfRule>
  </conditionalFormatting>
  <conditionalFormatting sqref="L311:L313">
    <cfRule type="cellIs" dxfId="67" priority="49" operator="between">
      <formula>1</formula>
      <formula>100000</formula>
    </cfRule>
  </conditionalFormatting>
  <conditionalFormatting sqref="J257:J261">
    <cfRule type="cellIs" dxfId="66" priority="78" operator="between">
      <formula>0.01</formula>
      <formula>1</formula>
    </cfRule>
  </conditionalFormatting>
  <conditionalFormatting sqref="K257:K261">
    <cfRule type="cellIs" dxfId="65" priority="77" operator="between">
      <formula>1</formula>
      <formula>1000</formula>
    </cfRule>
  </conditionalFormatting>
  <conditionalFormatting sqref="L315:L322">
    <cfRule type="cellIs" dxfId="64" priority="43" operator="between">
      <formula>1</formula>
      <formula>100000</formula>
    </cfRule>
  </conditionalFormatting>
  <conditionalFormatting sqref="L325:L332">
    <cfRule type="cellIs" dxfId="61" priority="37" operator="between">
      <formula>1</formula>
      <formula>100000</formula>
    </cfRule>
  </conditionalFormatting>
  <conditionalFormatting sqref="L335:L342">
    <cfRule type="cellIs" dxfId="58" priority="31" operator="between">
      <formula>1</formula>
      <formula>100000</formula>
    </cfRule>
  </conditionalFormatting>
  <conditionalFormatting sqref="L323">
    <cfRule type="cellIs" dxfId="55" priority="46" operator="between">
      <formula>1</formula>
      <formula>100000</formula>
    </cfRule>
  </conditionalFormatting>
  <conditionalFormatting sqref="J287:J288">
    <cfRule type="cellIs" dxfId="54" priority="63" operator="between">
      <formula>0.01</formula>
      <formula>1</formula>
    </cfRule>
  </conditionalFormatting>
  <conditionalFormatting sqref="K287:K288">
    <cfRule type="cellIs" dxfId="53" priority="62" operator="between">
      <formula>1</formula>
      <formula>1000</formula>
    </cfRule>
  </conditionalFormatting>
  <conditionalFormatting sqref="J290:J297">
    <cfRule type="cellIs" dxfId="52" priority="60" operator="between">
      <formula>0.01</formula>
      <formula>1</formula>
    </cfRule>
  </conditionalFormatting>
  <conditionalFormatting sqref="K290:K297">
    <cfRule type="cellIs" dxfId="51" priority="59" operator="between">
      <formula>1</formula>
      <formula>1000</formula>
    </cfRule>
  </conditionalFormatting>
  <conditionalFormatting sqref="J300:J307">
    <cfRule type="cellIs" dxfId="50" priority="54" operator="between">
      <formula>0.01</formula>
      <formula>1</formula>
    </cfRule>
  </conditionalFormatting>
  <conditionalFormatting sqref="K300:K307">
    <cfRule type="cellIs" dxfId="49" priority="53" operator="between">
      <formula>1</formula>
      <formula>1000</formula>
    </cfRule>
  </conditionalFormatting>
  <conditionalFormatting sqref="J323">
    <cfRule type="cellIs" dxfId="48" priority="48" operator="between">
      <formula>0.01</formula>
      <formula>1</formula>
    </cfRule>
  </conditionalFormatting>
  <conditionalFormatting sqref="K323">
    <cfRule type="cellIs" dxfId="47" priority="47" operator="between">
      <formula>1</formula>
      <formula>1000</formula>
    </cfRule>
  </conditionalFormatting>
  <conditionalFormatting sqref="L308:L309">
    <cfRule type="cellIs" dxfId="46" priority="55" operator="between">
      <formula>1</formula>
      <formula>100000</formula>
    </cfRule>
  </conditionalFormatting>
  <conditionalFormatting sqref="J308:J309">
    <cfRule type="cellIs" dxfId="45" priority="57" operator="between">
      <formula>0.01</formula>
      <formula>1</formula>
    </cfRule>
  </conditionalFormatting>
  <conditionalFormatting sqref="K308:K309">
    <cfRule type="cellIs" dxfId="44" priority="56" operator="between">
      <formula>1</formula>
      <formula>1000</formula>
    </cfRule>
  </conditionalFormatting>
  <conditionalFormatting sqref="J311:J313">
    <cfRule type="cellIs" dxfId="43" priority="51" operator="between">
      <formula>0.01</formula>
      <formula>1</formula>
    </cfRule>
  </conditionalFormatting>
  <conditionalFormatting sqref="K311:K313">
    <cfRule type="cellIs" dxfId="42" priority="50" operator="between">
      <formula>1</formula>
      <formula>1000</formula>
    </cfRule>
  </conditionalFormatting>
  <conditionalFormatting sqref="J315:J322">
    <cfRule type="cellIs" dxfId="41" priority="45" operator="between">
      <formula>0.01</formula>
      <formula>1</formula>
    </cfRule>
  </conditionalFormatting>
  <conditionalFormatting sqref="K315:K322">
    <cfRule type="cellIs" dxfId="40" priority="44" operator="between">
      <formula>1</formula>
      <formula>1000</formula>
    </cfRule>
  </conditionalFormatting>
  <conditionalFormatting sqref="J325:J332">
    <cfRule type="cellIs" dxfId="39" priority="39" operator="between">
      <formula>0.01</formula>
      <formula>1</formula>
    </cfRule>
  </conditionalFormatting>
  <conditionalFormatting sqref="K325:K332">
    <cfRule type="cellIs" dxfId="38" priority="38" operator="between">
      <formula>1</formula>
      <formula>1000</formula>
    </cfRule>
  </conditionalFormatting>
  <conditionalFormatting sqref="L333:L334">
    <cfRule type="cellIs" dxfId="37" priority="40" operator="between">
      <formula>1</formula>
      <formula>100000</formula>
    </cfRule>
  </conditionalFormatting>
  <conditionalFormatting sqref="J333:J334">
    <cfRule type="cellIs" dxfId="36" priority="42" operator="between">
      <formula>0.01</formula>
      <formula>1</formula>
    </cfRule>
  </conditionalFormatting>
  <conditionalFormatting sqref="K333:K334">
    <cfRule type="cellIs" dxfId="35" priority="41" operator="between">
      <formula>1</formula>
      <formula>1000</formula>
    </cfRule>
  </conditionalFormatting>
  <conditionalFormatting sqref="J335:J342">
    <cfRule type="cellIs" dxfId="34" priority="33" operator="between">
      <formula>0.01</formula>
      <formula>1</formula>
    </cfRule>
  </conditionalFormatting>
  <conditionalFormatting sqref="K335:K342">
    <cfRule type="cellIs" dxfId="33" priority="32" operator="between">
      <formula>1</formula>
      <formula>1000</formula>
    </cfRule>
  </conditionalFormatting>
  <conditionalFormatting sqref="L343">
    <cfRule type="cellIs" dxfId="32" priority="34" operator="between">
      <formula>1</formula>
      <formula>100000</formula>
    </cfRule>
  </conditionalFormatting>
  <conditionalFormatting sqref="J343">
    <cfRule type="cellIs" dxfId="31" priority="36" operator="between">
      <formula>0.01</formula>
      <formula>1</formula>
    </cfRule>
  </conditionalFormatting>
  <conditionalFormatting sqref="K343">
    <cfRule type="cellIs" dxfId="30" priority="35" operator="between">
      <formula>1</formula>
      <formula>1000</formula>
    </cfRule>
  </conditionalFormatting>
  <conditionalFormatting sqref="J56:J58">
    <cfRule type="cellIs" dxfId="29" priority="30" operator="between">
      <formula>0.01</formula>
      <formula>1</formula>
    </cfRule>
  </conditionalFormatting>
  <conditionalFormatting sqref="K56:K58">
    <cfRule type="cellIs" dxfId="28" priority="29" operator="between">
      <formula>1</formula>
      <formula>1000</formula>
    </cfRule>
  </conditionalFormatting>
  <conditionalFormatting sqref="L56:L58">
    <cfRule type="cellIs" dxfId="27" priority="28" operator="between">
      <formula>1</formula>
      <formula>100000</formula>
    </cfRule>
  </conditionalFormatting>
  <conditionalFormatting sqref="J7:J9">
    <cfRule type="cellIs" dxfId="26" priority="27" operator="equal">
      <formula>1</formula>
    </cfRule>
  </conditionalFormatting>
  <conditionalFormatting sqref="J12">
    <cfRule type="cellIs" dxfId="25" priority="26" operator="equal">
      <formula>1</formula>
    </cfRule>
  </conditionalFormatting>
  <conditionalFormatting sqref="J14:J15">
    <cfRule type="cellIs" dxfId="24" priority="25" operator="equal">
      <formula>1</formula>
    </cfRule>
  </conditionalFormatting>
  <conditionalFormatting sqref="J17:J26">
    <cfRule type="cellIs" dxfId="23" priority="24" operator="equal">
      <formula>1</formula>
    </cfRule>
  </conditionalFormatting>
  <conditionalFormatting sqref="J28:J30">
    <cfRule type="cellIs" dxfId="22" priority="23" operator="equal">
      <formula>1</formula>
    </cfRule>
  </conditionalFormatting>
  <conditionalFormatting sqref="J143">
    <cfRule type="cellIs" dxfId="21" priority="22" operator="equal">
      <formula>1</formula>
    </cfRule>
  </conditionalFormatting>
  <conditionalFormatting sqref="J145:J146">
    <cfRule type="cellIs" dxfId="20" priority="21" operator="equal">
      <formula>1</formula>
    </cfRule>
  </conditionalFormatting>
  <conditionalFormatting sqref="J148:J157">
    <cfRule type="cellIs" dxfId="19" priority="20" operator="equal">
      <formula>1</formula>
    </cfRule>
  </conditionalFormatting>
  <conditionalFormatting sqref="J159:J168">
    <cfRule type="cellIs" dxfId="18" priority="19" operator="equal">
      <formula>1</formula>
    </cfRule>
  </conditionalFormatting>
  <conditionalFormatting sqref="J268">
    <cfRule type="cellIs" dxfId="17" priority="18" operator="equal">
      <formula>1</formula>
    </cfRule>
  </conditionalFormatting>
  <conditionalFormatting sqref="J269">
    <cfRule type="cellIs" dxfId="16" priority="17" operator="equal">
      <formula>1</formula>
    </cfRule>
  </conditionalFormatting>
  <conditionalFormatting sqref="J271">
    <cfRule type="cellIs" dxfId="15" priority="16" operator="equal">
      <formula>1</formula>
    </cfRule>
  </conditionalFormatting>
  <conditionalFormatting sqref="J272">
    <cfRule type="cellIs" dxfId="14" priority="15" operator="equal">
      <formula>1</formula>
    </cfRule>
  </conditionalFormatting>
  <conditionalFormatting sqref="J273">
    <cfRule type="cellIs" dxfId="13" priority="14" operator="equal">
      <formula>1</formula>
    </cfRule>
  </conditionalFormatting>
  <conditionalFormatting sqref="J274">
    <cfRule type="cellIs" dxfId="12" priority="13" operator="equal">
      <formula>1</formula>
    </cfRule>
  </conditionalFormatting>
  <conditionalFormatting sqref="J275">
    <cfRule type="cellIs" dxfId="11" priority="12" operator="equal">
      <formula>1</formula>
    </cfRule>
  </conditionalFormatting>
  <conditionalFormatting sqref="J276">
    <cfRule type="cellIs" dxfId="10" priority="11" operator="equal">
      <formula>1</formula>
    </cfRule>
  </conditionalFormatting>
  <conditionalFormatting sqref="J277">
    <cfRule type="cellIs" dxfId="9" priority="10" operator="equal">
      <formula>1</formula>
    </cfRule>
  </conditionalFormatting>
  <conditionalFormatting sqref="J278">
    <cfRule type="cellIs" dxfId="8" priority="9" operator="equal">
      <formula>1</formula>
    </cfRule>
  </conditionalFormatting>
  <conditionalFormatting sqref="J279">
    <cfRule type="cellIs" dxfId="7" priority="8" operator="equal">
      <formula>1</formula>
    </cfRule>
  </conditionalFormatting>
  <conditionalFormatting sqref="J280">
    <cfRule type="cellIs" dxfId="6" priority="7" operator="equal">
      <formula>1</formula>
    </cfRule>
  </conditionalFormatting>
  <conditionalFormatting sqref="J282">
    <cfRule type="cellIs" dxfId="5" priority="6" operator="equal">
      <formula>1</formula>
    </cfRule>
  </conditionalFormatting>
  <conditionalFormatting sqref="J283">
    <cfRule type="cellIs" dxfId="3" priority="4" operator="equal">
      <formula>1</formula>
    </cfRule>
  </conditionalFormatting>
  <conditionalFormatting sqref="J284">
    <cfRule type="cellIs" dxfId="2" priority="3" operator="equal">
      <formula>1</formula>
    </cfRule>
  </conditionalFormatting>
  <conditionalFormatting sqref="J285">
    <cfRule type="cellIs" dxfId="1" priority="2" operator="equal">
      <formula>1</formula>
    </cfRule>
  </conditionalFormatting>
  <conditionalFormatting sqref="J286">
    <cfRule type="cellIs" dxfId="0" priority="1" operator="equal">
      <formula>1</formula>
    </cfRule>
  </conditionalFormatting>
  <printOptions horizontalCentered="1" verticalCentered="1"/>
  <pageMargins left="0.51" right="0.35" top="0.21" bottom="0.74803149606299213" header="0.31496062992125984" footer="0.31496062992125984"/>
  <pageSetup paperSize="9" scale="46" fitToHeight="4" orientation="landscape" r:id="rId1"/>
  <rowBreaks count="4" manualBreakCount="4">
    <brk id="41" max="30" man="1"/>
    <brk id="129" max="30" man="1"/>
    <brk id="168" max="30" man="1"/>
    <brk id="236" max="3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AC0A-FD13-44EF-8451-76182FA0ABB9}">
  <sheetPr>
    <outlinePr summaryBelow="0"/>
    <pageSetUpPr fitToPage="1"/>
  </sheetPr>
  <dimension ref="A1:AI140"/>
  <sheetViews>
    <sheetView tabSelected="1" view="pageBreakPreview" topLeftCell="A119" zoomScale="70" zoomScaleNormal="85" zoomScaleSheetLayoutView="70" workbookViewId="0">
      <selection activeCell="D7" sqref="D7:I7"/>
    </sheetView>
  </sheetViews>
  <sheetFormatPr defaultColWidth="9.21875" defaultRowHeight="13.8"/>
  <cols>
    <col min="1" max="1" width="19.21875" style="16" customWidth="1"/>
    <col min="2" max="2" width="13.21875" style="16" customWidth="1"/>
    <col min="3" max="3" width="61.44140625" style="16" customWidth="1"/>
    <col min="4" max="4" width="13" style="16" customWidth="1"/>
    <col min="5" max="5" width="11.21875" style="16" customWidth="1"/>
    <col min="6" max="6" width="10.21875" style="16" customWidth="1"/>
    <col min="7" max="7" width="12.44140625" style="16" customWidth="1"/>
    <col min="8" max="9" width="17.21875" style="16" customWidth="1"/>
    <col min="10" max="10" width="24" style="16" hidden="1" customWidth="1"/>
    <col min="11" max="11" width="25.21875" style="16" hidden="1" customWidth="1"/>
    <col min="12" max="12" width="24" style="16" hidden="1" customWidth="1"/>
    <col min="13" max="13" width="14" style="16" hidden="1" customWidth="1"/>
    <col min="14" max="14" width="29.21875" style="16" hidden="1" customWidth="1"/>
    <col min="15" max="15" width="15.44140625" style="16" hidden="1" customWidth="1"/>
    <col min="16" max="16" width="12.5546875" style="16" hidden="1" customWidth="1"/>
    <col min="17" max="17" width="25.21875" style="16" hidden="1" customWidth="1"/>
    <col min="18" max="18" width="15.44140625" style="16" hidden="1" customWidth="1"/>
    <col min="19" max="19" width="21" style="16" hidden="1" customWidth="1"/>
    <col min="20" max="20" width="19.77734375" style="16" hidden="1" customWidth="1"/>
    <col min="21" max="21" width="17.44140625" style="16" hidden="1" customWidth="1"/>
    <col min="22" max="22" width="22.5546875" style="16" hidden="1" customWidth="1"/>
    <col min="23" max="23" width="25.21875" style="16" hidden="1" customWidth="1"/>
    <col min="24" max="24" width="19.21875" style="16" hidden="1" customWidth="1"/>
    <col min="25" max="16384" width="9.21875" style="16"/>
  </cols>
  <sheetData>
    <row r="1" spans="1:24" ht="109.5" customHeight="1">
      <c r="A1" s="15"/>
      <c r="B1" s="126" t="s">
        <v>251</v>
      </c>
      <c r="C1" s="126"/>
      <c r="D1" s="126"/>
      <c r="E1" s="105" t="s">
        <v>255</v>
      </c>
      <c r="F1" s="105"/>
      <c r="G1" s="105" t="s">
        <v>261</v>
      </c>
      <c r="H1" s="105"/>
      <c r="I1" s="63" t="s">
        <v>256</v>
      </c>
      <c r="J1" s="122"/>
      <c r="K1" s="122"/>
      <c r="L1" s="122"/>
      <c r="M1" s="122"/>
      <c r="N1" s="122"/>
      <c r="O1" s="122"/>
      <c r="P1" s="122"/>
      <c r="Q1" s="122"/>
      <c r="R1" s="130"/>
      <c r="S1" s="90"/>
      <c r="T1" s="90"/>
      <c r="U1" s="90"/>
      <c r="V1" s="122"/>
      <c r="W1" s="122"/>
      <c r="X1" s="130"/>
    </row>
    <row r="2" spans="1:24" ht="102" customHeight="1">
      <c r="A2" s="105" t="s">
        <v>252</v>
      </c>
      <c r="B2" s="105"/>
      <c r="C2" s="105"/>
      <c r="D2" s="105"/>
      <c r="E2" s="105" t="s">
        <v>279</v>
      </c>
      <c r="F2" s="105"/>
      <c r="G2" s="105" t="s">
        <v>282</v>
      </c>
      <c r="H2" s="105"/>
      <c r="I2" s="63" t="str">
        <f>'PLANILHA DE MEDIÇÃO'!I2</f>
        <v>VALOR MEDIDO NO PERÍODO:
R$ 101.593,33</v>
      </c>
      <c r="J2" s="122"/>
      <c r="K2" s="122"/>
      <c r="L2" s="122"/>
      <c r="M2" s="122"/>
      <c r="N2" s="122"/>
      <c r="O2" s="122"/>
      <c r="P2" s="122"/>
      <c r="Q2" s="122"/>
      <c r="R2" s="130"/>
      <c r="S2" s="90"/>
      <c r="T2" s="90"/>
      <c r="U2" s="90"/>
      <c r="V2" s="122"/>
      <c r="W2" s="122"/>
      <c r="X2" s="130"/>
    </row>
    <row r="3" spans="1:24" ht="91.5" customHeight="1">
      <c r="A3" s="105" t="s">
        <v>253</v>
      </c>
      <c r="B3" s="105"/>
      <c r="C3" s="105"/>
      <c r="D3" s="105"/>
      <c r="E3" s="105" t="s">
        <v>254</v>
      </c>
      <c r="F3" s="105"/>
      <c r="G3" s="105"/>
      <c r="H3" s="105"/>
      <c r="I3" s="105"/>
      <c r="J3" s="124" t="s">
        <v>257</v>
      </c>
      <c r="K3" s="125"/>
      <c r="L3" s="25" t="e">
        <f>#REF!</f>
        <v>#REF!</v>
      </c>
      <c r="M3" s="124" t="s">
        <v>258</v>
      </c>
      <c r="N3" s="125"/>
      <c r="O3" s="25" t="e">
        <f>#REF!</f>
        <v>#REF!</v>
      </c>
      <c r="P3" s="124" t="s">
        <v>259</v>
      </c>
      <c r="Q3" s="125"/>
      <c r="R3" s="25" t="e">
        <f>#REF!</f>
        <v>#REF!</v>
      </c>
      <c r="S3" s="25"/>
      <c r="T3" s="25"/>
      <c r="U3" s="25"/>
      <c r="V3" s="124" t="s">
        <v>260</v>
      </c>
      <c r="W3" s="125"/>
      <c r="X3" s="25" t="e">
        <f>#REF!</f>
        <v>#REF!</v>
      </c>
    </row>
    <row r="4" spans="1:24" ht="15" customHeight="1">
      <c r="A4" s="127" t="s">
        <v>281</v>
      </c>
      <c r="B4" s="128"/>
      <c r="C4" s="128"/>
      <c r="D4" s="128"/>
      <c r="E4" s="128"/>
      <c r="F4" s="128"/>
      <c r="G4" s="128"/>
      <c r="H4" s="129"/>
      <c r="I4" s="1"/>
      <c r="J4" s="128" t="s">
        <v>0</v>
      </c>
      <c r="K4" s="128"/>
      <c r="L4" s="128"/>
      <c r="M4" s="128" t="s">
        <v>0</v>
      </c>
      <c r="N4" s="128"/>
      <c r="O4" s="128"/>
      <c r="P4" s="128" t="s">
        <v>0</v>
      </c>
      <c r="Q4" s="128"/>
      <c r="R4" s="128"/>
      <c r="S4" s="89"/>
      <c r="T4" s="89"/>
      <c r="U4" s="89"/>
      <c r="V4" s="128" t="s">
        <v>0</v>
      </c>
      <c r="W4" s="128"/>
      <c r="X4" s="128"/>
    </row>
    <row r="5" spans="1:24" ht="65.25" customHeight="1">
      <c r="A5" s="4" t="s">
        <v>1</v>
      </c>
      <c r="B5" s="4" t="s">
        <v>2</v>
      </c>
      <c r="C5" s="4" t="s">
        <v>3</v>
      </c>
      <c r="D5" s="132" t="s">
        <v>278</v>
      </c>
      <c r="E5" s="132"/>
      <c r="F5" s="132"/>
      <c r="G5" s="132"/>
      <c r="H5" s="132"/>
      <c r="I5" s="132"/>
      <c r="J5" s="4" t="s">
        <v>9</v>
      </c>
      <c r="K5" s="4" t="s">
        <v>10</v>
      </c>
      <c r="L5" s="4" t="s">
        <v>11</v>
      </c>
      <c r="M5" s="4" t="s">
        <v>9</v>
      </c>
      <c r="N5" s="4" t="s">
        <v>10</v>
      </c>
      <c r="O5" s="4" t="s">
        <v>11</v>
      </c>
      <c r="P5" s="4" t="s">
        <v>9</v>
      </c>
      <c r="Q5" s="4" t="s">
        <v>10</v>
      </c>
      <c r="R5" s="4" t="s">
        <v>11</v>
      </c>
      <c r="S5" s="4" t="s">
        <v>9</v>
      </c>
      <c r="T5" s="4" t="s">
        <v>10</v>
      </c>
      <c r="U5" s="4" t="s">
        <v>11</v>
      </c>
      <c r="V5" s="4" t="s">
        <v>9</v>
      </c>
      <c r="W5" s="4" t="s">
        <v>10</v>
      </c>
      <c r="X5" s="4" t="s">
        <v>11</v>
      </c>
    </row>
    <row r="6" spans="1:24" ht="20.100000000000001" customHeight="1">
      <c r="A6" s="93">
        <v>1</v>
      </c>
      <c r="B6" s="133" t="s">
        <v>12</v>
      </c>
      <c r="C6" s="133"/>
      <c r="D6" s="133"/>
      <c r="E6" s="133"/>
      <c r="F6" s="133"/>
      <c r="G6" s="133"/>
      <c r="H6" s="133"/>
      <c r="I6" s="133"/>
      <c r="J6" s="121" t="s">
        <v>13</v>
      </c>
      <c r="K6" s="121"/>
      <c r="L6" s="121"/>
      <c r="M6" s="121" t="s">
        <v>37</v>
      </c>
      <c r="N6" s="121"/>
      <c r="O6" s="121"/>
      <c r="P6" s="121" t="s">
        <v>38</v>
      </c>
      <c r="Q6" s="121"/>
      <c r="R6" s="121"/>
      <c r="S6" s="121" t="s">
        <v>39</v>
      </c>
      <c r="T6" s="121"/>
      <c r="U6" s="121"/>
      <c r="V6" s="121" t="s">
        <v>40</v>
      </c>
      <c r="W6" s="121"/>
      <c r="X6" s="121"/>
    </row>
    <row r="7" spans="1:24" s="82" customFormat="1" ht="31.5" customHeight="1">
      <c r="A7" s="94" t="s">
        <v>14</v>
      </c>
      <c r="B7" s="28">
        <v>51</v>
      </c>
      <c r="C7" s="94" t="s">
        <v>59</v>
      </c>
      <c r="D7" s="134"/>
      <c r="E7" s="134"/>
      <c r="F7" s="134"/>
      <c r="G7" s="134"/>
      <c r="H7" s="134"/>
      <c r="I7" s="134"/>
      <c r="J7" s="78">
        <v>1</v>
      </c>
      <c r="K7" s="79">
        <f>TRUNC(J7*F7,2)</f>
        <v>0</v>
      </c>
      <c r="L7" s="80">
        <f>TRUNC(K7*G7)+0.46</f>
        <v>0.46</v>
      </c>
      <c r="M7" s="78">
        <v>0</v>
      </c>
      <c r="N7" s="79">
        <f t="shared" ref="N7" si="0">TRUNC(M7*F7,2)</f>
        <v>0</v>
      </c>
      <c r="O7" s="80">
        <f>TRUNC(N7*G7)+0</f>
        <v>0</v>
      </c>
      <c r="P7" s="81">
        <v>0</v>
      </c>
      <c r="Q7" s="79">
        <f>TRUNC(P7*F7,2)</f>
        <v>0</v>
      </c>
      <c r="R7" s="80">
        <f>TRUNC(Q7*G7)</f>
        <v>0</v>
      </c>
      <c r="S7" s="80"/>
      <c r="T7" s="80"/>
      <c r="U7" s="80">
        <f>TRUNC(G7*T7)+0</f>
        <v>0</v>
      </c>
      <c r="V7" s="78">
        <v>0</v>
      </c>
      <c r="W7" s="79">
        <f>TRUNC(V7*F7,2)</f>
        <v>0</v>
      </c>
      <c r="X7" s="80">
        <f>TRUNC(W7*G7)+0</f>
        <v>0</v>
      </c>
    </row>
    <row r="8" spans="1:24" ht="26.4">
      <c r="A8" s="31" t="s">
        <v>15</v>
      </c>
      <c r="B8" s="28">
        <v>98524</v>
      </c>
      <c r="C8" s="31" t="s">
        <v>60</v>
      </c>
      <c r="D8" s="134"/>
      <c r="E8" s="134"/>
      <c r="F8" s="134"/>
      <c r="G8" s="134"/>
      <c r="H8" s="134"/>
      <c r="I8" s="134"/>
      <c r="J8" s="11">
        <v>1</v>
      </c>
      <c r="K8" s="12">
        <f>TRUNC(J8*F8,2)</f>
        <v>0</v>
      </c>
      <c r="L8" s="13">
        <f>TRUNC(K8*G8)+0.41</f>
        <v>0.41</v>
      </c>
      <c r="M8" s="11"/>
      <c r="N8" s="12"/>
      <c r="O8" s="13"/>
      <c r="P8" s="11"/>
      <c r="Q8" s="12"/>
      <c r="R8" s="13"/>
      <c r="S8" s="13"/>
      <c r="T8" s="13"/>
      <c r="U8" s="80">
        <f>TRUNC(G8*T8)+0</f>
        <v>0</v>
      </c>
      <c r="V8" s="11"/>
      <c r="W8" s="79">
        <f>TRUNC(V8*F8,2)</f>
        <v>0</v>
      </c>
      <c r="X8" s="80">
        <f>TRUNC(W8*G8)+0</f>
        <v>0</v>
      </c>
    </row>
    <row r="9" spans="1:24" ht="20.100000000000001" customHeight="1">
      <c r="A9" s="93">
        <v>2</v>
      </c>
      <c r="B9" s="133" t="s">
        <v>41</v>
      </c>
      <c r="C9" s="133"/>
      <c r="D9" s="133"/>
      <c r="E9" s="133"/>
      <c r="F9" s="133"/>
      <c r="G9" s="133"/>
      <c r="H9" s="133"/>
      <c r="I9" s="133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39.6">
      <c r="A10" s="31" t="s">
        <v>16</v>
      </c>
      <c r="B10" s="35">
        <v>99059</v>
      </c>
      <c r="C10" s="36" t="s">
        <v>62</v>
      </c>
      <c r="D10" s="131"/>
      <c r="E10" s="131"/>
      <c r="F10" s="131"/>
      <c r="G10" s="131"/>
      <c r="H10" s="131"/>
      <c r="I10" s="131"/>
      <c r="J10" s="11">
        <v>1</v>
      </c>
      <c r="K10" s="12">
        <f>TRUNC(J10*F10,2)</f>
        <v>0</v>
      </c>
      <c r="L10" s="13">
        <f>TRUNC(K10*G10)+0.12</f>
        <v>0.12</v>
      </c>
      <c r="M10" s="11"/>
      <c r="N10" s="12"/>
      <c r="O10" s="13"/>
      <c r="P10" s="11"/>
      <c r="Q10" s="12"/>
      <c r="R10" s="13"/>
      <c r="S10" s="13"/>
      <c r="T10" s="13"/>
      <c r="U10" s="80">
        <f t="shared" ref="U10:U73" si="1">TRUNC(G10*T10)+0</f>
        <v>0</v>
      </c>
      <c r="V10" s="11"/>
      <c r="W10" s="79">
        <f t="shared" ref="W10:W12" si="2">TRUNC(V10*F10,2)</f>
        <v>0</v>
      </c>
      <c r="X10" s="80">
        <f t="shared" ref="X10:X12" si="3">TRUNC(W10*G10)+0</f>
        <v>0</v>
      </c>
    </row>
    <row r="11" spans="1:24" ht="38.25" customHeight="1">
      <c r="A11" s="94" t="s">
        <v>17</v>
      </c>
      <c r="B11" s="35">
        <v>93358</v>
      </c>
      <c r="C11" s="36" t="s">
        <v>64</v>
      </c>
      <c r="D11" s="131"/>
      <c r="E11" s="131"/>
      <c r="F11" s="131"/>
      <c r="G11" s="131"/>
      <c r="H11" s="131"/>
      <c r="I11" s="131"/>
      <c r="J11" s="11">
        <v>1</v>
      </c>
      <c r="K11" s="12">
        <f>TRUNC(J11*F11,2)</f>
        <v>0</v>
      </c>
      <c r="L11" s="13">
        <f>TRUNC(K11*G11)+0</f>
        <v>0</v>
      </c>
      <c r="M11" s="11"/>
      <c r="N11" s="12"/>
      <c r="O11" s="13"/>
      <c r="P11" s="11"/>
      <c r="Q11" s="12"/>
      <c r="R11" s="13"/>
      <c r="S11" s="13"/>
      <c r="T11" s="13"/>
      <c r="U11" s="80">
        <f t="shared" si="1"/>
        <v>0</v>
      </c>
      <c r="V11" s="11"/>
      <c r="W11" s="79">
        <f t="shared" si="2"/>
        <v>0</v>
      </c>
      <c r="X11" s="80">
        <f t="shared" si="3"/>
        <v>0</v>
      </c>
    </row>
    <row r="12" spans="1:24" ht="26.4">
      <c r="A12" s="94" t="s">
        <v>18</v>
      </c>
      <c r="B12" s="35">
        <v>94319</v>
      </c>
      <c r="C12" s="36" t="s">
        <v>65</v>
      </c>
      <c r="D12" s="131"/>
      <c r="E12" s="131"/>
      <c r="F12" s="131"/>
      <c r="G12" s="131"/>
      <c r="H12" s="131"/>
      <c r="I12" s="131"/>
      <c r="J12" s="11">
        <v>1</v>
      </c>
      <c r="K12" s="12">
        <f>TRUNC(J12*F12,2)</f>
        <v>0</v>
      </c>
      <c r="L12" s="13">
        <f>TRUNC(K12*G12)+0.2</f>
        <v>0.2</v>
      </c>
      <c r="M12" s="11"/>
      <c r="N12" s="12"/>
      <c r="O12" s="13"/>
      <c r="P12" s="11"/>
      <c r="Q12" s="12"/>
      <c r="R12" s="13"/>
      <c r="S12" s="13"/>
      <c r="T12" s="13"/>
      <c r="U12" s="80">
        <f t="shared" si="1"/>
        <v>0</v>
      </c>
      <c r="V12" s="11"/>
      <c r="W12" s="79">
        <f t="shared" si="2"/>
        <v>0</v>
      </c>
      <c r="X12" s="80">
        <f t="shared" si="3"/>
        <v>0</v>
      </c>
    </row>
    <row r="13" spans="1:24" ht="20.100000000000001" customHeight="1">
      <c r="A13" s="93">
        <v>3</v>
      </c>
      <c r="B13" s="133" t="s">
        <v>66</v>
      </c>
      <c r="C13" s="133"/>
      <c r="D13" s="133"/>
      <c r="E13" s="133"/>
      <c r="F13" s="133"/>
      <c r="G13" s="133"/>
      <c r="H13" s="133"/>
      <c r="I13" s="133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ht="20.100000000000001" customHeight="1">
      <c r="A14" s="93" t="s">
        <v>19</v>
      </c>
      <c r="B14" s="133" t="s">
        <v>67</v>
      </c>
      <c r="C14" s="133"/>
      <c r="D14" s="133"/>
      <c r="E14" s="133"/>
      <c r="F14" s="133"/>
      <c r="G14" s="133"/>
      <c r="H14" s="133"/>
      <c r="I14" s="133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20.100000000000001" customHeight="1">
      <c r="A15" s="93" t="s">
        <v>69</v>
      </c>
      <c r="B15" s="133" t="s">
        <v>68</v>
      </c>
      <c r="C15" s="133"/>
      <c r="D15" s="133"/>
      <c r="E15" s="133"/>
      <c r="F15" s="133"/>
      <c r="G15" s="133"/>
      <c r="H15" s="133"/>
      <c r="I15" s="133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ht="39.6">
      <c r="A16" s="94" t="s">
        <v>70</v>
      </c>
      <c r="B16" s="35">
        <v>102486</v>
      </c>
      <c r="C16" s="36" t="s">
        <v>71</v>
      </c>
      <c r="D16" s="131"/>
      <c r="E16" s="131"/>
      <c r="F16" s="131"/>
      <c r="G16" s="131"/>
      <c r="H16" s="131"/>
      <c r="I16" s="131"/>
      <c r="J16" s="11">
        <v>0.8</v>
      </c>
      <c r="K16" s="12">
        <f t="shared" ref="K16:K21" si="4">TRUNC(J16*F16,2)</f>
        <v>0</v>
      </c>
      <c r="L16" s="13">
        <f>TRUNC(K16*G16)+0.1</f>
        <v>0.1</v>
      </c>
      <c r="M16" s="11">
        <v>0.2</v>
      </c>
      <c r="N16" s="12">
        <f>TRUNC(M16*F16,2)+0.01</f>
        <v>0.01</v>
      </c>
      <c r="O16" s="13">
        <f>TRUNC(N16*G16)+1.78</f>
        <v>1.78</v>
      </c>
      <c r="P16" s="11"/>
      <c r="Q16" s="12"/>
      <c r="R16" s="13"/>
      <c r="S16" s="13"/>
      <c r="T16" s="13"/>
      <c r="U16" s="80">
        <f t="shared" si="1"/>
        <v>0</v>
      </c>
      <c r="V16" s="11"/>
      <c r="W16" s="79">
        <f t="shared" ref="W16:W21" si="5">TRUNC(V16*F16,2)</f>
        <v>0</v>
      </c>
      <c r="X16" s="80">
        <f t="shared" ref="X16:X21" si="6">TRUNC(W16*G16)+0</f>
        <v>0</v>
      </c>
    </row>
    <row r="17" spans="1:24" ht="39.6">
      <c r="A17" s="94" t="s">
        <v>78</v>
      </c>
      <c r="B17" s="35">
        <v>94965</v>
      </c>
      <c r="C17" s="36" t="s">
        <v>72</v>
      </c>
      <c r="D17" s="131"/>
      <c r="E17" s="131"/>
      <c r="F17" s="131"/>
      <c r="G17" s="131"/>
      <c r="H17" s="131"/>
      <c r="I17" s="131"/>
      <c r="J17" s="11">
        <v>0.8</v>
      </c>
      <c r="K17" s="12">
        <f t="shared" si="4"/>
        <v>0</v>
      </c>
      <c r="L17" s="13">
        <f>TRUNC(K17*G17)+0.05</f>
        <v>0.05</v>
      </c>
      <c r="M17" s="11">
        <v>0.2</v>
      </c>
      <c r="N17" s="12">
        <f t="shared" ref="N17:N21" si="7">TRUNC(M17*F17,2)</f>
        <v>0</v>
      </c>
      <c r="O17" s="13">
        <f>TRUNC(N17*G17)+0.52</f>
        <v>0.52</v>
      </c>
      <c r="P17" s="11"/>
      <c r="Q17" s="12"/>
      <c r="R17" s="13"/>
      <c r="S17" s="13"/>
      <c r="T17" s="13"/>
      <c r="U17" s="80">
        <f t="shared" si="1"/>
        <v>0</v>
      </c>
      <c r="V17" s="11"/>
      <c r="W17" s="79">
        <f t="shared" si="5"/>
        <v>0</v>
      </c>
      <c r="X17" s="80">
        <f t="shared" si="6"/>
        <v>0</v>
      </c>
    </row>
    <row r="18" spans="1:24" ht="26.4">
      <c r="A18" s="94" t="s">
        <v>79</v>
      </c>
      <c r="B18" s="35">
        <v>96544</v>
      </c>
      <c r="C18" s="36" t="s">
        <v>73</v>
      </c>
      <c r="D18" s="131"/>
      <c r="E18" s="131"/>
      <c r="F18" s="131"/>
      <c r="G18" s="131"/>
      <c r="H18" s="131"/>
      <c r="I18" s="131"/>
      <c r="J18" s="11">
        <v>0.8</v>
      </c>
      <c r="K18" s="12">
        <f t="shared" si="4"/>
        <v>0</v>
      </c>
      <c r="L18" s="13">
        <f>TRUNC(K18*G18)+0.34</f>
        <v>0.34</v>
      </c>
      <c r="M18" s="11">
        <v>0.2</v>
      </c>
      <c r="N18" s="12">
        <f t="shared" si="7"/>
        <v>0</v>
      </c>
      <c r="O18" s="13">
        <f>TRUNC(N18*G18)+0.09</f>
        <v>0.09</v>
      </c>
      <c r="P18" s="11"/>
      <c r="Q18" s="12"/>
      <c r="R18" s="13"/>
      <c r="S18" s="13"/>
      <c r="T18" s="13"/>
      <c r="U18" s="80">
        <f t="shared" si="1"/>
        <v>0</v>
      </c>
      <c r="V18" s="11"/>
      <c r="W18" s="79">
        <f t="shared" si="5"/>
        <v>0</v>
      </c>
      <c r="X18" s="80">
        <f t="shared" si="6"/>
        <v>0</v>
      </c>
    </row>
    <row r="19" spans="1:24" ht="26.4">
      <c r="A19" s="94" t="s">
        <v>80</v>
      </c>
      <c r="B19" s="32">
        <v>98545</v>
      </c>
      <c r="C19" s="36" t="s">
        <v>75</v>
      </c>
      <c r="D19" s="131"/>
      <c r="E19" s="131"/>
      <c r="F19" s="131"/>
      <c r="G19" s="131"/>
      <c r="H19" s="131"/>
      <c r="I19" s="131"/>
      <c r="J19" s="11">
        <v>0.8</v>
      </c>
      <c r="K19" s="71">
        <f t="shared" si="4"/>
        <v>0</v>
      </c>
      <c r="L19" s="13">
        <f>TRUNC(K19*G19)+0.3</f>
        <v>0.3</v>
      </c>
      <c r="M19" s="11">
        <v>0.2</v>
      </c>
      <c r="N19" s="12">
        <f t="shared" si="7"/>
        <v>0</v>
      </c>
      <c r="O19" s="13">
        <f>TRUNC(N19*G19)+0.32</f>
        <v>0.32</v>
      </c>
      <c r="P19" s="11"/>
      <c r="Q19" s="12"/>
      <c r="R19" s="13"/>
      <c r="S19" s="13"/>
      <c r="T19" s="13"/>
      <c r="U19" s="80">
        <f t="shared" si="1"/>
        <v>0</v>
      </c>
      <c r="V19" s="11"/>
      <c r="W19" s="79">
        <f t="shared" si="5"/>
        <v>0</v>
      </c>
      <c r="X19" s="80">
        <f t="shared" si="6"/>
        <v>0</v>
      </c>
    </row>
    <row r="20" spans="1:24" ht="26.4">
      <c r="A20" s="94" t="s">
        <v>81</v>
      </c>
      <c r="B20" s="32">
        <v>96543</v>
      </c>
      <c r="C20" s="36" t="s">
        <v>76</v>
      </c>
      <c r="D20" s="131"/>
      <c r="E20" s="131"/>
      <c r="F20" s="131"/>
      <c r="G20" s="131"/>
      <c r="H20" s="131"/>
      <c r="I20" s="131"/>
      <c r="J20" s="11">
        <v>0.8</v>
      </c>
      <c r="K20" s="12">
        <f t="shared" si="4"/>
        <v>0</v>
      </c>
      <c r="L20" s="13">
        <f>TRUNC(K20*G20)+0.94</f>
        <v>0.94</v>
      </c>
      <c r="M20" s="11">
        <v>0.2</v>
      </c>
      <c r="N20" s="12">
        <f t="shared" si="7"/>
        <v>0</v>
      </c>
      <c r="O20" s="13">
        <f>TRUNC(N20*G20)+0.73</f>
        <v>0.73</v>
      </c>
      <c r="P20" s="11"/>
      <c r="Q20" s="12"/>
      <c r="R20" s="13"/>
      <c r="S20" s="13"/>
      <c r="T20" s="13"/>
      <c r="U20" s="80">
        <f t="shared" si="1"/>
        <v>0</v>
      </c>
      <c r="V20" s="11"/>
      <c r="W20" s="79">
        <f t="shared" si="5"/>
        <v>0</v>
      </c>
      <c r="X20" s="80">
        <f t="shared" si="6"/>
        <v>0</v>
      </c>
    </row>
    <row r="21" spans="1:24" ht="26.4">
      <c r="A21" s="94" t="s">
        <v>82</v>
      </c>
      <c r="B21" s="35">
        <v>98557</v>
      </c>
      <c r="C21" s="36" t="s">
        <v>77</v>
      </c>
      <c r="D21" s="131"/>
      <c r="E21" s="131"/>
      <c r="F21" s="131"/>
      <c r="G21" s="131"/>
      <c r="H21" s="131"/>
      <c r="I21" s="131"/>
      <c r="J21" s="11">
        <v>0.2</v>
      </c>
      <c r="K21" s="12">
        <f t="shared" si="4"/>
        <v>0</v>
      </c>
      <c r="L21" s="13">
        <f>TRUNC(K21*G21)+0.23</f>
        <v>0.23</v>
      </c>
      <c r="M21" s="11">
        <v>0.8</v>
      </c>
      <c r="N21" s="12">
        <f t="shared" si="7"/>
        <v>0</v>
      </c>
      <c r="O21" s="13">
        <f>TRUNC(N21*G21)+0.31</f>
        <v>0.31</v>
      </c>
      <c r="P21" s="11"/>
      <c r="Q21" s="12"/>
      <c r="R21" s="13"/>
      <c r="S21" s="13"/>
      <c r="T21" s="13"/>
      <c r="U21" s="80">
        <f t="shared" si="1"/>
        <v>0</v>
      </c>
      <c r="V21" s="11"/>
      <c r="W21" s="79">
        <f t="shared" si="5"/>
        <v>0</v>
      </c>
      <c r="X21" s="80">
        <f t="shared" si="6"/>
        <v>0</v>
      </c>
    </row>
    <row r="22" spans="1:24" ht="20.100000000000001" customHeight="1">
      <c r="A22" s="93" t="s">
        <v>20</v>
      </c>
      <c r="B22" s="133" t="s">
        <v>84</v>
      </c>
      <c r="C22" s="133"/>
      <c r="D22" s="133"/>
      <c r="E22" s="133"/>
      <c r="F22" s="133"/>
      <c r="G22" s="133"/>
      <c r="H22" s="133"/>
      <c r="I22" s="133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ht="20.100000000000001" customHeight="1">
      <c r="A23" s="93" t="s">
        <v>83</v>
      </c>
      <c r="B23" s="133" t="s">
        <v>45</v>
      </c>
      <c r="C23" s="133"/>
      <c r="D23" s="133"/>
      <c r="E23" s="133"/>
      <c r="F23" s="133"/>
      <c r="G23" s="133"/>
      <c r="H23" s="133"/>
      <c r="I23" s="133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ht="39.6">
      <c r="A24" s="31" t="s">
        <v>85</v>
      </c>
      <c r="B24" s="42">
        <v>102476</v>
      </c>
      <c r="C24" s="36" t="s">
        <v>91</v>
      </c>
      <c r="D24" s="136"/>
      <c r="E24" s="136"/>
      <c r="F24" s="136"/>
      <c r="G24" s="136"/>
      <c r="H24" s="136"/>
      <c r="I24" s="136"/>
      <c r="J24" s="11">
        <v>0.5</v>
      </c>
      <c r="K24" s="12">
        <f t="shared" ref="K24:K29" si="8">TRUNC(J24*F24,2)</f>
        <v>0</v>
      </c>
      <c r="L24" s="13">
        <f>TRUNC(K24*G24)+0.73</f>
        <v>0.73</v>
      </c>
      <c r="M24" s="11">
        <v>0.4</v>
      </c>
      <c r="N24" s="12">
        <f t="shared" ref="N24:N25" si="9">TRUNC(M24*F24,2)</f>
        <v>0</v>
      </c>
      <c r="O24" s="13">
        <f>TRUNC(N24*G24)+0.78</f>
        <v>0.78</v>
      </c>
      <c r="P24" s="11">
        <v>0.1</v>
      </c>
      <c r="Q24" s="12">
        <f>TRUNC(P24*F24,2)</f>
        <v>0</v>
      </c>
      <c r="R24" s="13">
        <f>TRUNC(Q24*G24)</f>
        <v>0</v>
      </c>
      <c r="S24" s="13"/>
      <c r="T24" s="13"/>
      <c r="U24" s="80">
        <f t="shared" si="1"/>
        <v>0</v>
      </c>
      <c r="V24" s="11"/>
      <c r="W24" s="79">
        <f t="shared" ref="W24:W29" si="10">TRUNC(V24*F24,2)</f>
        <v>0</v>
      </c>
      <c r="X24" s="80">
        <f t="shared" ref="X24:X28" si="11">TRUNC(W24*G24)+0</f>
        <v>0</v>
      </c>
    </row>
    <row r="25" spans="1:24" ht="26.4">
      <c r="A25" s="31" t="s">
        <v>86</v>
      </c>
      <c r="B25" s="42">
        <v>96546</v>
      </c>
      <c r="C25" s="36" t="s">
        <v>92</v>
      </c>
      <c r="D25" s="136"/>
      <c r="E25" s="136"/>
      <c r="F25" s="136"/>
      <c r="G25" s="136"/>
      <c r="H25" s="136"/>
      <c r="I25" s="136"/>
      <c r="J25" s="11">
        <v>0.5</v>
      </c>
      <c r="K25" s="12">
        <f t="shared" si="8"/>
        <v>0</v>
      </c>
      <c r="L25" s="13">
        <f>TRUNC(K25*G25)+0.34</f>
        <v>0.34</v>
      </c>
      <c r="M25" s="11">
        <v>0.4</v>
      </c>
      <c r="N25" s="12">
        <f t="shared" si="9"/>
        <v>0</v>
      </c>
      <c r="O25" s="13">
        <f>TRUNC(N25*G25)+0.47</f>
        <v>0.47</v>
      </c>
      <c r="P25" s="11">
        <v>0.1</v>
      </c>
      <c r="Q25" s="12">
        <f t="shared" ref="Q25:Q29" si="12">TRUNC(P25*F25,2)</f>
        <v>0</v>
      </c>
      <c r="R25" s="13">
        <f t="shared" ref="R25:R29" si="13">TRUNC(Q25*G25)</f>
        <v>0</v>
      </c>
      <c r="S25" s="13"/>
      <c r="T25" s="13"/>
      <c r="U25" s="80">
        <f t="shared" si="1"/>
        <v>0</v>
      </c>
      <c r="V25" s="11"/>
      <c r="W25" s="79">
        <f t="shared" si="10"/>
        <v>0</v>
      </c>
      <c r="X25" s="80">
        <f t="shared" si="11"/>
        <v>0</v>
      </c>
    </row>
    <row r="26" spans="1:24" ht="26.4">
      <c r="A26" s="31" t="s">
        <v>87</v>
      </c>
      <c r="B26" s="42">
        <v>98543</v>
      </c>
      <c r="C26" s="36" t="s">
        <v>93</v>
      </c>
      <c r="D26" s="136"/>
      <c r="E26" s="136"/>
      <c r="F26" s="136"/>
      <c r="G26" s="136"/>
      <c r="H26" s="136"/>
      <c r="I26" s="136"/>
      <c r="J26" s="11">
        <v>1</v>
      </c>
      <c r="K26" s="12">
        <f t="shared" si="8"/>
        <v>0</v>
      </c>
      <c r="L26" s="13">
        <f>TRUNC(K26*G26)+0.95</f>
        <v>0.95</v>
      </c>
      <c r="M26" s="11"/>
      <c r="N26" s="12"/>
      <c r="O26" s="13"/>
      <c r="P26" s="11"/>
      <c r="Q26" s="12">
        <f t="shared" si="12"/>
        <v>0</v>
      </c>
      <c r="R26" s="13">
        <f t="shared" si="13"/>
        <v>0</v>
      </c>
      <c r="S26" s="13"/>
      <c r="T26" s="13"/>
      <c r="U26" s="80">
        <f t="shared" si="1"/>
        <v>0</v>
      </c>
      <c r="V26" s="11"/>
      <c r="W26" s="79">
        <f t="shared" si="10"/>
        <v>0</v>
      </c>
      <c r="X26" s="80">
        <f t="shared" si="11"/>
        <v>0</v>
      </c>
    </row>
    <row r="27" spans="1:24" ht="26.4">
      <c r="A27" s="31" t="s">
        <v>88</v>
      </c>
      <c r="B27" s="42">
        <v>96545</v>
      </c>
      <c r="C27" s="36" t="s">
        <v>94</v>
      </c>
      <c r="D27" s="136"/>
      <c r="E27" s="136"/>
      <c r="F27" s="136"/>
      <c r="G27" s="136"/>
      <c r="H27" s="136"/>
      <c r="I27" s="136"/>
      <c r="J27" s="11">
        <v>1</v>
      </c>
      <c r="K27" s="12">
        <f t="shared" si="8"/>
        <v>0</v>
      </c>
      <c r="L27" s="13">
        <f>TRUNC(K27*G27)+0.34</f>
        <v>0.34</v>
      </c>
      <c r="M27" s="11"/>
      <c r="N27" s="12"/>
      <c r="O27" s="13"/>
      <c r="P27" s="11"/>
      <c r="Q27" s="12">
        <f t="shared" si="12"/>
        <v>0</v>
      </c>
      <c r="R27" s="13">
        <f t="shared" si="13"/>
        <v>0</v>
      </c>
      <c r="S27" s="13"/>
      <c r="T27" s="13"/>
      <c r="U27" s="80">
        <f t="shared" si="1"/>
        <v>0</v>
      </c>
      <c r="V27" s="11"/>
      <c r="W27" s="79">
        <f t="shared" si="10"/>
        <v>0</v>
      </c>
      <c r="X27" s="80">
        <f t="shared" si="11"/>
        <v>0</v>
      </c>
    </row>
    <row r="28" spans="1:24" ht="26.4">
      <c r="A28" s="31" t="s">
        <v>89</v>
      </c>
      <c r="B28" s="42">
        <v>96547</v>
      </c>
      <c r="C28" s="36" t="s">
        <v>95</v>
      </c>
      <c r="D28" s="136"/>
      <c r="E28" s="136"/>
      <c r="F28" s="136"/>
      <c r="G28" s="136"/>
      <c r="H28" s="136"/>
      <c r="I28" s="136"/>
      <c r="J28" s="11">
        <v>1</v>
      </c>
      <c r="K28" s="12">
        <f t="shared" si="8"/>
        <v>0</v>
      </c>
      <c r="L28" s="13">
        <f>TRUNC(K28*G28)+0.25</f>
        <v>0.25</v>
      </c>
      <c r="M28" s="11"/>
      <c r="N28" s="12"/>
      <c r="O28" s="13"/>
      <c r="P28" s="11"/>
      <c r="Q28" s="12">
        <f t="shared" si="12"/>
        <v>0</v>
      </c>
      <c r="R28" s="13">
        <f t="shared" si="13"/>
        <v>0</v>
      </c>
      <c r="S28" s="13"/>
      <c r="T28" s="13"/>
      <c r="U28" s="80">
        <f t="shared" si="1"/>
        <v>0</v>
      </c>
      <c r="V28" s="11"/>
      <c r="W28" s="79">
        <f t="shared" si="10"/>
        <v>0</v>
      </c>
      <c r="X28" s="80">
        <f t="shared" si="11"/>
        <v>0</v>
      </c>
    </row>
    <row r="29" spans="1:24" ht="39.6">
      <c r="A29" s="31" t="s">
        <v>90</v>
      </c>
      <c r="B29" s="42">
        <v>103795</v>
      </c>
      <c r="C29" s="36" t="s">
        <v>96</v>
      </c>
      <c r="D29" s="136"/>
      <c r="E29" s="136"/>
      <c r="F29" s="136"/>
      <c r="G29" s="136"/>
      <c r="H29" s="136"/>
      <c r="I29" s="136"/>
      <c r="J29" s="11">
        <v>0.5</v>
      </c>
      <c r="K29" s="12">
        <f t="shared" si="8"/>
        <v>0</v>
      </c>
      <c r="L29" s="13">
        <f>TRUNC(K29*G29)+1.32</f>
        <v>1.32</v>
      </c>
      <c r="M29" s="11">
        <v>0.5</v>
      </c>
      <c r="N29" s="12">
        <f t="shared" ref="N29" si="14">TRUNC(M29*F29,2)</f>
        <v>0</v>
      </c>
      <c r="O29" s="13">
        <f>TRUNC(N29*G29)+1.32</f>
        <v>1.32</v>
      </c>
      <c r="P29" s="11">
        <v>0.1</v>
      </c>
      <c r="Q29" s="12">
        <f t="shared" si="12"/>
        <v>0</v>
      </c>
      <c r="R29" s="13">
        <f t="shared" si="13"/>
        <v>0</v>
      </c>
      <c r="S29" s="13"/>
      <c r="T29" s="13">
        <v>-22.76</v>
      </c>
      <c r="U29" s="80">
        <f t="shared" si="1"/>
        <v>0</v>
      </c>
      <c r="V29" s="86">
        <v>-0.1</v>
      </c>
      <c r="W29" s="87">
        <f t="shared" si="10"/>
        <v>0</v>
      </c>
      <c r="X29" s="88"/>
    </row>
    <row r="30" spans="1:24" ht="20.100000000000001" customHeight="1">
      <c r="A30" s="93" t="s">
        <v>97</v>
      </c>
      <c r="B30" s="133" t="s">
        <v>46</v>
      </c>
      <c r="C30" s="133"/>
      <c r="D30" s="133"/>
      <c r="E30" s="133"/>
      <c r="F30" s="133"/>
      <c r="G30" s="133"/>
      <c r="H30" s="133"/>
      <c r="I30" s="133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ht="39.6">
      <c r="A31" s="31" t="s">
        <v>98</v>
      </c>
      <c r="B31" s="35">
        <v>102476</v>
      </c>
      <c r="C31" s="36" t="s">
        <v>105</v>
      </c>
      <c r="D31" s="131"/>
      <c r="E31" s="131"/>
      <c r="F31" s="131"/>
      <c r="G31" s="131"/>
      <c r="H31" s="131"/>
      <c r="I31" s="131"/>
      <c r="J31" s="11"/>
      <c r="K31" s="12"/>
      <c r="L31" s="13"/>
      <c r="M31" s="11">
        <v>0.4</v>
      </c>
      <c r="N31" s="12">
        <f t="shared" ref="N31:N37" si="15">TRUNC(M31*F31,2)</f>
        <v>0</v>
      </c>
      <c r="O31" s="13">
        <f>TRUNC(N31*G31)+3.13</f>
        <v>3.13</v>
      </c>
      <c r="P31" s="11">
        <v>0.6</v>
      </c>
      <c r="Q31" s="12">
        <f>TRUNC(P31*F31,2)</f>
        <v>0</v>
      </c>
      <c r="R31" s="13">
        <f>TRUNC(Q31*G31)</f>
        <v>0</v>
      </c>
      <c r="S31" s="13"/>
      <c r="T31" s="13"/>
      <c r="U31" s="80">
        <f t="shared" si="1"/>
        <v>0</v>
      </c>
      <c r="V31" s="11"/>
      <c r="W31" s="79">
        <f t="shared" ref="W31:W37" si="16">TRUNC(V31*F31,2)</f>
        <v>0</v>
      </c>
      <c r="X31" s="80">
        <f t="shared" ref="X31:X37" si="17">TRUNC(W31*G31)+0</f>
        <v>0</v>
      </c>
    </row>
    <row r="32" spans="1:24" ht="39.6">
      <c r="A32" s="31" t="s">
        <v>99</v>
      </c>
      <c r="B32" s="35">
        <v>92760</v>
      </c>
      <c r="C32" s="36" t="s">
        <v>106</v>
      </c>
      <c r="D32" s="131"/>
      <c r="E32" s="131"/>
      <c r="F32" s="131"/>
      <c r="G32" s="131"/>
      <c r="H32" s="131"/>
      <c r="I32" s="131"/>
      <c r="J32" s="11"/>
      <c r="K32" s="12"/>
      <c r="L32" s="13"/>
      <c r="M32" s="11">
        <v>0.8</v>
      </c>
      <c r="N32" s="12">
        <f t="shared" si="15"/>
        <v>0</v>
      </c>
      <c r="O32" s="13">
        <f>TRUNC(N32*G32)+0.82</f>
        <v>0.82</v>
      </c>
      <c r="P32" s="11">
        <v>0.2</v>
      </c>
      <c r="Q32" s="12">
        <f t="shared" ref="Q32:Q36" si="18">TRUNC(P32*F32,2)</f>
        <v>0</v>
      </c>
      <c r="R32" s="13">
        <f t="shared" ref="R32:R36" si="19">TRUNC(Q32*G32)</f>
        <v>0</v>
      </c>
      <c r="S32" s="13"/>
      <c r="T32" s="13"/>
      <c r="U32" s="80">
        <f t="shared" si="1"/>
        <v>0</v>
      </c>
      <c r="V32" s="11"/>
      <c r="W32" s="79">
        <f t="shared" si="16"/>
        <v>0</v>
      </c>
      <c r="X32" s="80">
        <f t="shared" si="17"/>
        <v>0</v>
      </c>
    </row>
    <row r="33" spans="1:24" ht="39.6">
      <c r="A33" s="31" t="s">
        <v>100</v>
      </c>
      <c r="B33" s="35">
        <v>92761</v>
      </c>
      <c r="C33" s="36" t="s">
        <v>107</v>
      </c>
      <c r="D33" s="131"/>
      <c r="E33" s="131"/>
      <c r="F33" s="131"/>
      <c r="G33" s="131"/>
      <c r="H33" s="131"/>
      <c r="I33" s="131"/>
      <c r="J33" s="11"/>
      <c r="K33" s="12"/>
      <c r="L33" s="13"/>
      <c r="M33" s="11">
        <v>0.8</v>
      </c>
      <c r="N33" s="12">
        <f t="shared" si="15"/>
        <v>0</v>
      </c>
      <c r="O33" s="13">
        <f>TRUNC(N33*G33)+0.32</f>
        <v>0.32</v>
      </c>
      <c r="P33" s="11">
        <v>0.2</v>
      </c>
      <c r="Q33" s="12">
        <f t="shared" si="18"/>
        <v>0</v>
      </c>
      <c r="R33" s="13">
        <f t="shared" si="19"/>
        <v>0</v>
      </c>
      <c r="S33" s="13"/>
      <c r="T33" s="13"/>
      <c r="U33" s="80">
        <f t="shared" si="1"/>
        <v>0</v>
      </c>
      <c r="V33" s="11"/>
      <c r="W33" s="79">
        <f t="shared" si="16"/>
        <v>0</v>
      </c>
      <c r="X33" s="80">
        <f t="shared" si="17"/>
        <v>0</v>
      </c>
    </row>
    <row r="34" spans="1:24" ht="39.6">
      <c r="A34" s="31" t="s">
        <v>101</v>
      </c>
      <c r="B34" s="35">
        <v>92762</v>
      </c>
      <c r="C34" s="36" t="s">
        <v>108</v>
      </c>
      <c r="D34" s="131"/>
      <c r="E34" s="131"/>
      <c r="F34" s="131"/>
      <c r="G34" s="131"/>
      <c r="H34" s="131"/>
      <c r="I34" s="131"/>
      <c r="J34" s="11"/>
      <c r="K34" s="12"/>
      <c r="L34" s="13"/>
      <c r="M34" s="11">
        <v>0.8</v>
      </c>
      <c r="N34" s="12">
        <f t="shared" si="15"/>
        <v>0</v>
      </c>
      <c r="O34" s="13">
        <f>TRUNC(N34*G34)+0.23</f>
        <v>0.23</v>
      </c>
      <c r="P34" s="11">
        <v>0.2</v>
      </c>
      <c r="Q34" s="12">
        <f t="shared" si="18"/>
        <v>0</v>
      </c>
      <c r="R34" s="13">
        <f t="shared" si="19"/>
        <v>0</v>
      </c>
      <c r="S34" s="13"/>
      <c r="T34" s="13"/>
      <c r="U34" s="80">
        <f t="shared" si="1"/>
        <v>0</v>
      </c>
      <c r="V34" s="11"/>
      <c r="W34" s="79">
        <f t="shared" si="16"/>
        <v>0</v>
      </c>
      <c r="X34" s="80">
        <f t="shared" si="17"/>
        <v>0</v>
      </c>
    </row>
    <row r="35" spans="1:24" ht="39.6">
      <c r="A35" s="31" t="s">
        <v>102</v>
      </c>
      <c r="B35" s="35">
        <v>92763</v>
      </c>
      <c r="C35" s="36" t="s">
        <v>109</v>
      </c>
      <c r="D35" s="131"/>
      <c r="E35" s="131"/>
      <c r="F35" s="131"/>
      <c r="G35" s="131"/>
      <c r="H35" s="131"/>
      <c r="I35" s="131"/>
      <c r="J35" s="11"/>
      <c r="K35" s="12"/>
      <c r="L35" s="13"/>
      <c r="M35" s="11">
        <v>0.8</v>
      </c>
      <c r="N35" s="12">
        <f t="shared" si="15"/>
        <v>0</v>
      </c>
      <c r="O35" s="13">
        <f>TRUNC(N35*G35)+0.11</f>
        <v>0.11</v>
      </c>
      <c r="P35" s="11">
        <v>0.2</v>
      </c>
      <c r="Q35" s="12">
        <f t="shared" si="18"/>
        <v>0</v>
      </c>
      <c r="R35" s="13">
        <f t="shared" si="19"/>
        <v>0</v>
      </c>
      <c r="S35" s="13"/>
      <c r="T35" s="13"/>
      <c r="U35" s="80">
        <f t="shared" si="1"/>
        <v>0</v>
      </c>
      <c r="V35" s="11"/>
      <c r="W35" s="79">
        <f t="shared" si="16"/>
        <v>0</v>
      </c>
      <c r="X35" s="80">
        <f t="shared" si="17"/>
        <v>0</v>
      </c>
    </row>
    <row r="36" spans="1:24" ht="39.6">
      <c r="A36" s="31" t="s">
        <v>103</v>
      </c>
      <c r="B36" s="35">
        <v>92759</v>
      </c>
      <c r="C36" s="36" t="s">
        <v>110</v>
      </c>
      <c r="D36" s="131"/>
      <c r="E36" s="131"/>
      <c r="F36" s="131"/>
      <c r="G36" s="131"/>
      <c r="H36" s="131"/>
      <c r="I36" s="131"/>
      <c r="J36" s="11"/>
      <c r="K36" s="12"/>
      <c r="L36" s="13"/>
      <c r="M36" s="11">
        <v>0.8</v>
      </c>
      <c r="N36" s="12">
        <f t="shared" si="15"/>
        <v>0</v>
      </c>
      <c r="O36" s="13">
        <f>TRUNC(N36*G36)+0.85</f>
        <v>0.85</v>
      </c>
      <c r="P36" s="11">
        <v>0.2</v>
      </c>
      <c r="Q36" s="12">
        <f t="shared" si="18"/>
        <v>0</v>
      </c>
      <c r="R36" s="13">
        <f t="shared" si="19"/>
        <v>0</v>
      </c>
      <c r="S36" s="13"/>
      <c r="T36" s="13"/>
      <c r="U36" s="80">
        <f t="shared" si="1"/>
        <v>0</v>
      </c>
      <c r="V36" s="11"/>
      <c r="W36" s="79">
        <f t="shared" si="16"/>
        <v>0</v>
      </c>
      <c r="X36" s="80">
        <f t="shared" si="17"/>
        <v>0</v>
      </c>
    </row>
    <row r="37" spans="1:24" ht="26.4">
      <c r="A37" s="31" t="s">
        <v>104</v>
      </c>
      <c r="B37" s="35">
        <v>92265</v>
      </c>
      <c r="C37" s="36" t="s">
        <v>111</v>
      </c>
      <c r="D37" s="131"/>
      <c r="E37" s="131"/>
      <c r="F37" s="131"/>
      <c r="G37" s="131"/>
      <c r="H37" s="131"/>
      <c r="I37" s="131"/>
      <c r="J37" s="11"/>
      <c r="K37" s="12"/>
      <c r="L37" s="13"/>
      <c r="M37" s="11">
        <v>1</v>
      </c>
      <c r="N37" s="12">
        <f t="shared" si="15"/>
        <v>0</v>
      </c>
      <c r="O37" s="13">
        <f>TRUNC(N37*G37)+0.11</f>
        <v>0.11</v>
      </c>
      <c r="P37" s="11"/>
      <c r="Q37" s="12"/>
      <c r="R37" s="13"/>
      <c r="S37" s="13"/>
      <c r="T37" s="13"/>
      <c r="U37" s="80">
        <f t="shared" si="1"/>
        <v>0</v>
      </c>
      <c r="V37" s="11"/>
      <c r="W37" s="79">
        <f t="shared" si="16"/>
        <v>0</v>
      </c>
      <c r="X37" s="80">
        <f t="shared" si="17"/>
        <v>0</v>
      </c>
    </row>
    <row r="38" spans="1:24" ht="20.100000000000001" customHeight="1">
      <c r="A38" s="93" t="s">
        <v>112</v>
      </c>
      <c r="B38" s="133" t="s">
        <v>114</v>
      </c>
      <c r="C38" s="133"/>
      <c r="D38" s="133"/>
      <c r="E38" s="133"/>
      <c r="F38" s="133"/>
      <c r="G38" s="133"/>
      <c r="H38" s="133"/>
      <c r="I38" s="133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s="70" customFormat="1" ht="39.6">
      <c r="A39" s="97" t="s">
        <v>113</v>
      </c>
      <c r="B39" s="98">
        <v>94965</v>
      </c>
      <c r="C39" s="99" t="s">
        <v>120</v>
      </c>
      <c r="D39" s="137"/>
      <c r="E39" s="137"/>
      <c r="F39" s="137"/>
      <c r="G39" s="137"/>
      <c r="H39" s="137"/>
      <c r="I39" s="137"/>
      <c r="J39" s="67"/>
      <c r="K39" s="68"/>
      <c r="L39" s="69"/>
      <c r="M39" s="67"/>
      <c r="N39" s="68"/>
      <c r="O39" s="69"/>
      <c r="P39" s="67"/>
      <c r="Q39" s="68"/>
      <c r="R39" s="69"/>
      <c r="S39" s="69"/>
      <c r="T39" s="69"/>
      <c r="U39" s="80">
        <f t="shared" si="1"/>
        <v>0</v>
      </c>
      <c r="V39" s="85">
        <v>0</v>
      </c>
      <c r="W39" s="68">
        <f t="shared" ref="W39:W44" si="20">TRUNC(V39*F39,2)</f>
        <v>0</v>
      </c>
      <c r="X39" s="69">
        <f t="shared" ref="X39:X44" si="21">TRUNC(W39*G39)+0</f>
        <v>0</v>
      </c>
    </row>
    <row r="40" spans="1:24" s="70" customFormat="1" ht="26.4">
      <c r="A40" s="97" t="s">
        <v>115</v>
      </c>
      <c r="B40" s="98">
        <v>92267</v>
      </c>
      <c r="C40" s="99" t="s">
        <v>121</v>
      </c>
      <c r="D40" s="137"/>
      <c r="E40" s="137"/>
      <c r="F40" s="137"/>
      <c r="G40" s="137"/>
      <c r="H40" s="137"/>
      <c r="I40" s="137"/>
      <c r="J40" s="67"/>
      <c r="K40" s="68"/>
      <c r="L40" s="69"/>
      <c r="M40" s="67"/>
      <c r="N40" s="68"/>
      <c r="O40" s="69"/>
      <c r="P40" s="67"/>
      <c r="Q40" s="68"/>
      <c r="R40" s="69"/>
      <c r="S40" s="69"/>
      <c r="T40" s="69"/>
      <c r="U40" s="80">
        <f t="shared" si="1"/>
        <v>0</v>
      </c>
      <c r="V40" s="85">
        <v>0</v>
      </c>
      <c r="W40" s="68">
        <f t="shared" si="20"/>
        <v>0</v>
      </c>
      <c r="X40" s="69">
        <f t="shared" si="21"/>
        <v>0</v>
      </c>
    </row>
    <row r="41" spans="1:24" s="70" customFormat="1" ht="39.6">
      <c r="A41" s="97" t="s">
        <v>116</v>
      </c>
      <c r="B41" s="98">
        <v>92769</v>
      </c>
      <c r="C41" s="99" t="s">
        <v>122</v>
      </c>
      <c r="D41" s="137"/>
      <c r="E41" s="137"/>
      <c r="F41" s="137"/>
      <c r="G41" s="137"/>
      <c r="H41" s="137"/>
      <c r="I41" s="137"/>
      <c r="J41" s="67"/>
      <c r="K41" s="68"/>
      <c r="L41" s="69"/>
      <c r="M41" s="67"/>
      <c r="N41" s="68"/>
      <c r="O41" s="69"/>
      <c r="P41" s="67"/>
      <c r="Q41" s="68"/>
      <c r="R41" s="69"/>
      <c r="S41" s="69"/>
      <c r="T41" s="69"/>
      <c r="U41" s="80">
        <f t="shared" si="1"/>
        <v>0</v>
      </c>
      <c r="V41" s="85">
        <v>0</v>
      </c>
      <c r="W41" s="68">
        <f t="shared" si="20"/>
        <v>0</v>
      </c>
      <c r="X41" s="69">
        <f t="shared" si="21"/>
        <v>0</v>
      </c>
    </row>
    <row r="42" spans="1:24" s="70" customFormat="1" ht="39.6">
      <c r="A42" s="97" t="s">
        <v>117</v>
      </c>
      <c r="B42" s="98">
        <v>92770</v>
      </c>
      <c r="C42" s="99" t="s">
        <v>123</v>
      </c>
      <c r="D42" s="137"/>
      <c r="E42" s="137"/>
      <c r="F42" s="137"/>
      <c r="G42" s="137"/>
      <c r="H42" s="137"/>
      <c r="I42" s="137"/>
      <c r="J42" s="67"/>
      <c r="K42" s="68"/>
      <c r="L42" s="69"/>
      <c r="M42" s="67"/>
      <c r="N42" s="68"/>
      <c r="O42" s="69"/>
      <c r="P42" s="67"/>
      <c r="Q42" s="68"/>
      <c r="R42" s="69"/>
      <c r="S42" s="69"/>
      <c r="T42" s="69"/>
      <c r="U42" s="80">
        <f t="shared" si="1"/>
        <v>0</v>
      </c>
      <c r="V42" s="85">
        <v>0</v>
      </c>
      <c r="W42" s="68">
        <f t="shared" si="20"/>
        <v>0</v>
      </c>
      <c r="X42" s="69">
        <f t="shared" si="21"/>
        <v>0</v>
      </c>
    </row>
    <row r="43" spans="1:24" s="70" customFormat="1" ht="39.6">
      <c r="A43" s="97" t="s">
        <v>118</v>
      </c>
      <c r="B43" s="98">
        <v>92771</v>
      </c>
      <c r="C43" s="99" t="s">
        <v>124</v>
      </c>
      <c r="D43" s="137"/>
      <c r="E43" s="137"/>
      <c r="F43" s="137"/>
      <c r="G43" s="137"/>
      <c r="H43" s="137"/>
      <c r="I43" s="137"/>
      <c r="J43" s="67"/>
      <c r="K43" s="68"/>
      <c r="L43" s="69"/>
      <c r="M43" s="67"/>
      <c r="N43" s="68"/>
      <c r="O43" s="69"/>
      <c r="P43" s="67"/>
      <c r="Q43" s="68"/>
      <c r="R43" s="69"/>
      <c r="S43" s="69"/>
      <c r="T43" s="69"/>
      <c r="U43" s="80">
        <f t="shared" si="1"/>
        <v>0</v>
      </c>
      <c r="V43" s="85">
        <v>0</v>
      </c>
      <c r="W43" s="68">
        <f t="shared" si="20"/>
        <v>0</v>
      </c>
      <c r="X43" s="69">
        <f t="shared" si="21"/>
        <v>0</v>
      </c>
    </row>
    <row r="44" spans="1:24" s="70" customFormat="1" ht="39.6">
      <c r="A44" s="97" t="s">
        <v>119</v>
      </c>
      <c r="B44" s="95">
        <v>92768</v>
      </c>
      <c r="C44" s="99" t="s">
        <v>125</v>
      </c>
      <c r="D44" s="137"/>
      <c r="E44" s="137"/>
      <c r="F44" s="137"/>
      <c r="G44" s="137"/>
      <c r="H44" s="137"/>
      <c r="I44" s="137"/>
      <c r="J44" s="67"/>
      <c r="K44" s="68"/>
      <c r="L44" s="69"/>
      <c r="M44" s="67"/>
      <c r="N44" s="68"/>
      <c r="O44" s="69"/>
      <c r="P44" s="67"/>
      <c r="Q44" s="68"/>
      <c r="R44" s="69"/>
      <c r="S44" s="69"/>
      <c r="T44" s="69"/>
      <c r="U44" s="80">
        <f t="shared" si="1"/>
        <v>0</v>
      </c>
      <c r="V44" s="85">
        <v>0</v>
      </c>
      <c r="W44" s="68">
        <f t="shared" si="20"/>
        <v>0</v>
      </c>
      <c r="X44" s="69">
        <f t="shared" si="21"/>
        <v>0</v>
      </c>
    </row>
    <row r="45" spans="1:24" ht="20.100000000000001" customHeight="1">
      <c r="A45" s="93">
        <v>4</v>
      </c>
      <c r="B45" s="133" t="s">
        <v>126</v>
      </c>
      <c r="C45" s="133"/>
      <c r="D45" s="133"/>
      <c r="E45" s="133"/>
      <c r="F45" s="133"/>
      <c r="G45" s="133"/>
      <c r="H45" s="133"/>
      <c r="I45" s="133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ht="39.6">
      <c r="A46" s="94" t="s">
        <v>22</v>
      </c>
      <c r="B46" s="42">
        <v>103328</v>
      </c>
      <c r="C46" s="36" t="s">
        <v>127</v>
      </c>
      <c r="D46" s="131"/>
      <c r="E46" s="131"/>
      <c r="F46" s="131"/>
      <c r="G46" s="131"/>
      <c r="H46" s="131"/>
      <c r="I46" s="131"/>
      <c r="J46" s="11">
        <v>0.3</v>
      </c>
      <c r="K46" s="12">
        <f t="shared" ref="K46" si="22">TRUNC(J46*F46,2)</f>
        <v>0</v>
      </c>
      <c r="L46" s="13">
        <f>TRUNC(K46*G46)+1.33</f>
        <v>1.33</v>
      </c>
      <c r="M46" s="11">
        <v>0.6</v>
      </c>
      <c r="N46" s="12">
        <f t="shared" ref="N46" si="23">TRUNC(M46*F46,2)</f>
        <v>0</v>
      </c>
      <c r="O46" s="13">
        <f>TRUNC(N46*G46)+1.66</f>
        <v>1.66</v>
      </c>
      <c r="P46" s="11"/>
      <c r="Q46" s="12"/>
      <c r="R46" s="13"/>
      <c r="S46" s="13"/>
      <c r="T46" s="13">
        <v>60.94</v>
      </c>
      <c r="U46" s="80">
        <f t="shared" si="1"/>
        <v>0</v>
      </c>
      <c r="V46" s="11">
        <v>0.1</v>
      </c>
      <c r="W46" s="79">
        <f t="shared" ref="W46" si="24">TRUNC(V46*F46,2)</f>
        <v>0</v>
      </c>
      <c r="X46" s="80">
        <v>0</v>
      </c>
    </row>
    <row r="47" spans="1:24" ht="20.100000000000001" customHeight="1">
      <c r="A47" s="93">
        <v>5</v>
      </c>
      <c r="B47" s="133" t="s">
        <v>128</v>
      </c>
      <c r="C47" s="133"/>
      <c r="D47" s="133"/>
      <c r="E47" s="133"/>
      <c r="F47" s="133"/>
      <c r="G47" s="133"/>
      <c r="H47" s="133"/>
      <c r="I47" s="133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ht="52.8">
      <c r="A48" s="31" t="s">
        <v>23</v>
      </c>
      <c r="B48" s="35">
        <v>87894</v>
      </c>
      <c r="C48" s="49" t="s">
        <v>129</v>
      </c>
      <c r="D48" s="131"/>
      <c r="E48" s="131"/>
      <c r="F48" s="131"/>
      <c r="G48" s="131"/>
      <c r="H48" s="131"/>
      <c r="I48" s="131"/>
      <c r="J48" s="10"/>
      <c r="K48" s="10"/>
      <c r="L48" s="10"/>
      <c r="M48" s="11"/>
      <c r="N48" s="12"/>
      <c r="O48" s="13"/>
      <c r="P48" s="11">
        <v>0.5</v>
      </c>
      <c r="Q48" s="71">
        <f t="shared" ref="Q48:Q50" si="25">TRUNC(P48*F48,2)</f>
        <v>0</v>
      </c>
      <c r="R48" s="13">
        <f t="shared" ref="R48:R50" si="26">TRUNC(Q48*G48)</f>
        <v>0</v>
      </c>
      <c r="S48" s="13"/>
      <c r="T48" s="13">
        <v>1078.6600000000001</v>
      </c>
      <c r="U48" s="80">
        <f t="shared" si="1"/>
        <v>0</v>
      </c>
      <c r="V48" s="11">
        <v>0.5</v>
      </c>
      <c r="W48" s="83">
        <f t="shared" ref="W48:W51" si="27">TRUNC(V48*F48,2)</f>
        <v>0</v>
      </c>
      <c r="X48" s="80">
        <v>0</v>
      </c>
    </row>
    <row r="49" spans="1:24" ht="52.8">
      <c r="A49" s="31" t="s">
        <v>42</v>
      </c>
      <c r="B49" s="35">
        <v>87548</v>
      </c>
      <c r="C49" s="49" t="s">
        <v>130</v>
      </c>
      <c r="D49" s="131"/>
      <c r="E49" s="131"/>
      <c r="F49" s="131"/>
      <c r="G49" s="131"/>
      <c r="H49" s="131"/>
      <c r="I49" s="131"/>
      <c r="J49" s="10"/>
      <c r="K49" s="10"/>
      <c r="L49" s="10"/>
      <c r="M49" s="11"/>
      <c r="N49" s="12"/>
      <c r="O49" s="13"/>
      <c r="P49" s="11">
        <v>0.5</v>
      </c>
      <c r="Q49" s="71">
        <f t="shared" si="25"/>
        <v>0</v>
      </c>
      <c r="R49" s="13">
        <f t="shared" si="26"/>
        <v>0</v>
      </c>
      <c r="S49" s="13"/>
      <c r="T49" s="13">
        <v>1078.6600000000001</v>
      </c>
      <c r="U49" s="80">
        <f t="shared" si="1"/>
        <v>0</v>
      </c>
      <c r="V49" s="11">
        <v>0.5</v>
      </c>
      <c r="W49" s="83">
        <f t="shared" si="27"/>
        <v>0</v>
      </c>
      <c r="X49" s="80">
        <v>0</v>
      </c>
    </row>
    <row r="50" spans="1:24" ht="52.8">
      <c r="A50" s="31" t="s">
        <v>43</v>
      </c>
      <c r="B50" s="35">
        <v>104817</v>
      </c>
      <c r="C50" s="49" t="s">
        <v>131</v>
      </c>
      <c r="D50" s="131"/>
      <c r="E50" s="131"/>
      <c r="F50" s="131"/>
      <c r="G50" s="131"/>
      <c r="H50" s="131"/>
      <c r="I50" s="131"/>
      <c r="J50" s="10"/>
      <c r="K50" s="10"/>
      <c r="L50" s="10"/>
      <c r="M50" s="11"/>
      <c r="N50" s="12"/>
      <c r="O50" s="13"/>
      <c r="P50" s="11"/>
      <c r="Q50" s="12">
        <f t="shared" si="25"/>
        <v>0</v>
      </c>
      <c r="R50" s="13">
        <f t="shared" si="26"/>
        <v>0</v>
      </c>
      <c r="S50" s="13"/>
      <c r="T50" s="13">
        <v>72.010000000000005</v>
      </c>
      <c r="U50" s="80">
        <f t="shared" si="1"/>
        <v>0</v>
      </c>
      <c r="V50" s="11">
        <v>1</v>
      </c>
      <c r="W50" s="79">
        <f t="shared" si="27"/>
        <v>0</v>
      </c>
      <c r="X50" s="80">
        <v>36700.129999999997</v>
      </c>
    </row>
    <row r="51" spans="1:24" ht="39.6">
      <c r="A51" s="31" t="s">
        <v>44</v>
      </c>
      <c r="B51" s="35">
        <v>87262</v>
      </c>
      <c r="C51" s="49" t="s">
        <v>132</v>
      </c>
      <c r="D51" s="131"/>
      <c r="E51" s="131"/>
      <c r="F51" s="131"/>
      <c r="G51" s="131"/>
      <c r="H51" s="131"/>
      <c r="I51" s="131"/>
      <c r="J51" s="10"/>
      <c r="K51" s="10"/>
      <c r="L51" s="10"/>
      <c r="M51" s="11"/>
      <c r="N51" s="12"/>
      <c r="O51" s="13"/>
      <c r="P51" s="11"/>
      <c r="Q51" s="12"/>
      <c r="R51" s="13"/>
      <c r="S51" s="13"/>
      <c r="T51" s="13"/>
      <c r="U51" s="80">
        <f t="shared" si="1"/>
        <v>0</v>
      </c>
      <c r="V51" s="11">
        <v>0</v>
      </c>
      <c r="W51" s="79">
        <f t="shared" si="27"/>
        <v>0</v>
      </c>
      <c r="X51" s="80">
        <f t="shared" ref="X51" si="28">TRUNC(W51*G51)+0</f>
        <v>0</v>
      </c>
    </row>
    <row r="52" spans="1:24" ht="20.100000000000001" customHeight="1">
      <c r="A52" s="93">
        <v>6</v>
      </c>
      <c r="B52" s="133" t="s">
        <v>133</v>
      </c>
      <c r="C52" s="133"/>
      <c r="D52" s="133"/>
      <c r="E52" s="133"/>
      <c r="F52" s="133"/>
      <c r="G52" s="133"/>
      <c r="H52" s="133"/>
      <c r="I52" s="133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ht="39.6">
      <c r="A53" s="31" t="s">
        <v>24</v>
      </c>
      <c r="B53" s="35">
        <v>87298</v>
      </c>
      <c r="C53" s="36" t="s">
        <v>134</v>
      </c>
      <c r="D53" s="131"/>
      <c r="E53" s="131"/>
      <c r="F53" s="131"/>
      <c r="G53" s="131"/>
      <c r="H53" s="131"/>
      <c r="I53" s="131"/>
      <c r="J53" s="10"/>
      <c r="K53" s="10"/>
      <c r="L53" s="10"/>
      <c r="M53" s="11"/>
      <c r="N53" s="12"/>
      <c r="O53" s="13"/>
      <c r="P53" s="11"/>
      <c r="Q53" s="12"/>
      <c r="R53" s="13"/>
      <c r="S53" s="13">
        <v>0</v>
      </c>
      <c r="T53" s="13">
        <v>8.48</v>
      </c>
      <c r="U53" s="80">
        <f t="shared" si="1"/>
        <v>0</v>
      </c>
      <c r="V53" s="11">
        <v>1</v>
      </c>
      <c r="W53" s="79">
        <f t="shared" ref="W53:W54" si="29">TRUNC(V53*F53,2)</f>
        <v>0</v>
      </c>
      <c r="X53" s="80">
        <v>4913.8900000000003</v>
      </c>
    </row>
    <row r="54" spans="1:24" ht="52.8">
      <c r="A54" s="31" t="s">
        <v>47</v>
      </c>
      <c r="B54" s="32">
        <v>104597</v>
      </c>
      <c r="C54" s="36" t="s">
        <v>135</v>
      </c>
      <c r="D54" s="131"/>
      <c r="E54" s="131"/>
      <c r="F54" s="131"/>
      <c r="G54" s="131"/>
      <c r="H54" s="131"/>
      <c r="I54" s="131"/>
      <c r="J54" s="10"/>
      <c r="K54" s="10"/>
      <c r="L54" s="10"/>
      <c r="M54" s="11"/>
      <c r="N54" s="12"/>
      <c r="O54" s="13"/>
      <c r="P54" s="11"/>
      <c r="Q54" s="12"/>
      <c r="R54" s="13"/>
      <c r="S54" s="13"/>
      <c r="T54" s="13"/>
      <c r="U54" s="80">
        <f t="shared" si="1"/>
        <v>0</v>
      </c>
      <c r="V54" s="11"/>
      <c r="W54" s="79">
        <f t="shared" si="29"/>
        <v>0</v>
      </c>
      <c r="X54" s="80">
        <f t="shared" ref="X54" si="30">TRUNC(W54*G54)+0</f>
        <v>0</v>
      </c>
    </row>
    <row r="55" spans="1:24" ht="20.100000000000001" customHeight="1">
      <c r="A55" s="93">
        <v>7</v>
      </c>
      <c r="B55" s="133" t="s">
        <v>58</v>
      </c>
      <c r="C55" s="133"/>
      <c r="D55" s="133"/>
      <c r="E55" s="133"/>
      <c r="F55" s="133"/>
      <c r="G55" s="133"/>
      <c r="H55" s="133"/>
      <c r="I55" s="133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ht="20.100000000000001" customHeight="1">
      <c r="A56" s="93" t="s">
        <v>25</v>
      </c>
      <c r="B56" s="133" t="s">
        <v>139</v>
      </c>
      <c r="C56" s="133"/>
      <c r="D56" s="133"/>
      <c r="E56" s="133"/>
      <c r="F56" s="133"/>
      <c r="G56" s="133"/>
      <c r="H56" s="133"/>
      <c r="I56" s="133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ht="39.6">
      <c r="A57" s="31" t="s">
        <v>136</v>
      </c>
      <c r="B57" s="42">
        <v>86931</v>
      </c>
      <c r="C57" s="36" t="s">
        <v>151</v>
      </c>
      <c r="D57" s="131"/>
      <c r="E57" s="131"/>
      <c r="F57" s="131"/>
      <c r="G57" s="131"/>
      <c r="H57" s="131"/>
      <c r="I57" s="131"/>
      <c r="J57" s="10"/>
      <c r="K57" s="10"/>
      <c r="L57" s="10"/>
      <c r="M57" s="11"/>
      <c r="N57" s="12"/>
      <c r="O57" s="13"/>
      <c r="P57" s="27"/>
      <c r="Q57" s="12"/>
      <c r="R57" s="13"/>
      <c r="S57" s="13"/>
      <c r="T57" s="13"/>
      <c r="U57" s="80">
        <f t="shared" si="1"/>
        <v>0</v>
      </c>
      <c r="V57" s="27"/>
      <c r="W57" s="79">
        <f t="shared" ref="W57:W70" si="31">TRUNC(V57*F57,2)</f>
        <v>0</v>
      </c>
      <c r="X57" s="80">
        <f t="shared" ref="X57:X68" si="32">TRUNC(W57*G57)+0</f>
        <v>0</v>
      </c>
    </row>
    <row r="58" spans="1:24" ht="66">
      <c r="A58" s="31" t="s">
        <v>137</v>
      </c>
      <c r="B58" s="42">
        <v>86939</v>
      </c>
      <c r="C58" s="36" t="s">
        <v>152</v>
      </c>
      <c r="D58" s="131"/>
      <c r="E58" s="131"/>
      <c r="F58" s="131"/>
      <c r="G58" s="131"/>
      <c r="H58" s="131"/>
      <c r="I58" s="131"/>
      <c r="J58" s="10"/>
      <c r="K58" s="10"/>
      <c r="L58" s="10"/>
      <c r="M58" s="11"/>
      <c r="N58" s="12"/>
      <c r="O58" s="13"/>
      <c r="P58" s="11"/>
      <c r="Q58" s="12"/>
      <c r="R58" s="13"/>
      <c r="S58" s="13"/>
      <c r="T58" s="13"/>
      <c r="U58" s="80">
        <f t="shared" si="1"/>
        <v>0</v>
      </c>
      <c r="V58" s="11"/>
      <c r="W58" s="79">
        <f t="shared" si="31"/>
        <v>0</v>
      </c>
      <c r="X58" s="80">
        <f t="shared" si="32"/>
        <v>0</v>
      </c>
    </row>
    <row r="59" spans="1:24" ht="39.6">
      <c r="A59" s="31" t="s">
        <v>138</v>
      </c>
      <c r="B59" s="42">
        <v>89714</v>
      </c>
      <c r="C59" s="36" t="s">
        <v>153</v>
      </c>
      <c r="D59" s="131"/>
      <c r="E59" s="131"/>
      <c r="F59" s="131"/>
      <c r="G59" s="131"/>
      <c r="H59" s="131"/>
      <c r="I59" s="131"/>
      <c r="J59" s="10"/>
      <c r="K59" s="10"/>
      <c r="L59" s="10"/>
      <c r="M59" s="11"/>
      <c r="N59" s="12"/>
      <c r="O59" s="13"/>
      <c r="P59" s="11">
        <v>0.8</v>
      </c>
      <c r="Q59" s="12">
        <f>TRUNC(P59*F59,2)</f>
        <v>0</v>
      </c>
      <c r="R59" s="13">
        <f>TRUNC(Q59*G59)</f>
        <v>0</v>
      </c>
      <c r="S59" s="13"/>
      <c r="T59" s="13">
        <v>20</v>
      </c>
      <c r="U59" s="80">
        <f>TRUNC(G59*T59)+0</f>
        <v>0</v>
      </c>
      <c r="V59" s="11">
        <v>0.2</v>
      </c>
      <c r="W59" s="79">
        <f t="shared" si="31"/>
        <v>0</v>
      </c>
      <c r="X59" s="80">
        <v>0</v>
      </c>
    </row>
    <row r="60" spans="1:24" ht="39.6">
      <c r="A60" s="31" t="s">
        <v>140</v>
      </c>
      <c r="B60" s="42">
        <v>89711</v>
      </c>
      <c r="C60" s="36" t="s">
        <v>154</v>
      </c>
      <c r="D60" s="131"/>
      <c r="E60" s="131"/>
      <c r="F60" s="131"/>
      <c r="G60" s="131"/>
      <c r="H60" s="131"/>
      <c r="I60" s="131"/>
      <c r="J60" s="10"/>
      <c r="K60" s="10"/>
      <c r="L60" s="10"/>
      <c r="M60" s="11"/>
      <c r="N60" s="12"/>
      <c r="O60" s="13"/>
      <c r="P60" s="11">
        <v>0.8</v>
      </c>
      <c r="Q60" s="12">
        <f t="shared" ref="Q60:Q61" si="33">TRUNC(P60*F60,2)</f>
        <v>0</v>
      </c>
      <c r="R60" s="13">
        <f t="shared" ref="R60:R61" si="34">TRUNC(Q60*G60)</f>
        <v>0</v>
      </c>
      <c r="S60" s="13"/>
      <c r="T60" s="13">
        <v>4</v>
      </c>
      <c r="U60" s="80">
        <f>TRUNC(G60*T60)+0</f>
        <v>0</v>
      </c>
      <c r="V60" s="11">
        <v>0.2</v>
      </c>
      <c r="W60" s="79">
        <f t="shared" si="31"/>
        <v>0</v>
      </c>
      <c r="X60" s="80">
        <v>0</v>
      </c>
    </row>
    <row r="61" spans="1:24" ht="39.6">
      <c r="A61" s="31" t="s">
        <v>141</v>
      </c>
      <c r="B61" s="42">
        <v>89798</v>
      </c>
      <c r="C61" s="36" t="s">
        <v>155</v>
      </c>
      <c r="D61" s="135" t="s">
        <v>283</v>
      </c>
      <c r="E61" s="135"/>
      <c r="F61" s="135"/>
      <c r="G61" s="135"/>
      <c r="H61" s="135"/>
      <c r="I61" s="135"/>
      <c r="J61" s="10"/>
      <c r="K61" s="10"/>
      <c r="L61" s="10"/>
      <c r="M61" s="11"/>
      <c r="N61" s="12"/>
      <c r="O61" s="13"/>
      <c r="P61" s="11">
        <v>0.8</v>
      </c>
      <c r="Q61" s="12">
        <f t="shared" si="33"/>
        <v>0</v>
      </c>
      <c r="R61" s="13">
        <f t="shared" si="34"/>
        <v>0</v>
      </c>
      <c r="S61" s="13"/>
      <c r="T61" s="13"/>
      <c r="U61" s="80">
        <f t="shared" si="1"/>
        <v>0</v>
      </c>
      <c r="V61" s="11"/>
      <c r="W61" s="79">
        <f t="shared" si="31"/>
        <v>0</v>
      </c>
      <c r="X61" s="80">
        <f t="shared" si="32"/>
        <v>0</v>
      </c>
    </row>
    <row r="62" spans="1:24" ht="39.6">
      <c r="A62" s="31" t="s">
        <v>142</v>
      </c>
      <c r="B62" s="42">
        <v>104326</v>
      </c>
      <c r="C62" s="36" t="s">
        <v>156</v>
      </c>
      <c r="D62" s="131"/>
      <c r="E62" s="131"/>
      <c r="F62" s="131"/>
      <c r="G62" s="131"/>
      <c r="H62" s="131"/>
      <c r="I62" s="131"/>
      <c r="J62" s="10"/>
      <c r="K62" s="10"/>
      <c r="L62" s="10"/>
      <c r="M62" s="11"/>
      <c r="N62" s="12"/>
      <c r="O62" s="13"/>
      <c r="P62" s="11"/>
      <c r="Q62" s="12"/>
      <c r="R62" s="13"/>
      <c r="S62" s="13"/>
      <c r="T62" s="13"/>
      <c r="U62" s="80">
        <f t="shared" si="1"/>
        <v>0</v>
      </c>
      <c r="V62" s="11"/>
      <c r="W62" s="79">
        <f t="shared" si="31"/>
        <v>0</v>
      </c>
      <c r="X62" s="80">
        <f t="shared" si="32"/>
        <v>0</v>
      </c>
    </row>
    <row r="63" spans="1:24" ht="39.6">
      <c r="A63" s="31" t="s">
        <v>143</v>
      </c>
      <c r="B63" s="42">
        <v>104327</v>
      </c>
      <c r="C63" s="36" t="s">
        <v>157</v>
      </c>
      <c r="D63" s="131"/>
      <c r="E63" s="131"/>
      <c r="F63" s="131"/>
      <c r="G63" s="131"/>
      <c r="H63" s="131"/>
      <c r="I63" s="131"/>
      <c r="J63" s="10"/>
      <c r="K63" s="10"/>
      <c r="L63" s="10"/>
      <c r="M63" s="11"/>
      <c r="N63" s="12"/>
      <c r="O63" s="13"/>
      <c r="P63" s="11"/>
      <c r="Q63" s="12"/>
      <c r="R63" s="13"/>
      <c r="S63" s="13"/>
      <c r="T63" s="13"/>
      <c r="U63" s="80">
        <f t="shared" si="1"/>
        <v>0</v>
      </c>
      <c r="V63" s="11"/>
      <c r="W63" s="79">
        <f t="shared" si="31"/>
        <v>0</v>
      </c>
      <c r="X63" s="80">
        <f t="shared" si="32"/>
        <v>0</v>
      </c>
    </row>
    <row r="64" spans="1:24" ht="39.6">
      <c r="A64" s="31" t="s">
        <v>144</v>
      </c>
      <c r="B64" s="42">
        <v>89726</v>
      </c>
      <c r="C64" s="36" t="s">
        <v>158</v>
      </c>
      <c r="D64" s="131"/>
      <c r="E64" s="131"/>
      <c r="F64" s="131"/>
      <c r="G64" s="131"/>
      <c r="H64" s="131"/>
      <c r="I64" s="131"/>
      <c r="J64" s="10"/>
      <c r="K64" s="10"/>
      <c r="L64" s="10"/>
      <c r="M64" s="11"/>
      <c r="N64" s="12"/>
      <c r="O64" s="13"/>
      <c r="P64" s="11">
        <v>0.8</v>
      </c>
      <c r="Q64" s="12">
        <f t="shared" ref="Q64:Q67" si="35">TRUNC(P64*F64,2)</f>
        <v>0</v>
      </c>
      <c r="R64" s="13">
        <f t="shared" ref="R64:R67" si="36">TRUNC(Q64*G64)</f>
        <v>0</v>
      </c>
      <c r="S64" s="13"/>
      <c r="T64" s="13">
        <v>1.4</v>
      </c>
      <c r="U64" s="80">
        <f t="shared" si="1"/>
        <v>0</v>
      </c>
      <c r="V64" s="11">
        <v>0.2</v>
      </c>
      <c r="W64" s="79">
        <f t="shared" si="31"/>
        <v>0</v>
      </c>
      <c r="X64" s="80">
        <v>0</v>
      </c>
    </row>
    <row r="65" spans="1:24" ht="39.6">
      <c r="A65" s="31" t="s">
        <v>145</v>
      </c>
      <c r="B65" s="42">
        <v>89732</v>
      </c>
      <c r="C65" s="36" t="s">
        <v>159</v>
      </c>
      <c r="D65" s="131"/>
      <c r="E65" s="131"/>
      <c r="F65" s="131"/>
      <c r="G65" s="131"/>
      <c r="H65" s="131"/>
      <c r="I65" s="131"/>
      <c r="J65" s="10"/>
      <c r="K65" s="10"/>
      <c r="L65" s="10"/>
      <c r="M65" s="11"/>
      <c r="N65" s="12"/>
      <c r="O65" s="13"/>
      <c r="P65" s="11">
        <v>0.8</v>
      </c>
      <c r="Q65" s="12">
        <f t="shared" si="35"/>
        <v>0</v>
      </c>
      <c r="R65" s="13">
        <f t="shared" si="36"/>
        <v>0</v>
      </c>
      <c r="S65" s="13"/>
      <c r="T65" s="13">
        <v>1.4</v>
      </c>
      <c r="U65" s="80">
        <f t="shared" si="1"/>
        <v>0</v>
      </c>
      <c r="V65" s="11">
        <v>0.2</v>
      </c>
      <c r="W65" s="79">
        <f t="shared" si="31"/>
        <v>0</v>
      </c>
      <c r="X65" s="80">
        <v>0</v>
      </c>
    </row>
    <row r="66" spans="1:24" ht="39.6">
      <c r="A66" s="31" t="s">
        <v>146</v>
      </c>
      <c r="B66" s="42">
        <v>89809</v>
      </c>
      <c r="C66" s="36" t="s">
        <v>160</v>
      </c>
      <c r="D66" s="131"/>
      <c r="E66" s="131"/>
      <c r="F66" s="131"/>
      <c r="G66" s="131"/>
      <c r="H66" s="131"/>
      <c r="I66" s="131"/>
      <c r="J66" s="10"/>
      <c r="K66" s="10"/>
      <c r="L66" s="10"/>
      <c r="M66" s="11"/>
      <c r="N66" s="12"/>
      <c r="O66" s="13"/>
      <c r="P66" s="11">
        <v>0.8</v>
      </c>
      <c r="Q66" s="12">
        <f t="shared" si="35"/>
        <v>0</v>
      </c>
      <c r="R66" s="13">
        <f t="shared" si="36"/>
        <v>0</v>
      </c>
      <c r="S66" s="13"/>
      <c r="T66" s="13">
        <v>2</v>
      </c>
      <c r="U66" s="80">
        <f t="shared" si="1"/>
        <v>0</v>
      </c>
      <c r="V66" s="11">
        <v>0.2</v>
      </c>
      <c r="W66" s="79">
        <f t="shared" si="31"/>
        <v>0</v>
      </c>
      <c r="X66" s="80">
        <v>0</v>
      </c>
    </row>
    <row r="67" spans="1:24" ht="39.6">
      <c r="A67" s="31" t="s">
        <v>147</v>
      </c>
      <c r="B67" s="42">
        <v>69810</v>
      </c>
      <c r="C67" s="36" t="s">
        <v>161</v>
      </c>
      <c r="D67" s="131"/>
      <c r="E67" s="131"/>
      <c r="F67" s="131"/>
      <c r="G67" s="131"/>
      <c r="H67" s="131"/>
      <c r="I67" s="131"/>
      <c r="J67" s="10"/>
      <c r="K67" s="10"/>
      <c r="L67" s="10"/>
      <c r="M67" s="11"/>
      <c r="N67" s="12"/>
      <c r="O67" s="13"/>
      <c r="P67" s="11">
        <v>0.8</v>
      </c>
      <c r="Q67" s="12">
        <f t="shared" si="35"/>
        <v>0</v>
      </c>
      <c r="R67" s="13">
        <f t="shared" si="36"/>
        <v>0</v>
      </c>
      <c r="S67" s="13"/>
      <c r="T67" s="13">
        <v>1.2</v>
      </c>
      <c r="U67" s="80">
        <f t="shared" si="1"/>
        <v>0</v>
      </c>
      <c r="V67" s="11">
        <v>0.2</v>
      </c>
      <c r="W67" s="79">
        <f t="shared" si="31"/>
        <v>0</v>
      </c>
      <c r="X67" s="80">
        <v>0</v>
      </c>
    </row>
    <row r="68" spans="1:24" ht="26.4">
      <c r="A68" s="31" t="s">
        <v>148</v>
      </c>
      <c r="B68" s="42">
        <v>100864</v>
      </c>
      <c r="C68" s="36" t="s">
        <v>162</v>
      </c>
      <c r="D68" s="131"/>
      <c r="E68" s="131"/>
      <c r="F68" s="131"/>
      <c r="G68" s="131"/>
      <c r="H68" s="131"/>
      <c r="I68" s="131"/>
      <c r="J68" s="10"/>
      <c r="K68" s="10"/>
      <c r="L68" s="10"/>
      <c r="M68" s="11"/>
      <c r="N68" s="12"/>
      <c r="O68" s="13"/>
      <c r="P68" s="11"/>
      <c r="Q68" s="12"/>
      <c r="R68" s="13"/>
      <c r="S68" s="13"/>
      <c r="T68" s="13"/>
      <c r="U68" s="80">
        <f t="shared" si="1"/>
        <v>0</v>
      </c>
      <c r="V68" s="11"/>
      <c r="W68" s="79">
        <f t="shared" si="31"/>
        <v>0</v>
      </c>
      <c r="X68" s="80">
        <f t="shared" si="32"/>
        <v>0</v>
      </c>
    </row>
    <row r="69" spans="1:24" ht="39.6">
      <c r="A69" s="31" t="s">
        <v>149</v>
      </c>
      <c r="B69" s="42">
        <v>89833</v>
      </c>
      <c r="C69" s="36" t="s">
        <v>163</v>
      </c>
      <c r="D69" s="131"/>
      <c r="E69" s="131"/>
      <c r="F69" s="131"/>
      <c r="G69" s="131"/>
      <c r="H69" s="131"/>
      <c r="I69" s="131"/>
      <c r="J69" s="10"/>
      <c r="K69" s="10"/>
      <c r="L69" s="10"/>
      <c r="M69" s="11"/>
      <c r="N69" s="12"/>
      <c r="O69" s="13"/>
      <c r="P69" s="11">
        <v>0.8</v>
      </c>
      <c r="Q69" s="12">
        <f t="shared" ref="Q69:Q70" si="37">TRUNC(P69*F69,2)</f>
        <v>0</v>
      </c>
      <c r="R69" s="13">
        <f t="shared" ref="R69:R70" si="38">TRUNC(Q69*G69)</f>
        <v>0</v>
      </c>
      <c r="S69" s="13"/>
      <c r="T69" s="13">
        <v>0.6</v>
      </c>
      <c r="U69" s="80">
        <f t="shared" si="1"/>
        <v>0</v>
      </c>
      <c r="V69" s="11">
        <v>0.2</v>
      </c>
      <c r="W69" s="83">
        <f t="shared" si="31"/>
        <v>0</v>
      </c>
      <c r="X69" s="80">
        <v>0</v>
      </c>
    </row>
    <row r="70" spans="1:24" ht="39.6">
      <c r="A70" s="31" t="s">
        <v>150</v>
      </c>
      <c r="B70" s="42">
        <v>102711</v>
      </c>
      <c r="C70" s="36" t="s">
        <v>164</v>
      </c>
      <c r="D70" s="131"/>
      <c r="E70" s="131"/>
      <c r="F70" s="131"/>
      <c r="G70" s="131"/>
      <c r="H70" s="131"/>
      <c r="I70" s="131"/>
      <c r="J70" s="10"/>
      <c r="K70" s="10"/>
      <c r="L70" s="10"/>
      <c r="M70" s="11"/>
      <c r="N70" s="12"/>
      <c r="O70" s="13"/>
      <c r="P70" s="11">
        <v>0.8</v>
      </c>
      <c r="Q70" s="12">
        <f t="shared" si="37"/>
        <v>0</v>
      </c>
      <c r="R70" s="13">
        <f t="shared" si="38"/>
        <v>0</v>
      </c>
      <c r="S70" s="13"/>
      <c r="T70" s="13">
        <v>0.8</v>
      </c>
      <c r="U70" s="80">
        <f t="shared" si="1"/>
        <v>0</v>
      </c>
      <c r="V70" s="11">
        <v>0.2</v>
      </c>
      <c r="W70" s="83">
        <f t="shared" si="31"/>
        <v>0</v>
      </c>
      <c r="X70" s="80">
        <v>0</v>
      </c>
    </row>
    <row r="71" spans="1:24" ht="19.5" customHeight="1">
      <c r="A71" s="93" t="s">
        <v>26</v>
      </c>
      <c r="B71" s="133" t="s">
        <v>184</v>
      </c>
      <c r="C71" s="133"/>
      <c r="D71" s="133"/>
      <c r="E71" s="133"/>
      <c r="F71" s="133"/>
      <c r="G71" s="133"/>
      <c r="H71" s="133"/>
      <c r="I71" s="133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ht="26.4">
      <c r="A72" s="31" t="s">
        <v>165</v>
      </c>
      <c r="B72" s="35">
        <v>102616</v>
      </c>
      <c r="C72" s="36" t="s">
        <v>185</v>
      </c>
      <c r="D72" s="131"/>
      <c r="E72" s="131"/>
      <c r="F72" s="131"/>
      <c r="G72" s="131"/>
      <c r="H72" s="131"/>
      <c r="I72" s="131"/>
      <c r="J72" s="10"/>
      <c r="K72" s="10"/>
      <c r="L72" s="10"/>
      <c r="M72" s="11"/>
      <c r="N72" s="12"/>
      <c r="O72" s="13"/>
      <c r="P72" s="11"/>
      <c r="Q72" s="12"/>
      <c r="R72" s="13"/>
      <c r="S72" s="13"/>
      <c r="T72" s="13"/>
      <c r="U72" s="80">
        <f t="shared" si="1"/>
        <v>0</v>
      </c>
      <c r="V72" s="11"/>
      <c r="W72" s="79">
        <f t="shared" ref="W72:W90" si="39">TRUNC(V72*F72,2)</f>
        <v>0</v>
      </c>
      <c r="X72" s="80">
        <f t="shared" ref="X72:X90" si="40">TRUNC(W72*G72)+0</f>
        <v>0</v>
      </c>
    </row>
    <row r="73" spans="1:24" ht="26.4">
      <c r="A73" s="31" t="s">
        <v>166</v>
      </c>
      <c r="B73" s="35">
        <v>89446</v>
      </c>
      <c r="C73" s="36" t="s">
        <v>186</v>
      </c>
      <c r="D73" s="131"/>
      <c r="E73" s="131"/>
      <c r="F73" s="131"/>
      <c r="G73" s="131"/>
      <c r="H73" s="131"/>
      <c r="I73" s="131"/>
      <c r="J73" s="10"/>
      <c r="K73" s="10"/>
      <c r="L73" s="10"/>
      <c r="M73" s="11"/>
      <c r="N73" s="12"/>
      <c r="O73" s="13"/>
      <c r="P73" s="11"/>
      <c r="Q73" s="12"/>
      <c r="R73" s="13"/>
      <c r="S73" s="13"/>
      <c r="T73" s="13"/>
      <c r="U73" s="80">
        <f t="shared" si="1"/>
        <v>0</v>
      </c>
      <c r="V73" s="11"/>
      <c r="W73" s="79">
        <f t="shared" si="39"/>
        <v>0</v>
      </c>
      <c r="X73" s="80">
        <f t="shared" si="40"/>
        <v>0</v>
      </c>
    </row>
    <row r="74" spans="1:24" ht="39.6">
      <c r="A74" s="31" t="s">
        <v>167</v>
      </c>
      <c r="B74" s="35">
        <v>89366</v>
      </c>
      <c r="C74" s="36" t="s">
        <v>187</v>
      </c>
      <c r="D74" s="131"/>
      <c r="E74" s="131"/>
      <c r="F74" s="131"/>
      <c r="G74" s="131"/>
      <c r="H74" s="131"/>
      <c r="I74" s="131"/>
      <c r="J74" s="10"/>
      <c r="K74" s="10"/>
      <c r="L74" s="10"/>
      <c r="M74" s="11"/>
      <c r="N74" s="12"/>
      <c r="O74" s="13"/>
      <c r="P74" s="11"/>
      <c r="Q74" s="12"/>
      <c r="R74" s="13"/>
      <c r="S74" s="13"/>
      <c r="T74" s="13"/>
      <c r="U74" s="80">
        <f t="shared" ref="U74:U122" si="41">TRUNC(G74*T74)+0</f>
        <v>0</v>
      </c>
      <c r="V74" s="11"/>
      <c r="W74" s="79">
        <f t="shared" si="39"/>
        <v>0</v>
      </c>
      <c r="X74" s="80">
        <f t="shared" si="40"/>
        <v>0</v>
      </c>
    </row>
    <row r="75" spans="1:24" ht="26.4">
      <c r="A75" s="31" t="s">
        <v>168</v>
      </c>
      <c r="B75" s="35">
        <v>89355</v>
      </c>
      <c r="C75" s="36" t="s">
        <v>188</v>
      </c>
      <c r="D75" s="131"/>
      <c r="E75" s="131"/>
      <c r="F75" s="131"/>
      <c r="G75" s="131"/>
      <c r="H75" s="131"/>
      <c r="I75" s="131"/>
      <c r="J75" s="10"/>
      <c r="K75" s="10"/>
      <c r="L75" s="10"/>
      <c r="M75" s="11"/>
      <c r="N75" s="12"/>
      <c r="O75" s="13"/>
      <c r="P75" s="11"/>
      <c r="Q75" s="12"/>
      <c r="R75" s="13"/>
      <c r="S75" s="13"/>
      <c r="T75" s="13"/>
      <c r="U75" s="80">
        <f t="shared" si="41"/>
        <v>0</v>
      </c>
      <c r="V75" s="11"/>
      <c r="W75" s="79">
        <f t="shared" si="39"/>
        <v>0</v>
      </c>
      <c r="X75" s="80">
        <f t="shared" si="40"/>
        <v>0</v>
      </c>
    </row>
    <row r="76" spans="1:24" ht="26.4">
      <c r="A76" s="31" t="s">
        <v>169</v>
      </c>
      <c r="B76" s="35">
        <v>100860</v>
      </c>
      <c r="C76" s="36" t="s">
        <v>189</v>
      </c>
      <c r="D76" s="131"/>
      <c r="E76" s="131"/>
      <c r="F76" s="131"/>
      <c r="G76" s="131"/>
      <c r="H76" s="131"/>
      <c r="I76" s="131"/>
      <c r="J76" s="10"/>
      <c r="K76" s="10"/>
      <c r="L76" s="10"/>
      <c r="M76" s="11"/>
      <c r="N76" s="12"/>
      <c r="O76" s="13"/>
      <c r="P76" s="11"/>
      <c r="Q76" s="12"/>
      <c r="R76" s="13"/>
      <c r="S76" s="13"/>
      <c r="T76" s="13"/>
      <c r="U76" s="80">
        <f t="shared" si="41"/>
        <v>0</v>
      </c>
      <c r="V76" s="11"/>
      <c r="W76" s="79">
        <f t="shared" si="39"/>
        <v>0</v>
      </c>
      <c r="X76" s="80">
        <f t="shared" si="40"/>
        <v>0</v>
      </c>
    </row>
    <row r="77" spans="1:24" ht="26.4">
      <c r="A77" s="31" t="s">
        <v>170</v>
      </c>
      <c r="B77" s="35">
        <v>89528</v>
      </c>
      <c r="C77" s="36" t="s">
        <v>190</v>
      </c>
      <c r="D77" s="131"/>
      <c r="E77" s="131"/>
      <c r="F77" s="131"/>
      <c r="G77" s="131"/>
      <c r="H77" s="131"/>
      <c r="I77" s="131"/>
      <c r="J77" s="10"/>
      <c r="K77" s="10"/>
      <c r="L77" s="10"/>
      <c r="M77" s="11"/>
      <c r="N77" s="12"/>
      <c r="O77" s="13"/>
      <c r="P77" s="11"/>
      <c r="Q77" s="12"/>
      <c r="R77" s="13"/>
      <c r="S77" s="13"/>
      <c r="T77" s="13"/>
      <c r="U77" s="80">
        <f t="shared" si="41"/>
        <v>0</v>
      </c>
      <c r="V77" s="11"/>
      <c r="W77" s="79">
        <f t="shared" si="39"/>
        <v>0</v>
      </c>
      <c r="X77" s="80">
        <f t="shared" si="40"/>
        <v>0</v>
      </c>
    </row>
    <row r="78" spans="1:24" ht="39.6">
      <c r="A78" s="31" t="s">
        <v>171</v>
      </c>
      <c r="B78" s="35">
        <v>104199</v>
      </c>
      <c r="C78" s="36" t="s">
        <v>191</v>
      </c>
      <c r="D78" s="131"/>
      <c r="E78" s="131"/>
      <c r="F78" s="131"/>
      <c r="G78" s="131"/>
      <c r="H78" s="131"/>
      <c r="I78" s="131"/>
      <c r="J78" s="10"/>
      <c r="K78" s="10"/>
      <c r="L78" s="10"/>
      <c r="M78" s="11"/>
      <c r="N78" s="12"/>
      <c r="O78" s="13"/>
      <c r="P78" s="11"/>
      <c r="Q78" s="12"/>
      <c r="R78" s="13"/>
      <c r="S78" s="13"/>
      <c r="T78" s="13"/>
      <c r="U78" s="80">
        <f t="shared" si="41"/>
        <v>0</v>
      </c>
      <c r="V78" s="11"/>
      <c r="W78" s="79">
        <f t="shared" si="39"/>
        <v>0</v>
      </c>
      <c r="X78" s="80">
        <f t="shared" si="40"/>
        <v>0</v>
      </c>
    </row>
    <row r="79" spans="1:24" ht="39.6">
      <c r="A79" s="31" t="s">
        <v>172</v>
      </c>
      <c r="B79" s="35">
        <v>101964</v>
      </c>
      <c r="C79" s="36" t="s">
        <v>192</v>
      </c>
      <c r="D79" s="131"/>
      <c r="E79" s="131"/>
      <c r="F79" s="131"/>
      <c r="G79" s="131"/>
      <c r="H79" s="131"/>
      <c r="I79" s="131"/>
      <c r="J79" s="10"/>
      <c r="K79" s="10"/>
      <c r="L79" s="10"/>
      <c r="M79" s="11"/>
      <c r="N79" s="12"/>
      <c r="O79" s="13"/>
      <c r="P79" s="11"/>
      <c r="Q79" s="12"/>
      <c r="R79" s="13"/>
      <c r="S79" s="13"/>
      <c r="T79" s="13"/>
      <c r="U79" s="80">
        <f t="shared" si="41"/>
        <v>0</v>
      </c>
      <c r="V79" s="11"/>
      <c r="W79" s="79">
        <f t="shared" si="39"/>
        <v>0</v>
      </c>
      <c r="X79" s="80">
        <f t="shared" si="40"/>
        <v>0</v>
      </c>
    </row>
    <row r="80" spans="1:24" ht="26.4">
      <c r="A80" s="31" t="s">
        <v>173</v>
      </c>
      <c r="B80" s="35">
        <v>95545</v>
      </c>
      <c r="C80" s="36" t="s">
        <v>193</v>
      </c>
      <c r="D80" s="131"/>
      <c r="E80" s="131"/>
      <c r="F80" s="131"/>
      <c r="G80" s="131"/>
      <c r="H80" s="131"/>
      <c r="I80" s="131"/>
      <c r="J80" s="10"/>
      <c r="K80" s="10"/>
      <c r="L80" s="10"/>
      <c r="M80" s="11"/>
      <c r="N80" s="12"/>
      <c r="O80" s="13"/>
      <c r="P80" s="11"/>
      <c r="Q80" s="12"/>
      <c r="R80" s="13"/>
      <c r="S80" s="13"/>
      <c r="T80" s="13"/>
      <c r="U80" s="80">
        <f t="shared" si="41"/>
        <v>0</v>
      </c>
      <c r="V80" s="11"/>
      <c r="W80" s="79">
        <f t="shared" si="39"/>
        <v>0</v>
      </c>
      <c r="X80" s="80">
        <f t="shared" si="40"/>
        <v>0</v>
      </c>
    </row>
    <row r="81" spans="1:24" ht="39.6">
      <c r="A81" s="31" t="s">
        <v>174</v>
      </c>
      <c r="B81" s="35">
        <v>95547</v>
      </c>
      <c r="C81" s="36" t="s">
        <v>194</v>
      </c>
      <c r="D81" s="131"/>
      <c r="E81" s="131"/>
      <c r="F81" s="131"/>
      <c r="G81" s="131"/>
      <c r="H81" s="131"/>
      <c r="I81" s="131"/>
      <c r="J81" s="10"/>
      <c r="K81" s="10"/>
      <c r="L81" s="10"/>
      <c r="M81" s="11"/>
      <c r="N81" s="12"/>
      <c r="O81" s="13"/>
      <c r="P81" s="11"/>
      <c r="Q81" s="12"/>
      <c r="R81" s="13"/>
      <c r="S81" s="13"/>
      <c r="T81" s="13"/>
      <c r="U81" s="80">
        <f t="shared" si="41"/>
        <v>0</v>
      </c>
      <c r="V81" s="11"/>
      <c r="W81" s="79">
        <f t="shared" si="39"/>
        <v>0</v>
      </c>
      <c r="X81" s="80">
        <f t="shared" si="40"/>
        <v>0</v>
      </c>
    </row>
    <row r="82" spans="1:24" ht="39.6">
      <c r="A82" s="31" t="s">
        <v>175</v>
      </c>
      <c r="B82" s="35">
        <v>95547</v>
      </c>
      <c r="C82" s="36" t="s">
        <v>195</v>
      </c>
      <c r="D82" s="131"/>
      <c r="E82" s="131"/>
      <c r="F82" s="131"/>
      <c r="G82" s="131"/>
      <c r="H82" s="131"/>
      <c r="I82" s="131"/>
      <c r="J82" s="10"/>
      <c r="K82" s="10"/>
      <c r="L82" s="10"/>
      <c r="M82" s="11"/>
      <c r="N82" s="12"/>
      <c r="O82" s="13"/>
      <c r="P82" s="11"/>
      <c r="Q82" s="12"/>
      <c r="R82" s="13"/>
      <c r="S82" s="13"/>
      <c r="T82" s="13"/>
      <c r="U82" s="80">
        <f t="shared" si="41"/>
        <v>0</v>
      </c>
      <c r="V82" s="11"/>
      <c r="W82" s="79">
        <f t="shared" si="39"/>
        <v>0</v>
      </c>
      <c r="X82" s="80">
        <f t="shared" si="40"/>
        <v>0</v>
      </c>
    </row>
    <row r="83" spans="1:24" ht="39.6">
      <c r="A83" s="31" t="s">
        <v>176</v>
      </c>
      <c r="B83" s="35">
        <v>90373</v>
      </c>
      <c r="C83" s="36" t="s">
        <v>196</v>
      </c>
      <c r="D83" s="131"/>
      <c r="E83" s="131"/>
      <c r="F83" s="131"/>
      <c r="G83" s="131"/>
      <c r="H83" s="131"/>
      <c r="I83" s="131"/>
      <c r="J83" s="10"/>
      <c r="K83" s="10"/>
      <c r="L83" s="10"/>
      <c r="M83" s="11"/>
      <c r="N83" s="12"/>
      <c r="O83" s="13"/>
      <c r="P83" s="11"/>
      <c r="Q83" s="12"/>
      <c r="R83" s="13"/>
      <c r="S83" s="13"/>
      <c r="T83" s="13"/>
      <c r="U83" s="80">
        <f t="shared" si="41"/>
        <v>0</v>
      </c>
      <c r="V83" s="11"/>
      <c r="W83" s="79">
        <f t="shared" si="39"/>
        <v>0</v>
      </c>
      <c r="X83" s="80">
        <f t="shared" si="40"/>
        <v>0</v>
      </c>
    </row>
    <row r="84" spans="1:24" ht="39.6">
      <c r="A84" s="31" t="s">
        <v>177</v>
      </c>
      <c r="B84" s="35">
        <v>89985</v>
      </c>
      <c r="C84" s="36" t="s">
        <v>197</v>
      </c>
      <c r="D84" s="131"/>
      <c r="E84" s="131"/>
      <c r="F84" s="131"/>
      <c r="G84" s="131"/>
      <c r="H84" s="131"/>
      <c r="I84" s="131"/>
      <c r="J84" s="10"/>
      <c r="K84" s="10"/>
      <c r="L84" s="10"/>
      <c r="M84" s="11"/>
      <c r="N84" s="12"/>
      <c r="O84" s="13"/>
      <c r="P84" s="11"/>
      <c r="Q84" s="12"/>
      <c r="R84" s="13"/>
      <c r="S84" s="13"/>
      <c r="T84" s="13"/>
      <c r="U84" s="80">
        <f t="shared" si="41"/>
        <v>0</v>
      </c>
      <c r="V84" s="11"/>
      <c r="W84" s="79">
        <f t="shared" si="39"/>
        <v>0</v>
      </c>
      <c r="X84" s="80">
        <f t="shared" si="40"/>
        <v>0</v>
      </c>
    </row>
    <row r="85" spans="1:24" ht="26.4">
      <c r="A85" s="31" t="s">
        <v>178</v>
      </c>
      <c r="B85" s="35">
        <v>86915</v>
      </c>
      <c r="C85" s="36" t="s">
        <v>198</v>
      </c>
      <c r="D85" s="131"/>
      <c r="E85" s="131"/>
      <c r="F85" s="131"/>
      <c r="G85" s="131"/>
      <c r="H85" s="131"/>
      <c r="I85" s="131"/>
      <c r="J85" s="10"/>
      <c r="K85" s="10"/>
      <c r="L85" s="10"/>
      <c r="M85" s="11"/>
      <c r="N85" s="12"/>
      <c r="O85" s="13"/>
      <c r="P85" s="11"/>
      <c r="Q85" s="12"/>
      <c r="R85" s="13"/>
      <c r="S85" s="13"/>
      <c r="T85" s="13"/>
      <c r="U85" s="80">
        <f t="shared" si="41"/>
        <v>0</v>
      </c>
      <c r="V85" s="11"/>
      <c r="W85" s="79">
        <f t="shared" si="39"/>
        <v>0</v>
      </c>
      <c r="X85" s="80">
        <f t="shared" si="40"/>
        <v>0</v>
      </c>
    </row>
    <row r="86" spans="1:24" ht="39.6">
      <c r="A86" s="31" t="s">
        <v>179</v>
      </c>
      <c r="B86" s="35">
        <v>86911</v>
      </c>
      <c r="C86" s="36" t="s">
        <v>199</v>
      </c>
      <c r="D86" s="131"/>
      <c r="E86" s="131"/>
      <c r="F86" s="131"/>
      <c r="G86" s="131"/>
      <c r="H86" s="131"/>
      <c r="I86" s="131"/>
      <c r="J86" s="10"/>
      <c r="K86" s="10"/>
      <c r="L86" s="10"/>
      <c r="M86" s="11"/>
      <c r="N86" s="12"/>
      <c r="O86" s="13"/>
      <c r="P86" s="11"/>
      <c r="Q86" s="12"/>
      <c r="R86" s="13"/>
      <c r="S86" s="13"/>
      <c r="T86" s="13"/>
      <c r="U86" s="80">
        <f t="shared" si="41"/>
        <v>0</v>
      </c>
      <c r="V86" s="11"/>
      <c r="W86" s="79">
        <f t="shared" si="39"/>
        <v>0</v>
      </c>
      <c r="X86" s="80">
        <f t="shared" si="40"/>
        <v>0</v>
      </c>
    </row>
    <row r="87" spans="1:24" ht="26.4">
      <c r="A87" s="31" t="s">
        <v>180</v>
      </c>
      <c r="B87" s="35">
        <v>94497</v>
      </c>
      <c r="C87" s="36" t="s">
        <v>200</v>
      </c>
      <c r="D87" s="131"/>
      <c r="E87" s="131"/>
      <c r="F87" s="131"/>
      <c r="G87" s="131"/>
      <c r="H87" s="131"/>
      <c r="I87" s="131"/>
      <c r="J87" s="10"/>
      <c r="K87" s="10"/>
      <c r="L87" s="10"/>
      <c r="M87" s="11"/>
      <c r="N87" s="12"/>
      <c r="O87" s="13"/>
      <c r="P87" s="11"/>
      <c r="Q87" s="12"/>
      <c r="R87" s="13"/>
      <c r="S87" s="13"/>
      <c r="T87" s="13"/>
      <c r="U87" s="80">
        <f t="shared" si="41"/>
        <v>0</v>
      </c>
      <c r="V87" s="11"/>
      <c r="W87" s="79">
        <f t="shared" si="39"/>
        <v>0</v>
      </c>
      <c r="X87" s="80">
        <f t="shared" si="40"/>
        <v>0</v>
      </c>
    </row>
    <row r="88" spans="1:24" ht="26.4">
      <c r="A88" s="31" t="s">
        <v>181</v>
      </c>
      <c r="B88" s="35">
        <v>103039</v>
      </c>
      <c r="C88" s="36" t="s">
        <v>201</v>
      </c>
      <c r="D88" s="131"/>
      <c r="E88" s="131"/>
      <c r="F88" s="131"/>
      <c r="G88" s="131"/>
      <c r="H88" s="131"/>
      <c r="I88" s="131"/>
      <c r="J88" s="10"/>
      <c r="K88" s="10"/>
      <c r="L88" s="10"/>
      <c r="M88" s="11"/>
      <c r="N88" s="12"/>
      <c r="O88" s="13"/>
      <c r="P88" s="11"/>
      <c r="Q88" s="12"/>
      <c r="R88" s="13"/>
      <c r="S88" s="13"/>
      <c r="T88" s="13"/>
      <c r="U88" s="80">
        <f t="shared" si="41"/>
        <v>0</v>
      </c>
      <c r="V88" s="11"/>
      <c r="W88" s="79">
        <f t="shared" si="39"/>
        <v>0</v>
      </c>
      <c r="X88" s="80">
        <f t="shared" si="40"/>
        <v>0</v>
      </c>
    </row>
    <row r="89" spans="1:24" ht="66">
      <c r="A89" s="31" t="s">
        <v>182</v>
      </c>
      <c r="B89" s="35">
        <v>94782</v>
      </c>
      <c r="C89" s="49" t="s">
        <v>202</v>
      </c>
      <c r="D89" s="131"/>
      <c r="E89" s="131"/>
      <c r="F89" s="131"/>
      <c r="G89" s="131"/>
      <c r="H89" s="131"/>
      <c r="I89" s="131"/>
      <c r="J89" s="10"/>
      <c r="K89" s="10"/>
      <c r="L89" s="10"/>
      <c r="M89" s="11"/>
      <c r="N89" s="12"/>
      <c r="O89" s="13"/>
      <c r="P89" s="11"/>
      <c r="Q89" s="12"/>
      <c r="R89" s="13"/>
      <c r="S89" s="13"/>
      <c r="T89" s="13"/>
      <c r="U89" s="80">
        <f t="shared" si="41"/>
        <v>0</v>
      </c>
      <c r="V89" s="11"/>
      <c r="W89" s="79">
        <f t="shared" si="39"/>
        <v>0</v>
      </c>
      <c r="X89" s="80">
        <f t="shared" si="40"/>
        <v>0</v>
      </c>
    </row>
    <row r="90" spans="1:24" ht="26.4">
      <c r="A90" s="31" t="s">
        <v>183</v>
      </c>
      <c r="B90" s="35">
        <v>98557</v>
      </c>
      <c r="C90" s="36" t="s">
        <v>203</v>
      </c>
      <c r="D90" s="131"/>
      <c r="E90" s="131"/>
      <c r="F90" s="131"/>
      <c r="G90" s="131"/>
      <c r="H90" s="131"/>
      <c r="I90" s="131"/>
      <c r="J90" s="10"/>
      <c r="K90" s="10"/>
      <c r="L90" s="10"/>
      <c r="M90" s="11"/>
      <c r="N90" s="12"/>
      <c r="O90" s="13"/>
      <c r="P90" s="11">
        <v>1</v>
      </c>
      <c r="Q90" s="12">
        <f>TRUNC(P90*F90,2)</f>
        <v>0</v>
      </c>
      <c r="R90" s="13">
        <f>TRUNC(Q90*G90)</f>
        <v>0</v>
      </c>
      <c r="S90" s="13"/>
      <c r="T90" s="13"/>
      <c r="U90" s="80">
        <f t="shared" si="41"/>
        <v>0</v>
      </c>
      <c r="V90" s="11"/>
      <c r="W90" s="79">
        <f t="shared" si="39"/>
        <v>0</v>
      </c>
      <c r="X90" s="80">
        <f t="shared" si="40"/>
        <v>0</v>
      </c>
    </row>
    <row r="91" spans="1:24" ht="20.100000000000001" customHeight="1">
      <c r="A91" s="93">
        <v>8</v>
      </c>
      <c r="B91" s="133" t="s">
        <v>57</v>
      </c>
      <c r="C91" s="133"/>
      <c r="D91" s="133"/>
      <c r="E91" s="133"/>
      <c r="F91" s="133"/>
      <c r="G91" s="133"/>
      <c r="H91" s="133"/>
      <c r="I91" s="133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ht="26.4">
      <c r="A92" s="31" t="s">
        <v>27</v>
      </c>
      <c r="B92" s="35">
        <v>98135</v>
      </c>
      <c r="C92" s="36" t="s">
        <v>204</v>
      </c>
      <c r="D92" s="131"/>
      <c r="E92" s="131"/>
      <c r="F92" s="131"/>
      <c r="G92" s="131"/>
      <c r="H92" s="131"/>
      <c r="I92" s="131"/>
      <c r="J92" s="10"/>
      <c r="K92" s="10"/>
      <c r="L92" s="10"/>
      <c r="M92" s="11"/>
      <c r="N92" s="12"/>
      <c r="O92" s="13"/>
      <c r="P92" s="11"/>
      <c r="Q92" s="12"/>
      <c r="R92" s="13"/>
      <c r="S92" s="13"/>
      <c r="T92" s="13"/>
      <c r="U92" s="80">
        <f t="shared" si="41"/>
        <v>0</v>
      </c>
      <c r="V92" s="11"/>
      <c r="W92" s="79">
        <f t="shared" ref="W92:W97" si="42">TRUNC(V92*F92,2)</f>
        <v>0</v>
      </c>
      <c r="X92" s="80">
        <f t="shared" ref="X92:X97" si="43">TRUNC(W92*G92)+0</f>
        <v>0</v>
      </c>
    </row>
    <row r="93" spans="1:24" ht="39.6">
      <c r="A93" s="31" t="s">
        <v>28</v>
      </c>
      <c r="B93" s="35">
        <v>96129</v>
      </c>
      <c r="C93" s="36" t="s">
        <v>205</v>
      </c>
      <c r="D93" s="131"/>
      <c r="E93" s="131"/>
      <c r="F93" s="131"/>
      <c r="G93" s="131"/>
      <c r="H93" s="131"/>
      <c r="I93" s="131"/>
      <c r="J93" s="10"/>
      <c r="K93" s="10"/>
      <c r="L93" s="10"/>
      <c r="M93" s="11"/>
      <c r="N93" s="12"/>
      <c r="O93" s="13"/>
      <c r="P93" s="11"/>
      <c r="Q93" s="12"/>
      <c r="R93" s="13"/>
      <c r="S93" s="13"/>
      <c r="T93" s="13"/>
      <c r="U93" s="80">
        <f t="shared" si="41"/>
        <v>0</v>
      </c>
      <c r="V93" s="11"/>
      <c r="W93" s="79">
        <f t="shared" si="42"/>
        <v>0</v>
      </c>
      <c r="X93" s="80">
        <f t="shared" si="43"/>
        <v>0</v>
      </c>
    </row>
    <row r="94" spans="1:24" ht="26.4">
      <c r="A94" s="31" t="s">
        <v>48</v>
      </c>
      <c r="B94" s="35">
        <v>104641</v>
      </c>
      <c r="C94" s="36" t="s">
        <v>206</v>
      </c>
      <c r="D94" s="131"/>
      <c r="E94" s="131"/>
      <c r="F94" s="131"/>
      <c r="G94" s="131"/>
      <c r="H94" s="131"/>
      <c r="I94" s="131"/>
      <c r="J94" s="10"/>
      <c r="K94" s="10"/>
      <c r="L94" s="10"/>
      <c r="M94" s="11"/>
      <c r="N94" s="12"/>
      <c r="O94" s="13"/>
      <c r="P94" s="11"/>
      <c r="Q94" s="12"/>
      <c r="R94" s="13"/>
      <c r="S94" s="13"/>
      <c r="T94" s="13"/>
      <c r="U94" s="80">
        <f t="shared" si="41"/>
        <v>0</v>
      </c>
      <c r="V94" s="11"/>
      <c r="W94" s="79">
        <f t="shared" si="42"/>
        <v>0</v>
      </c>
      <c r="X94" s="80">
        <f t="shared" si="43"/>
        <v>0</v>
      </c>
    </row>
    <row r="95" spans="1:24" ht="26.4">
      <c r="A95" s="31" t="s">
        <v>49</v>
      </c>
      <c r="B95" s="32">
        <v>88415</v>
      </c>
      <c r="C95" s="36" t="s">
        <v>207</v>
      </c>
      <c r="D95" s="131"/>
      <c r="E95" s="131"/>
      <c r="F95" s="131"/>
      <c r="G95" s="131"/>
      <c r="H95" s="131"/>
      <c r="I95" s="131"/>
      <c r="J95" s="10"/>
      <c r="K95" s="10"/>
      <c r="L95" s="10"/>
      <c r="M95" s="11"/>
      <c r="N95" s="12"/>
      <c r="O95" s="13"/>
      <c r="P95" s="11"/>
      <c r="Q95" s="12"/>
      <c r="R95" s="13"/>
      <c r="S95" s="13"/>
      <c r="T95" s="13"/>
      <c r="U95" s="80">
        <f t="shared" si="41"/>
        <v>0</v>
      </c>
      <c r="V95" s="11"/>
      <c r="W95" s="79">
        <f t="shared" si="42"/>
        <v>0</v>
      </c>
      <c r="X95" s="80">
        <f t="shared" si="43"/>
        <v>0</v>
      </c>
    </row>
    <row r="96" spans="1:24" ht="26.4">
      <c r="A96" s="31" t="s">
        <v>50</v>
      </c>
      <c r="B96" s="32">
        <v>88485</v>
      </c>
      <c r="C96" s="36" t="s">
        <v>208</v>
      </c>
      <c r="D96" s="131"/>
      <c r="E96" s="131"/>
      <c r="F96" s="131"/>
      <c r="G96" s="131"/>
      <c r="H96" s="131"/>
      <c r="I96" s="131"/>
      <c r="J96" s="10"/>
      <c r="K96" s="10"/>
      <c r="L96" s="10"/>
      <c r="M96" s="11"/>
      <c r="N96" s="12"/>
      <c r="O96" s="13"/>
      <c r="P96" s="11"/>
      <c r="Q96" s="12"/>
      <c r="R96" s="13"/>
      <c r="S96" s="13"/>
      <c r="T96" s="13"/>
      <c r="U96" s="80">
        <f t="shared" si="41"/>
        <v>0</v>
      </c>
      <c r="V96" s="11"/>
      <c r="W96" s="79">
        <f t="shared" si="42"/>
        <v>0</v>
      </c>
      <c r="X96" s="80">
        <f t="shared" si="43"/>
        <v>0</v>
      </c>
    </row>
    <row r="97" spans="1:24" ht="26.4">
      <c r="A97" s="31" t="s">
        <v>51</v>
      </c>
      <c r="B97" s="35">
        <v>95306</v>
      </c>
      <c r="C97" s="36" t="s">
        <v>209</v>
      </c>
      <c r="D97" s="131"/>
      <c r="E97" s="131"/>
      <c r="F97" s="131"/>
      <c r="G97" s="131"/>
      <c r="H97" s="131"/>
      <c r="I97" s="131"/>
      <c r="J97" s="10"/>
      <c r="K97" s="10"/>
      <c r="L97" s="10"/>
      <c r="M97" s="11"/>
      <c r="N97" s="12"/>
      <c r="O97" s="13"/>
      <c r="P97" s="11"/>
      <c r="Q97" s="12"/>
      <c r="R97" s="13"/>
      <c r="S97" s="13"/>
      <c r="T97" s="13"/>
      <c r="U97" s="80">
        <f t="shared" si="41"/>
        <v>0</v>
      </c>
      <c r="V97" s="11"/>
      <c r="W97" s="79">
        <f t="shared" si="42"/>
        <v>0</v>
      </c>
      <c r="X97" s="80">
        <f t="shared" si="43"/>
        <v>0</v>
      </c>
    </row>
    <row r="98" spans="1:24" ht="20.100000000000001" customHeight="1">
      <c r="A98" s="93">
        <v>9</v>
      </c>
      <c r="B98" s="133" t="s">
        <v>210</v>
      </c>
      <c r="C98" s="133"/>
      <c r="D98" s="133"/>
      <c r="E98" s="133"/>
      <c r="F98" s="133"/>
      <c r="G98" s="133"/>
      <c r="H98" s="133"/>
      <c r="I98" s="133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ht="39.6">
      <c r="A99" s="31" t="s">
        <v>29</v>
      </c>
      <c r="B99" s="42">
        <v>101492</v>
      </c>
      <c r="C99" s="36" t="s">
        <v>220</v>
      </c>
      <c r="D99" s="131"/>
      <c r="E99" s="131"/>
      <c r="F99" s="131"/>
      <c r="G99" s="131"/>
      <c r="H99" s="131"/>
      <c r="I99" s="131"/>
      <c r="J99" s="10"/>
      <c r="K99" s="10"/>
      <c r="L99" s="10"/>
      <c r="M99" s="11"/>
      <c r="N99" s="12"/>
      <c r="O99" s="13"/>
      <c r="P99" s="11"/>
      <c r="Q99" s="12"/>
      <c r="R99" s="13"/>
      <c r="S99" s="13"/>
      <c r="T99" s="13"/>
      <c r="U99" s="80">
        <f t="shared" si="41"/>
        <v>0</v>
      </c>
      <c r="V99" s="11"/>
      <c r="W99" s="79">
        <f t="shared" ref="W99:W108" si="44">TRUNC(V99*F99,2)</f>
        <v>0</v>
      </c>
      <c r="X99" s="80">
        <f t="shared" ref="X99:X108" si="45">TRUNC(W99*G99)+0</f>
        <v>0</v>
      </c>
    </row>
    <row r="100" spans="1:24" ht="26.4">
      <c r="A100" s="31" t="s">
        <v>211</v>
      </c>
      <c r="B100" s="42">
        <v>93660</v>
      </c>
      <c r="C100" s="36" t="s">
        <v>221</v>
      </c>
      <c r="D100" s="131"/>
      <c r="E100" s="131"/>
      <c r="F100" s="131"/>
      <c r="G100" s="131"/>
      <c r="H100" s="131"/>
      <c r="I100" s="131"/>
      <c r="J100" s="10"/>
      <c r="K100" s="10"/>
      <c r="L100" s="10"/>
      <c r="M100" s="11"/>
      <c r="N100" s="12"/>
      <c r="O100" s="13"/>
      <c r="P100" s="11"/>
      <c r="Q100" s="12"/>
      <c r="R100" s="13"/>
      <c r="S100" s="13"/>
      <c r="T100" s="13"/>
      <c r="U100" s="80">
        <f t="shared" si="41"/>
        <v>0</v>
      </c>
      <c r="V100" s="11"/>
      <c r="W100" s="79">
        <f t="shared" si="44"/>
        <v>0</v>
      </c>
      <c r="X100" s="80">
        <f t="shared" si="45"/>
        <v>0</v>
      </c>
    </row>
    <row r="101" spans="1:24" ht="66">
      <c r="A101" s="31" t="s">
        <v>212</v>
      </c>
      <c r="B101" s="42">
        <v>104473</v>
      </c>
      <c r="C101" s="36" t="s">
        <v>222</v>
      </c>
      <c r="D101" s="131"/>
      <c r="E101" s="131"/>
      <c r="F101" s="131"/>
      <c r="G101" s="131"/>
      <c r="H101" s="131"/>
      <c r="I101" s="131"/>
      <c r="J101" s="10"/>
      <c r="K101" s="10"/>
      <c r="L101" s="10"/>
      <c r="M101" s="11"/>
      <c r="N101" s="12"/>
      <c r="O101" s="13"/>
      <c r="P101" s="11"/>
      <c r="Q101" s="12"/>
      <c r="R101" s="13"/>
      <c r="S101" s="13"/>
      <c r="T101" s="13"/>
      <c r="U101" s="80">
        <f t="shared" si="41"/>
        <v>0</v>
      </c>
      <c r="V101" s="11"/>
      <c r="W101" s="79">
        <f t="shared" si="44"/>
        <v>0</v>
      </c>
      <c r="X101" s="80">
        <f t="shared" si="45"/>
        <v>0</v>
      </c>
    </row>
    <row r="102" spans="1:24" ht="26.4">
      <c r="A102" s="31" t="s">
        <v>213</v>
      </c>
      <c r="B102" s="42">
        <v>93664</v>
      </c>
      <c r="C102" s="36" t="s">
        <v>223</v>
      </c>
      <c r="D102" s="131"/>
      <c r="E102" s="131"/>
      <c r="F102" s="131"/>
      <c r="G102" s="131"/>
      <c r="H102" s="131"/>
      <c r="I102" s="131"/>
      <c r="J102" s="10"/>
      <c r="K102" s="10"/>
      <c r="L102" s="10"/>
      <c r="M102" s="11"/>
      <c r="N102" s="12"/>
      <c r="O102" s="13"/>
      <c r="P102" s="11"/>
      <c r="Q102" s="12"/>
      <c r="R102" s="13"/>
      <c r="S102" s="13"/>
      <c r="T102" s="13"/>
      <c r="U102" s="80">
        <f t="shared" si="41"/>
        <v>0</v>
      </c>
      <c r="V102" s="11"/>
      <c r="W102" s="79">
        <f t="shared" si="44"/>
        <v>0</v>
      </c>
      <c r="X102" s="80">
        <f t="shared" si="45"/>
        <v>0</v>
      </c>
    </row>
    <row r="103" spans="1:24" ht="26.4">
      <c r="A103" s="31" t="s">
        <v>214</v>
      </c>
      <c r="B103" s="42">
        <v>93854</v>
      </c>
      <c r="C103" s="36" t="s">
        <v>224</v>
      </c>
      <c r="D103" s="131"/>
      <c r="E103" s="131"/>
      <c r="F103" s="131"/>
      <c r="G103" s="131"/>
      <c r="H103" s="131"/>
      <c r="I103" s="131"/>
      <c r="J103" s="10"/>
      <c r="K103" s="10"/>
      <c r="L103" s="10"/>
      <c r="M103" s="11"/>
      <c r="N103" s="12"/>
      <c r="O103" s="13"/>
      <c r="P103" s="11"/>
      <c r="Q103" s="12"/>
      <c r="R103" s="13"/>
      <c r="S103" s="13"/>
      <c r="T103" s="13"/>
      <c r="U103" s="80">
        <f t="shared" si="41"/>
        <v>0</v>
      </c>
      <c r="V103" s="11"/>
      <c r="W103" s="79">
        <f t="shared" si="44"/>
        <v>0</v>
      </c>
      <c r="X103" s="80">
        <f t="shared" si="45"/>
        <v>0</v>
      </c>
    </row>
    <row r="104" spans="1:24" ht="66">
      <c r="A104" s="31" t="s">
        <v>215</v>
      </c>
      <c r="B104" s="42">
        <v>104478</v>
      </c>
      <c r="C104" s="36" t="s">
        <v>225</v>
      </c>
      <c r="D104" s="131"/>
      <c r="E104" s="131"/>
      <c r="F104" s="131"/>
      <c r="G104" s="131"/>
      <c r="H104" s="131"/>
      <c r="I104" s="131"/>
      <c r="J104" s="10"/>
      <c r="K104" s="10"/>
      <c r="L104" s="10"/>
      <c r="M104" s="11"/>
      <c r="N104" s="12"/>
      <c r="O104" s="13"/>
      <c r="P104" s="11"/>
      <c r="Q104" s="12"/>
      <c r="R104" s="13"/>
      <c r="S104" s="13"/>
      <c r="T104" s="13"/>
      <c r="U104" s="80">
        <f t="shared" si="41"/>
        <v>0</v>
      </c>
      <c r="V104" s="11"/>
      <c r="W104" s="79">
        <f t="shared" si="44"/>
        <v>0</v>
      </c>
      <c r="X104" s="80">
        <f t="shared" si="45"/>
        <v>0</v>
      </c>
    </row>
    <row r="105" spans="1:24" ht="66">
      <c r="A105" s="31" t="s">
        <v>216</v>
      </c>
      <c r="B105" s="42">
        <v>104475</v>
      </c>
      <c r="C105" s="36" t="s">
        <v>226</v>
      </c>
      <c r="D105" s="131"/>
      <c r="E105" s="131"/>
      <c r="F105" s="131"/>
      <c r="G105" s="131"/>
      <c r="H105" s="131"/>
      <c r="I105" s="131"/>
      <c r="J105" s="10"/>
      <c r="K105" s="10"/>
      <c r="L105" s="10"/>
      <c r="M105" s="11"/>
      <c r="N105" s="12"/>
      <c r="O105" s="13"/>
      <c r="P105" s="11"/>
      <c r="Q105" s="12"/>
      <c r="R105" s="13"/>
      <c r="S105" s="13"/>
      <c r="T105" s="13"/>
      <c r="U105" s="80">
        <f t="shared" si="41"/>
        <v>0</v>
      </c>
      <c r="V105" s="11"/>
      <c r="W105" s="79">
        <f t="shared" si="44"/>
        <v>0</v>
      </c>
      <c r="X105" s="80">
        <f t="shared" si="45"/>
        <v>0</v>
      </c>
    </row>
    <row r="106" spans="1:24" ht="39.6">
      <c r="A106" s="31" t="s">
        <v>217</v>
      </c>
      <c r="B106" s="42">
        <v>97589</v>
      </c>
      <c r="C106" s="36" t="s">
        <v>227</v>
      </c>
      <c r="D106" s="131"/>
      <c r="E106" s="131"/>
      <c r="F106" s="131"/>
      <c r="G106" s="131"/>
      <c r="H106" s="131"/>
      <c r="I106" s="131"/>
      <c r="J106" s="10"/>
      <c r="K106" s="10"/>
      <c r="L106" s="10"/>
      <c r="M106" s="11"/>
      <c r="N106" s="12"/>
      <c r="O106" s="13"/>
      <c r="P106" s="11"/>
      <c r="Q106" s="12"/>
      <c r="R106" s="13"/>
      <c r="S106" s="13"/>
      <c r="T106" s="13"/>
      <c r="U106" s="80">
        <f t="shared" si="41"/>
        <v>0</v>
      </c>
      <c r="V106" s="11"/>
      <c r="W106" s="79">
        <f t="shared" si="44"/>
        <v>0</v>
      </c>
      <c r="X106" s="80">
        <f t="shared" si="45"/>
        <v>0</v>
      </c>
    </row>
    <row r="107" spans="1:24" ht="39.6">
      <c r="A107" s="31" t="s">
        <v>218</v>
      </c>
      <c r="B107" s="42">
        <v>101560</v>
      </c>
      <c r="C107" s="36" t="s">
        <v>228</v>
      </c>
      <c r="D107" s="131"/>
      <c r="E107" s="131"/>
      <c r="F107" s="131"/>
      <c r="G107" s="131"/>
      <c r="H107" s="131"/>
      <c r="I107" s="131"/>
      <c r="J107" s="10"/>
      <c r="K107" s="10"/>
      <c r="L107" s="10"/>
      <c r="M107" s="11"/>
      <c r="N107" s="12"/>
      <c r="O107" s="13"/>
      <c r="P107" s="11"/>
      <c r="Q107" s="12"/>
      <c r="R107" s="13"/>
      <c r="S107" s="13"/>
      <c r="T107" s="13"/>
      <c r="U107" s="80">
        <f t="shared" si="41"/>
        <v>0</v>
      </c>
      <c r="V107" s="11"/>
      <c r="W107" s="79">
        <f t="shared" si="44"/>
        <v>0</v>
      </c>
      <c r="X107" s="80">
        <f t="shared" si="45"/>
        <v>0</v>
      </c>
    </row>
    <row r="108" spans="1:24" ht="26.4">
      <c r="A108" s="31" t="s">
        <v>219</v>
      </c>
      <c r="B108" s="42">
        <v>7996</v>
      </c>
      <c r="C108" s="36" t="s">
        <v>229</v>
      </c>
      <c r="D108" s="131"/>
      <c r="E108" s="131"/>
      <c r="F108" s="131"/>
      <c r="G108" s="131"/>
      <c r="H108" s="131"/>
      <c r="I108" s="131"/>
      <c r="J108" s="10"/>
      <c r="K108" s="10"/>
      <c r="L108" s="10"/>
      <c r="M108" s="11"/>
      <c r="N108" s="12"/>
      <c r="O108" s="13"/>
      <c r="P108" s="11"/>
      <c r="Q108" s="12"/>
      <c r="R108" s="13"/>
      <c r="S108" s="13"/>
      <c r="T108" s="13"/>
      <c r="U108" s="80">
        <f t="shared" si="41"/>
        <v>0</v>
      </c>
      <c r="V108" s="11"/>
      <c r="W108" s="79">
        <f t="shared" si="44"/>
        <v>0</v>
      </c>
      <c r="X108" s="80">
        <f t="shared" si="45"/>
        <v>0</v>
      </c>
    </row>
    <row r="109" spans="1:24" ht="20.100000000000001" customHeight="1">
      <c r="A109" s="93">
        <v>10</v>
      </c>
      <c r="B109" s="133" t="s">
        <v>230</v>
      </c>
      <c r="C109" s="133"/>
      <c r="D109" s="133"/>
      <c r="E109" s="133"/>
      <c r="F109" s="133"/>
      <c r="G109" s="133"/>
      <c r="H109" s="133"/>
      <c r="I109" s="133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ht="39.6">
      <c r="A110" s="31" t="s">
        <v>30</v>
      </c>
      <c r="B110" s="42">
        <v>103244</v>
      </c>
      <c r="C110" s="31" t="s">
        <v>231</v>
      </c>
      <c r="D110" s="131"/>
      <c r="E110" s="131"/>
      <c r="F110" s="131"/>
      <c r="G110" s="131"/>
      <c r="H110" s="131"/>
      <c r="I110" s="131"/>
      <c r="J110" s="10"/>
      <c r="K110" s="10"/>
      <c r="L110" s="10"/>
      <c r="M110" s="11"/>
      <c r="N110" s="12"/>
      <c r="O110" s="13"/>
      <c r="P110" s="11"/>
      <c r="Q110" s="12"/>
      <c r="R110" s="13"/>
      <c r="S110" s="13"/>
      <c r="T110" s="13"/>
      <c r="U110" s="80">
        <f t="shared" si="41"/>
        <v>0</v>
      </c>
      <c r="V110" s="11"/>
      <c r="W110" s="79">
        <f t="shared" ref="W110:W111" si="46">TRUNC(V110*F110,2)</f>
        <v>0</v>
      </c>
      <c r="X110" s="80">
        <f t="shared" ref="X110:X111" si="47">TRUNC(W110*G110)+0</f>
        <v>0</v>
      </c>
    </row>
    <row r="111" spans="1:24" ht="26.4">
      <c r="A111" s="31" t="s">
        <v>31</v>
      </c>
      <c r="B111" s="56" t="s">
        <v>232</v>
      </c>
      <c r="C111" s="36" t="s">
        <v>233</v>
      </c>
      <c r="D111" s="139" t="s">
        <v>280</v>
      </c>
      <c r="E111" s="139"/>
      <c r="F111" s="139"/>
      <c r="G111" s="139"/>
      <c r="H111" s="139"/>
      <c r="I111" s="139"/>
      <c r="J111" s="10"/>
      <c r="K111" s="10"/>
      <c r="L111" s="10"/>
      <c r="M111" s="11"/>
      <c r="N111" s="12"/>
      <c r="O111" s="13"/>
      <c r="P111" s="11"/>
      <c r="Q111" s="12"/>
      <c r="R111" s="13"/>
      <c r="S111" s="13"/>
      <c r="T111" s="13"/>
      <c r="U111" s="80">
        <f t="shared" si="41"/>
        <v>0</v>
      </c>
      <c r="V111" s="11"/>
      <c r="W111" s="79">
        <f t="shared" si="46"/>
        <v>0</v>
      </c>
      <c r="X111" s="80">
        <f t="shared" si="47"/>
        <v>0</v>
      </c>
    </row>
    <row r="112" spans="1:24" ht="20.100000000000001" customHeight="1">
      <c r="A112" s="93">
        <v>11</v>
      </c>
      <c r="B112" s="133" t="s">
        <v>234</v>
      </c>
      <c r="C112" s="133"/>
      <c r="D112" s="133"/>
      <c r="E112" s="133"/>
      <c r="F112" s="133"/>
      <c r="G112" s="133"/>
      <c r="H112" s="133"/>
      <c r="I112" s="133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35" ht="39.6">
      <c r="A113" s="31" t="s">
        <v>52</v>
      </c>
      <c r="B113" s="35">
        <v>90823</v>
      </c>
      <c r="C113" s="36" t="s">
        <v>241</v>
      </c>
      <c r="D113" s="131"/>
      <c r="E113" s="131"/>
      <c r="F113" s="131"/>
      <c r="G113" s="131"/>
      <c r="H113" s="131"/>
      <c r="I113" s="131"/>
      <c r="J113" s="11"/>
      <c r="K113" s="12"/>
      <c r="L113" s="13"/>
      <c r="M113" s="11"/>
      <c r="N113" s="12"/>
      <c r="O113" s="13"/>
      <c r="P113" s="11"/>
      <c r="Q113" s="12"/>
      <c r="R113" s="13"/>
      <c r="S113" s="13"/>
      <c r="T113" s="13"/>
      <c r="U113" s="80">
        <f t="shared" si="41"/>
        <v>0</v>
      </c>
      <c r="V113" s="11"/>
      <c r="W113" s="79">
        <f t="shared" ref="W113:W120" si="48">TRUNC(V113*F113,2)</f>
        <v>0</v>
      </c>
      <c r="X113" s="80">
        <f t="shared" ref="X113:X120" si="49">TRUNC(W113*G113)+0</f>
        <v>0</v>
      </c>
    </row>
    <row r="114" spans="1:35" ht="52.8">
      <c r="A114" s="31" t="s">
        <v>53</v>
      </c>
      <c r="B114" s="32">
        <v>94570</v>
      </c>
      <c r="C114" s="36" t="s">
        <v>242</v>
      </c>
      <c r="D114" s="131"/>
      <c r="E114" s="131"/>
      <c r="F114" s="131"/>
      <c r="G114" s="131"/>
      <c r="H114" s="131"/>
      <c r="I114" s="131"/>
      <c r="J114" s="10"/>
      <c r="K114" s="10"/>
      <c r="L114" s="10"/>
      <c r="M114" s="11"/>
      <c r="N114" s="12"/>
      <c r="O114" s="13"/>
      <c r="P114" s="11"/>
      <c r="Q114" s="12"/>
      <c r="R114" s="13"/>
      <c r="S114" s="13"/>
      <c r="T114" s="13"/>
      <c r="U114" s="80">
        <f t="shared" si="41"/>
        <v>0</v>
      </c>
      <c r="V114" s="11"/>
      <c r="W114" s="79">
        <f t="shared" si="48"/>
        <v>0</v>
      </c>
      <c r="X114" s="80">
        <f t="shared" si="49"/>
        <v>0</v>
      </c>
    </row>
    <row r="115" spans="1:35" ht="39.6">
      <c r="A115" s="31" t="s">
        <v>54</v>
      </c>
      <c r="B115" s="35">
        <v>102185</v>
      </c>
      <c r="C115" s="36" t="s">
        <v>243</v>
      </c>
      <c r="D115" s="131"/>
      <c r="E115" s="131"/>
      <c r="F115" s="131"/>
      <c r="G115" s="131"/>
      <c r="H115" s="131"/>
      <c r="I115" s="131"/>
      <c r="J115" s="10"/>
      <c r="K115" s="10"/>
      <c r="L115" s="10"/>
      <c r="M115" s="11"/>
      <c r="N115" s="12"/>
      <c r="O115" s="13"/>
      <c r="P115" s="11"/>
      <c r="Q115" s="12"/>
      <c r="R115" s="13"/>
      <c r="S115" s="13"/>
      <c r="T115" s="13"/>
      <c r="U115" s="80">
        <f t="shared" si="41"/>
        <v>0</v>
      </c>
      <c r="V115" s="11"/>
      <c r="W115" s="79">
        <f t="shared" si="48"/>
        <v>0</v>
      </c>
      <c r="X115" s="80">
        <f t="shared" si="49"/>
        <v>0</v>
      </c>
    </row>
    <row r="116" spans="1:35" ht="39.6">
      <c r="A116" s="31" t="s">
        <v>236</v>
      </c>
      <c r="B116" s="35">
        <v>102184</v>
      </c>
      <c r="C116" s="36" t="s">
        <v>244</v>
      </c>
      <c r="D116" s="131"/>
      <c r="E116" s="131"/>
      <c r="F116" s="131"/>
      <c r="G116" s="131"/>
      <c r="H116" s="131"/>
      <c r="I116" s="131"/>
      <c r="J116" s="10"/>
      <c r="K116" s="10"/>
      <c r="L116" s="10"/>
      <c r="M116" s="11"/>
      <c r="N116" s="12"/>
      <c r="O116" s="13"/>
      <c r="P116" s="11"/>
      <c r="Q116" s="12"/>
      <c r="R116" s="13"/>
      <c r="S116" s="13"/>
      <c r="T116" s="13"/>
      <c r="U116" s="80">
        <f t="shared" si="41"/>
        <v>0</v>
      </c>
      <c r="V116" s="11"/>
      <c r="W116" s="79">
        <f t="shared" si="48"/>
        <v>0</v>
      </c>
      <c r="X116" s="80">
        <f t="shared" si="49"/>
        <v>0</v>
      </c>
    </row>
    <row r="117" spans="1:35" ht="39.6">
      <c r="A117" s="31" t="s">
        <v>237</v>
      </c>
      <c r="B117" s="35">
        <v>91338</v>
      </c>
      <c r="C117" s="36" t="s">
        <v>245</v>
      </c>
      <c r="D117" s="131"/>
      <c r="E117" s="131"/>
      <c r="F117" s="131"/>
      <c r="G117" s="131"/>
      <c r="H117" s="131"/>
      <c r="I117" s="131"/>
      <c r="J117" s="10"/>
      <c r="K117" s="10"/>
      <c r="L117" s="10"/>
      <c r="M117" s="11"/>
      <c r="N117" s="12"/>
      <c r="O117" s="13"/>
      <c r="P117" s="11"/>
      <c r="Q117" s="12"/>
      <c r="R117" s="13"/>
      <c r="S117" s="13"/>
      <c r="T117" s="13"/>
      <c r="U117" s="80">
        <f t="shared" si="41"/>
        <v>0</v>
      </c>
      <c r="V117" s="11"/>
      <c r="W117" s="79">
        <f t="shared" si="48"/>
        <v>0</v>
      </c>
      <c r="X117" s="80">
        <f t="shared" si="49"/>
        <v>0</v>
      </c>
    </row>
    <row r="118" spans="1:35" ht="52.8">
      <c r="A118" s="31" t="s">
        <v>238</v>
      </c>
      <c r="B118" s="35">
        <v>94559</v>
      </c>
      <c r="C118" s="36" t="s">
        <v>246</v>
      </c>
      <c r="D118" s="131"/>
      <c r="E118" s="131"/>
      <c r="F118" s="131"/>
      <c r="G118" s="131"/>
      <c r="H118" s="131"/>
      <c r="I118" s="131"/>
      <c r="J118" s="10"/>
      <c r="K118" s="10"/>
      <c r="L118" s="10"/>
      <c r="M118" s="11"/>
      <c r="N118" s="12"/>
      <c r="O118" s="13"/>
      <c r="P118" s="11"/>
      <c r="Q118" s="12"/>
      <c r="R118" s="13"/>
      <c r="S118" s="13"/>
      <c r="T118" s="13"/>
      <c r="U118" s="80">
        <f t="shared" si="41"/>
        <v>0</v>
      </c>
      <c r="V118" s="11"/>
      <c r="W118" s="79">
        <f t="shared" si="48"/>
        <v>0</v>
      </c>
      <c r="X118" s="80">
        <f t="shared" si="49"/>
        <v>0</v>
      </c>
    </row>
    <row r="119" spans="1:35" ht="52.8">
      <c r="A119" s="31" t="s">
        <v>239</v>
      </c>
      <c r="B119" s="35">
        <v>94562</v>
      </c>
      <c r="C119" s="36" t="s">
        <v>247</v>
      </c>
      <c r="D119" s="131"/>
      <c r="E119" s="131"/>
      <c r="F119" s="131"/>
      <c r="G119" s="131"/>
      <c r="H119" s="131"/>
      <c r="I119" s="131"/>
      <c r="J119" s="10"/>
      <c r="K119" s="10"/>
      <c r="L119" s="10"/>
      <c r="M119" s="11"/>
      <c r="N119" s="12"/>
      <c r="O119" s="13"/>
      <c r="P119" s="11"/>
      <c r="Q119" s="12"/>
      <c r="R119" s="13"/>
      <c r="S119" s="13"/>
      <c r="T119" s="13"/>
      <c r="U119" s="80">
        <f t="shared" si="41"/>
        <v>0</v>
      </c>
      <c r="V119" s="11"/>
      <c r="W119" s="79">
        <f t="shared" si="48"/>
        <v>0</v>
      </c>
      <c r="X119" s="80">
        <f t="shared" si="49"/>
        <v>0</v>
      </c>
    </row>
    <row r="120" spans="1:35" ht="26.4">
      <c r="A120" s="31" t="s">
        <v>240</v>
      </c>
      <c r="B120" s="35">
        <v>102170</v>
      </c>
      <c r="C120" s="36" t="s">
        <v>248</v>
      </c>
      <c r="D120" s="131"/>
      <c r="E120" s="131"/>
      <c r="F120" s="131"/>
      <c r="G120" s="131"/>
      <c r="H120" s="131"/>
      <c r="I120" s="131"/>
      <c r="J120" s="10"/>
      <c r="K120" s="10"/>
      <c r="L120" s="10"/>
      <c r="M120" s="11"/>
      <c r="N120" s="12"/>
      <c r="O120" s="13"/>
      <c r="P120" s="11"/>
      <c r="Q120" s="12"/>
      <c r="R120" s="13"/>
      <c r="S120" s="13"/>
      <c r="T120" s="13"/>
      <c r="U120" s="80">
        <f t="shared" si="41"/>
        <v>0</v>
      </c>
      <c r="V120" s="11"/>
      <c r="W120" s="79">
        <f t="shared" si="48"/>
        <v>0</v>
      </c>
      <c r="X120" s="80">
        <f t="shared" si="49"/>
        <v>0</v>
      </c>
    </row>
    <row r="121" spans="1:35" ht="20.100000000000001" customHeight="1">
      <c r="A121" s="93">
        <v>12</v>
      </c>
      <c r="B121" s="133" t="s">
        <v>21</v>
      </c>
      <c r="C121" s="133"/>
      <c r="D121" s="133"/>
      <c r="E121" s="133"/>
      <c r="F121" s="133"/>
      <c r="G121" s="133"/>
      <c r="H121" s="133"/>
      <c r="I121" s="133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35" ht="52.8">
      <c r="A122" s="31" t="s">
        <v>55</v>
      </c>
      <c r="B122" s="42">
        <v>104816</v>
      </c>
      <c r="C122" s="36" t="s">
        <v>249</v>
      </c>
      <c r="D122" s="138" t="s">
        <v>284</v>
      </c>
      <c r="E122" s="138"/>
      <c r="F122" s="138"/>
      <c r="G122" s="138"/>
      <c r="H122" s="138"/>
      <c r="I122" s="138"/>
      <c r="J122" s="10"/>
      <c r="K122" s="10"/>
      <c r="L122" s="10"/>
      <c r="M122" s="11"/>
      <c r="N122" s="12"/>
      <c r="O122" s="13"/>
      <c r="P122" s="11"/>
      <c r="Q122" s="12"/>
      <c r="R122" s="13"/>
      <c r="S122" s="13"/>
      <c r="T122" s="13"/>
      <c r="U122" s="80">
        <f t="shared" si="41"/>
        <v>0</v>
      </c>
      <c r="V122" s="27"/>
      <c r="W122" s="79">
        <f t="shared" ref="W122" si="50">TRUNC(V122*F122,2)</f>
        <v>0</v>
      </c>
      <c r="X122" s="80">
        <f t="shared" ref="X122" si="51">TRUNC(W122*G122)+0</f>
        <v>0</v>
      </c>
    </row>
    <row r="123" spans="1:35" ht="20.100000000000001" customHeight="1">
      <c r="A123" s="93">
        <v>13</v>
      </c>
      <c r="B123" s="133" t="s">
        <v>235</v>
      </c>
      <c r="C123" s="133"/>
      <c r="D123" s="133"/>
      <c r="E123" s="133"/>
      <c r="F123" s="133"/>
      <c r="G123" s="133"/>
      <c r="H123" s="133"/>
      <c r="I123" s="133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35" ht="23.25" customHeight="1">
      <c r="A124" s="31" t="s">
        <v>56</v>
      </c>
      <c r="B124" s="35">
        <v>2450</v>
      </c>
      <c r="C124" s="96" t="s">
        <v>250</v>
      </c>
      <c r="D124" s="131"/>
      <c r="E124" s="131"/>
      <c r="F124" s="131"/>
      <c r="G124" s="131"/>
      <c r="H124" s="131"/>
      <c r="I124" s="131"/>
      <c r="J124" s="10"/>
      <c r="K124" s="10"/>
      <c r="L124" s="92"/>
      <c r="M124" s="11"/>
      <c r="N124" s="12"/>
      <c r="O124" s="13"/>
      <c r="P124" s="11"/>
      <c r="Q124" s="12"/>
      <c r="R124" s="13"/>
      <c r="S124" s="13"/>
      <c r="T124" s="13"/>
      <c r="U124" s="80"/>
      <c r="V124" s="11"/>
      <c r="W124" s="79">
        <f t="shared" ref="W124" si="52">TRUNC(V124*F124,2)</f>
        <v>0</v>
      </c>
      <c r="X124" s="80"/>
    </row>
    <row r="125" spans="1:35" ht="60" customHeight="1">
      <c r="A125" s="108" t="s">
        <v>262</v>
      </c>
      <c r="B125" s="109"/>
      <c r="C125" s="110"/>
      <c r="D125" s="108" t="s">
        <v>36</v>
      </c>
      <c r="E125" s="109"/>
      <c r="F125" s="109"/>
      <c r="G125" s="109"/>
      <c r="H125" s="109"/>
      <c r="I125" s="110"/>
      <c r="J125" s="107" t="s">
        <v>277</v>
      </c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</row>
    <row r="126" spans="1:35" s="72" customFormat="1" ht="60" customHeight="1">
      <c r="A126" s="111"/>
      <c r="B126" s="112"/>
      <c r="C126" s="113"/>
      <c r="D126" s="111"/>
      <c r="E126" s="112"/>
      <c r="F126" s="112"/>
      <c r="G126" s="112"/>
      <c r="H126" s="112"/>
      <c r="I126" s="113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</row>
    <row r="127" spans="1:35" s="72" customFormat="1" ht="70.05" customHeight="1">
      <c r="A127" s="111"/>
      <c r="B127" s="112"/>
      <c r="C127" s="113"/>
      <c r="D127" s="111"/>
      <c r="E127" s="112"/>
      <c r="F127" s="112"/>
      <c r="G127" s="112"/>
      <c r="H127" s="112"/>
      <c r="I127" s="113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</row>
    <row r="128" spans="1:35" s="72" customFormat="1">
      <c r="A128" s="114"/>
      <c r="B128" s="115"/>
      <c r="C128" s="116"/>
      <c r="D128" s="114"/>
      <c r="E128" s="115"/>
      <c r="F128" s="115"/>
      <c r="G128" s="115"/>
      <c r="H128" s="115"/>
      <c r="I128" s="116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</row>
    <row r="130" spans="1:35" s="72" customForma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91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</row>
    <row r="131" spans="1:35" s="72" customFormat="1">
      <c r="A131" s="16"/>
      <c r="B131" s="16"/>
      <c r="C131" s="18"/>
      <c r="D131" s="16"/>
      <c r="E131" s="18"/>
      <c r="F131" s="16"/>
      <c r="G131" s="16"/>
      <c r="H131" s="19"/>
      <c r="I131" s="16"/>
      <c r="J131" s="18"/>
      <c r="K131" s="16"/>
      <c r="L131" s="16"/>
      <c r="M131" s="18"/>
      <c r="N131" s="16"/>
      <c r="O131" s="16"/>
      <c r="P131" s="18"/>
      <c r="Q131" s="16"/>
      <c r="R131" s="16"/>
      <c r="S131" s="16"/>
      <c r="T131" s="16"/>
      <c r="U131" s="16"/>
      <c r="V131" s="18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</row>
    <row r="132" spans="1:35" s="72" customFormat="1">
      <c r="A132" s="16"/>
      <c r="B132" s="16"/>
      <c r="C132" s="16"/>
      <c r="D132" s="16"/>
      <c r="E132" s="16"/>
      <c r="F132" s="16"/>
      <c r="G132" s="16"/>
      <c r="H132" s="16">
        <v>0.25</v>
      </c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</row>
    <row r="133" spans="1:35" s="72" customFormat="1">
      <c r="A133" s="16"/>
      <c r="B133" s="16"/>
      <c r="C133" s="16"/>
      <c r="D133" s="16"/>
      <c r="E133" s="16"/>
      <c r="F133" s="16"/>
      <c r="G133" s="16"/>
      <c r="H133" s="19" t="e">
        <f>#REF!*H132</f>
        <v>#REF!</v>
      </c>
      <c r="I133" s="16"/>
      <c r="J133" s="16"/>
      <c r="K133" s="16"/>
      <c r="L133" s="16"/>
      <c r="M133" s="19">
        <v>1451015.78</v>
      </c>
      <c r="N133" s="16" t="s">
        <v>266</v>
      </c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</row>
    <row r="134" spans="1:35" s="72" customFormat="1">
      <c r="A134" s="16"/>
      <c r="B134" s="16"/>
      <c r="C134" s="16"/>
      <c r="D134" s="16"/>
      <c r="E134" s="16"/>
      <c r="F134" s="16"/>
      <c r="G134" s="16"/>
      <c r="H134" s="20">
        <f>H38</f>
        <v>0</v>
      </c>
      <c r="I134" s="16" t="s">
        <v>263</v>
      </c>
      <c r="J134" s="16"/>
      <c r="K134" s="16"/>
      <c r="L134" s="16"/>
      <c r="M134" s="19" t="e">
        <f>#REF!</f>
        <v>#REF!</v>
      </c>
      <c r="N134" s="16" t="s">
        <v>267</v>
      </c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</row>
    <row r="135" spans="1:35" s="72" customFormat="1">
      <c r="A135" s="16"/>
      <c r="B135" s="16"/>
      <c r="C135" s="16"/>
      <c r="D135" s="16"/>
      <c r="E135" s="16"/>
      <c r="F135" s="16"/>
      <c r="G135" s="16"/>
      <c r="H135" s="19" t="e">
        <f>H133+H134</f>
        <v>#REF!</v>
      </c>
      <c r="I135" s="16" t="s">
        <v>270</v>
      </c>
      <c r="J135" s="16"/>
      <c r="K135" s="16"/>
      <c r="L135" s="16"/>
      <c r="M135" s="66" t="e">
        <f>1-(M134/M133)</f>
        <v>#REF!</v>
      </c>
      <c r="N135" s="16" t="s">
        <v>268</v>
      </c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</row>
    <row r="136" spans="1:35" s="72" customFormat="1">
      <c r="A136" s="16"/>
      <c r="B136" s="16"/>
      <c r="C136" s="16"/>
      <c r="D136" s="16"/>
      <c r="E136" s="16"/>
      <c r="F136" s="16"/>
      <c r="G136" s="16"/>
      <c r="H136" s="19">
        <v>111698.96</v>
      </c>
      <c r="I136" s="16" t="s">
        <v>264</v>
      </c>
      <c r="J136" s="16" t="s">
        <v>264</v>
      </c>
      <c r="K136" s="16" t="s">
        <v>264</v>
      </c>
      <c r="L136" s="16" t="s">
        <v>264</v>
      </c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</row>
    <row r="137" spans="1:35" s="72" customFormat="1">
      <c r="A137" s="16"/>
      <c r="B137" s="16"/>
      <c r="C137" s="16"/>
      <c r="D137" s="16"/>
      <c r="E137" s="16"/>
      <c r="F137" s="16"/>
      <c r="G137" s="16"/>
      <c r="H137" s="19" t="e">
        <f>H136*(100%-M135)</f>
        <v>#REF!</v>
      </c>
      <c r="I137" s="16" t="s">
        <v>269</v>
      </c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</row>
    <row r="138" spans="1:35" s="72" customFormat="1">
      <c r="A138" s="16"/>
      <c r="B138" s="16"/>
      <c r="C138" s="16"/>
      <c r="D138" s="16"/>
      <c r="E138" s="16"/>
      <c r="F138" s="16"/>
      <c r="G138" s="16"/>
      <c r="H138" s="19" t="e">
        <f>H135-H137</f>
        <v>#REF!</v>
      </c>
      <c r="I138" s="16" t="s">
        <v>265</v>
      </c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</row>
    <row r="139" spans="1:35" s="72" customFormat="1">
      <c r="A139" s="16"/>
      <c r="B139" s="16"/>
      <c r="C139" s="16"/>
      <c r="D139" s="16"/>
      <c r="E139" s="16"/>
      <c r="F139" s="16"/>
      <c r="G139" s="16"/>
      <c r="H139" s="19">
        <v>1451015.78</v>
      </c>
      <c r="I139" s="16" t="s">
        <v>271</v>
      </c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9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</row>
    <row r="140" spans="1:35" s="72" customFormat="1">
      <c r="A140" s="16"/>
      <c r="B140" s="16"/>
      <c r="C140" s="16"/>
      <c r="D140" s="16"/>
      <c r="E140" s="16"/>
      <c r="F140" s="16"/>
      <c r="G140" s="16"/>
      <c r="H140" s="66" t="e">
        <f>1-(#REF!/H139)</f>
        <v>#REF!</v>
      </c>
      <c r="I140" s="16" t="s">
        <v>272</v>
      </c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</row>
  </sheetData>
  <mergeCells count="149">
    <mergeCell ref="D117:I117"/>
    <mergeCell ref="D118:I118"/>
    <mergeCell ref="D119:I119"/>
    <mergeCell ref="D120:I120"/>
    <mergeCell ref="B121:I121"/>
    <mergeCell ref="D122:I122"/>
    <mergeCell ref="D111:I111"/>
    <mergeCell ref="B112:I112"/>
    <mergeCell ref="D113:I113"/>
    <mergeCell ref="D114:I114"/>
    <mergeCell ref="D115:I115"/>
    <mergeCell ref="D116:I116"/>
    <mergeCell ref="D105:I105"/>
    <mergeCell ref="D106:I106"/>
    <mergeCell ref="D107:I107"/>
    <mergeCell ref="D108:I108"/>
    <mergeCell ref="B109:I109"/>
    <mergeCell ref="D110:I110"/>
    <mergeCell ref="D99:I99"/>
    <mergeCell ref="D100:I100"/>
    <mergeCell ref="D101:I101"/>
    <mergeCell ref="D102:I102"/>
    <mergeCell ref="D103:I103"/>
    <mergeCell ref="D104:I104"/>
    <mergeCell ref="D93:I93"/>
    <mergeCell ref="D94:I94"/>
    <mergeCell ref="D95:I95"/>
    <mergeCell ref="D96:I96"/>
    <mergeCell ref="D97:I97"/>
    <mergeCell ref="B98:I98"/>
    <mergeCell ref="D87:I87"/>
    <mergeCell ref="D88:I88"/>
    <mergeCell ref="D89:I89"/>
    <mergeCell ref="D90:I90"/>
    <mergeCell ref="B91:I91"/>
    <mergeCell ref="D92:I92"/>
    <mergeCell ref="D81:I81"/>
    <mergeCell ref="D82:I82"/>
    <mergeCell ref="D83:I83"/>
    <mergeCell ref="D84:I84"/>
    <mergeCell ref="D85:I85"/>
    <mergeCell ref="D86:I86"/>
    <mergeCell ref="D75:I75"/>
    <mergeCell ref="D76:I76"/>
    <mergeCell ref="D77:I77"/>
    <mergeCell ref="D78:I78"/>
    <mergeCell ref="D79:I79"/>
    <mergeCell ref="D80:I80"/>
    <mergeCell ref="D69:I69"/>
    <mergeCell ref="D70:I70"/>
    <mergeCell ref="B71:I71"/>
    <mergeCell ref="D72:I72"/>
    <mergeCell ref="D73:I73"/>
    <mergeCell ref="D74:I74"/>
    <mergeCell ref="D63:I63"/>
    <mergeCell ref="D64:I64"/>
    <mergeCell ref="D65:I65"/>
    <mergeCell ref="D66:I66"/>
    <mergeCell ref="D67:I67"/>
    <mergeCell ref="D68:I68"/>
    <mergeCell ref="D53:I53"/>
    <mergeCell ref="D54:I54"/>
    <mergeCell ref="B55:I55"/>
    <mergeCell ref="B56:I56"/>
    <mergeCell ref="D57:I57"/>
    <mergeCell ref="D58:I58"/>
    <mergeCell ref="B47:I47"/>
    <mergeCell ref="D48:I48"/>
    <mergeCell ref="D49:I49"/>
    <mergeCell ref="D50:I50"/>
    <mergeCell ref="D51:I51"/>
    <mergeCell ref="B52:I52"/>
    <mergeCell ref="D40:I40"/>
    <mergeCell ref="D41:I41"/>
    <mergeCell ref="D42:I42"/>
    <mergeCell ref="D43:I43"/>
    <mergeCell ref="D44:I44"/>
    <mergeCell ref="D46:I46"/>
    <mergeCell ref="B45:I45"/>
    <mergeCell ref="D34:I34"/>
    <mergeCell ref="D35:I35"/>
    <mergeCell ref="D37:I37"/>
    <mergeCell ref="D36:I36"/>
    <mergeCell ref="B38:I38"/>
    <mergeCell ref="D39:I39"/>
    <mergeCell ref="D24:I24"/>
    <mergeCell ref="D25:I25"/>
    <mergeCell ref="D26:I26"/>
    <mergeCell ref="D27:I27"/>
    <mergeCell ref="D28:I28"/>
    <mergeCell ref="D29:I29"/>
    <mergeCell ref="D18:I18"/>
    <mergeCell ref="D19:I19"/>
    <mergeCell ref="D20:I20"/>
    <mergeCell ref="D21:I21"/>
    <mergeCell ref="B22:I22"/>
    <mergeCell ref="B23:I23"/>
    <mergeCell ref="J125:X128"/>
    <mergeCell ref="D5:I5"/>
    <mergeCell ref="B6:I6"/>
    <mergeCell ref="D7:I7"/>
    <mergeCell ref="D8:I8"/>
    <mergeCell ref="B9:I9"/>
    <mergeCell ref="D10:I10"/>
    <mergeCell ref="D11:I11"/>
    <mergeCell ref="D12:I12"/>
    <mergeCell ref="B13:I13"/>
    <mergeCell ref="A125:C128"/>
    <mergeCell ref="D125:I128"/>
    <mergeCell ref="B123:I123"/>
    <mergeCell ref="D124:I124"/>
    <mergeCell ref="D59:I59"/>
    <mergeCell ref="D60:I60"/>
    <mergeCell ref="D61:I61"/>
    <mergeCell ref="D62:I62"/>
    <mergeCell ref="B30:I30"/>
    <mergeCell ref="D31:I31"/>
    <mergeCell ref="D32:I32"/>
    <mergeCell ref="D33:I33"/>
    <mergeCell ref="B14:I14"/>
    <mergeCell ref="B15:I15"/>
    <mergeCell ref="D16:I16"/>
    <mergeCell ref="D17:I17"/>
    <mergeCell ref="J6:L6"/>
    <mergeCell ref="M6:O6"/>
    <mergeCell ref="P6:R6"/>
    <mergeCell ref="S6:U6"/>
    <mergeCell ref="V6:X6"/>
    <mergeCell ref="A4:H4"/>
    <mergeCell ref="J4:L4"/>
    <mergeCell ref="M4:O4"/>
    <mergeCell ref="P4:R4"/>
    <mergeCell ref="V4:X4"/>
    <mergeCell ref="A3:D3"/>
    <mergeCell ref="E3:I3"/>
    <mergeCell ref="J3:K3"/>
    <mergeCell ref="M3:N3"/>
    <mergeCell ref="P3:Q3"/>
    <mergeCell ref="V3:W3"/>
    <mergeCell ref="V1:X2"/>
    <mergeCell ref="A2:D2"/>
    <mergeCell ref="E2:F2"/>
    <mergeCell ref="G2:H2"/>
    <mergeCell ref="B1:D1"/>
    <mergeCell ref="E1:F1"/>
    <mergeCell ref="G1:H1"/>
    <mergeCell ref="J1:L2"/>
    <mergeCell ref="M1:O2"/>
    <mergeCell ref="P1:R2"/>
  </mergeCells>
  <conditionalFormatting sqref="J7:J8 M7:M8 P7:P8 V7:V8 J10:J12 M10:M12 P10:P12 V10:V12 J16:J21 M16:M21 P16:P21 V16:V21 J24:J29 M24:M29 P24:P29 V24:V29 J31:J37 M31:M37 P31:P37 V31:V37 J39:J44 M39:M44 P39:P44 V39:V44 J46 M46 P46 V46 J48:J51 M48:M51 P48:P51 V48:V51 J53:J54 M53:M54 P53:P54 V53:V54 J57:J70 M57:M70 P57:P70 V57:V70 J72:J90 M72:M90 P72:P90 V72:V90 J92:J97 M92:M97 P92:P97 V92:V97 J99:J108 M99:M108 P99:P108 V99:V108 J110:J111 M110:M111 P110:P111 V110:V111 J113:J120 M113:M120 P113:P120 V113:V120 J122 M122 P122 V122 J124 M124 P124 V124">
    <cfRule type="cellIs" dxfId="269" priority="33" operator="between">
      <formula>0.01</formula>
      <formula>1</formula>
    </cfRule>
  </conditionalFormatting>
  <conditionalFormatting sqref="K7:K8 N7:N8 Q7:Q8 W7:W8 K10:K12 N10:N12 Q10:Q12 W10:W12 K16:K21 N16:N21 Q16:Q21 W16:W21 K24:K29 N24:N29 Q24:Q29 W24:W29 K31:K37 N31:N37 Q31:Q37 W31:W37 K39:K44 N39:N44 Q39:Q44 W39:W44 K46 N46 Q46 W46 K48:K51 N48:N51 Q48:Q51 W48:W51 K53:K54 N53:N54 Q53:Q54 W53:W54 K57:K70 N57:N70 Q57:Q70 W57:W70 K72:K90 N72:N90 Q72:Q90 W72:W90 K92:K97 N92:N97 Q92:Q97 W92:W97 K99:K108 N99:N108 Q99:Q108 W99:W108 K110:K111 N110:N111 Q110:Q111 W110:W111 K113:K120 N113:N120 Q113:Q120 W113:W120 K122 N122 Q122 W122 K124 N124 Q124 W124">
    <cfRule type="cellIs" dxfId="268" priority="32" operator="between">
      <formula>1</formula>
      <formula>1000</formula>
    </cfRule>
  </conditionalFormatting>
  <conditionalFormatting sqref="L7:L8 O7:O8 R7:U8 X7:X8 L10:L12 O10:O12 R10:U12 X10:X12 L16:L21 O16:O21 R16:U21 X16:X21 L24:L29 O24:O29 R24:U29 X24:X29 L31:L37 O31:O37 R31:U37 X31:X37 L39:L44 O39:O44 R39:U44 X39:X44 L46 O46 R46:U46 X46 L48:L51 O48:O51 R48:U51 X48:X51 L53:L54 O53:O54 R53:U54 X53:X54 L57:L70 O57:O70 R57:U70 X57:X70 L72:L90 O72:O90 R72:U90 X72:X90 L92:L97 O92:O97 R92:U97 X92:X97 L99:L108 O99:O108 R99:U108 X99:X108 L110:L111 O110:O111 R110:U111 X110:X111 L113:L120 O113:O120 R113:U120 X113:X120 L122 O122 R122:U122 X122 L124 O124 R124:U124 X124">
    <cfRule type="cellIs" dxfId="267" priority="31" operator="between">
      <formula>1</formula>
      <formula>100000</formula>
    </cfRule>
  </conditionalFormatting>
  <printOptions horizontalCentered="1" verticalCentered="1"/>
  <pageMargins left="0.25" right="0.1" top="0.42" bottom="0.74803149606299213" header="0.31496062992125984" footer="0.31496062992125984"/>
  <pageSetup paperSize="9" scale="57" fitToHeight="4" orientation="portrait" r:id="rId1"/>
  <rowBreaks count="4" manualBreakCount="4">
    <brk id="29" max="30" man="1"/>
    <brk id="54" max="30" man="1"/>
    <brk id="90" max="30" man="1"/>
    <brk id="120" max="3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PLANILHA DE MEDIÇÃO</vt:lpstr>
      <vt:lpstr>MEMORIAL DE CALCULO</vt:lpstr>
      <vt:lpstr>'MEMORIAL DE CALCULO'!Area_de_impressao</vt:lpstr>
      <vt:lpstr>'PLANILHA DE MEDIÇÃO'!Area_de_impressao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Allam</dc:creator>
  <cp:lastModifiedBy>DOUGLAS WESLEY</cp:lastModifiedBy>
  <cp:lastPrinted>2025-06-26T14:22:09Z</cp:lastPrinted>
  <dcterms:created xsi:type="dcterms:W3CDTF">2024-08-07T11:01:56Z</dcterms:created>
  <dcterms:modified xsi:type="dcterms:W3CDTF">2026-03-26T22:27:31Z</dcterms:modified>
</cp:coreProperties>
</file>