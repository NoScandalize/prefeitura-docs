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"/>
    </mc:Choice>
  </mc:AlternateContent>
  <xr:revisionPtr revIDLastSave="0" documentId="13_ncr:1_{2505C95D-09AC-4659-B809-D0380986C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CALCULO'!$A$1:$T$509</definedName>
    <definedName name="_xlnm.Print_Area" localSheetId="0">'PLANILHA DE MEDIÇÃO'!$A$1:$Q$350</definedName>
    <definedName name="JR_PAGE_ANCHOR_0_1" localSheetId="1">'MEMORIAL DE CALCULO'!#REF!</definedName>
    <definedName name="JR_PAGE_ANCHOR_0_1">'PLANILHA DE MEDIÇÃO'!#REF!</definedName>
    <definedName name="_xlnm.Print_Titles" localSheetId="1">'MEMORIAL DE CALCULO'!$1:$6</definedName>
    <definedName name="_xlnm.Print_Titles" localSheetId="0">'PLANILHA DE MEDIÇÃO'!$1:$5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97" i="1" l="1"/>
  <c r="P297" i="1" s="1"/>
  <c r="M297" i="1"/>
  <c r="N296" i="1"/>
  <c r="O296" i="1" s="1"/>
  <c r="M296" i="1"/>
  <c r="M316" i="1"/>
  <c r="N316" i="1"/>
  <c r="O316" i="1"/>
  <c r="P316" i="1"/>
  <c r="M317" i="1"/>
  <c r="N317" i="1"/>
  <c r="O317" i="1" s="1"/>
  <c r="P317" i="1"/>
  <c r="M318" i="1"/>
  <c r="N318" i="1"/>
  <c r="O318" i="1"/>
  <c r="P318" i="1"/>
  <c r="N315" i="1"/>
  <c r="P315" i="1" s="1"/>
  <c r="M315" i="1"/>
  <c r="M326" i="1"/>
  <c r="N326" i="1"/>
  <c r="O326" i="1"/>
  <c r="P326" i="1"/>
  <c r="M327" i="1"/>
  <c r="N327" i="1"/>
  <c r="O327" i="1"/>
  <c r="P327" i="1"/>
  <c r="M328" i="1"/>
  <c r="N328" i="1"/>
  <c r="O328" i="1"/>
  <c r="P328" i="1"/>
  <c r="M329" i="1"/>
  <c r="N329" i="1"/>
  <c r="O329" i="1"/>
  <c r="P329" i="1"/>
  <c r="M330" i="1"/>
  <c r="N330" i="1"/>
  <c r="O330" i="1"/>
  <c r="P330" i="1"/>
  <c r="M331" i="1"/>
  <c r="N331" i="1"/>
  <c r="O331" i="1"/>
  <c r="P331" i="1"/>
  <c r="M332" i="1"/>
  <c r="N332" i="1"/>
  <c r="O332" i="1"/>
  <c r="P332" i="1"/>
  <c r="M333" i="1"/>
  <c r="N333" i="1"/>
  <c r="O333" i="1"/>
  <c r="P333" i="1"/>
  <c r="M334" i="1"/>
  <c r="N334" i="1"/>
  <c r="O334" i="1"/>
  <c r="P334" i="1"/>
  <c r="M335" i="1"/>
  <c r="N335" i="1"/>
  <c r="O335" i="1"/>
  <c r="P335" i="1"/>
  <c r="M336" i="1"/>
  <c r="N336" i="1"/>
  <c r="O336" i="1"/>
  <c r="P336" i="1"/>
  <c r="M337" i="1"/>
  <c r="N337" i="1"/>
  <c r="O337" i="1"/>
  <c r="P337" i="1"/>
  <c r="M338" i="1"/>
  <c r="N338" i="1"/>
  <c r="O338" i="1"/>
  <c r="P338" i="1"/>
  <c r="M339" i="1"/>
  <c r="N339" i="1"/>
  <c r="O339" i="1"/>
  <c r="P339" i="1"/>
  <c r="M340" i="1"/>
  <c r="N340" i="1"/>
  <c r="O340" i="1"/>
  <c r="P340" i="1"/>
  <c r="M341" i="1"/>
  <c r="N341" i="1"/>
  <c r="O341" i="1"/>
  <c r="P341" i="1"/>
  <c r="M342" i="1"/>
  <c r="N342" i="1"/>
  <c r="O342" i="1"/>
  <c r="P342" i="1"/>
  <c r="N325" i="1"/>
  <c r="P325" i="1" s="1"/>
  <c r="M325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P238" i="1"/>
  <c r="O238" i="1"/>
  <c r="N238" i="1"/>
  <c r="M238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4" i="1"/>
  <c r="N224" i="1"/>
  <c r="O224" i="1"/>
  <c r="P224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8" i="1"/>
  <c r="N228" i="1"/>
  <c r="O228" i="1"/>
  <c r="P228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P217" i="1"/>
  <c r="O217" i="1"/>
  <c r="N217" i="1"/>
  <c r="M217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P109" i="1"/>
  <c r="O109" i="1"/>
  <c r="N109" i="1"/>
  <c r="M109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P87" i="1"/>
  <c r="O87" i="1"/>
  <c r="N87" i="1"/>
  <c r="M87" i="1"/>
  <c r="P291" i="1"/>
  <c r="P292" i="1"/>
  <c r="O291" i="1"/>
  <c r="O292" i="1"/>
  <c r="N291" i="1"/>
  <c r="N292" i="1"/>
  <c r="P290" i="1"/>
  <c r="O290" i="1"/>
  <c r="N290" i="1"/>
  <c r="N288" i="1"/>
  <c r="O288" i="1" s="1"/>
  <c r="P288" i="1"/>
  <c r="P287" i="1"/>
  <c r="O287" i="1"/>
  <c r="N287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192" i="1"/>
  <c r="P188" i="1"/>
  <c r="P187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192" i="1"/>
  <c r="O188" i="1"/>
  <c r="N188" i="1"/>
  <c r="O187" i="1"/>
  <c r="N187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192" i="1"/>
  <c r="M188" i="1"/>
  <c r="M187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61" i="1"/>
  <c r="P57" i="1"/>
  <c r="P56" i="1"/>
  <c r="O85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61" i="1"/>
  <c r="O57" i="1"/>
  <c r="O56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61" i="1"/>
  <c r="N57" i="1"/>
  <c r="N56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61" i="1"/>
  <c r="M57" i="1"/>
  <c r="M56" i="1"/>
  <c r="Q171" i="1"/>
  <c r="Q172" i="1"/>
  <c r="Q170" i="1"/>
  <c r="M291" i="1"/>
  <c r="M292" i="1"/>
  <c r="M290" i="1"/>
  <c r="M288" i="1"/>
  <c r="M287" i="1"/>
  <c r="P171" i="1"/>
  <c r="P172" i="1"/>
  <c r="O171" i="1"/>
  <c r="O172" i="1"/>
  <c r="N171" i="1"/>
  <c r="N172" i="1"/>
  <c r="M172" i="1"/>
  <c r="M171" i="1"/>
  <c r="P170" i="1"/>
  <c r="O170" i="1"/>
  <c r="N170" i="1"/>
  <c r="M170" i="1"/>
  <c r="P40" i="1"/>
  <c r="P41" i="1"/>
  <c r="P39" i="1"/>
  <c r="O40" i="1"/>
  <c r="O41" i="1"/>
  <c r="O39" i="1"/>
  <c r="N40" i="1"/>
  <c r="N41" i="1"/>
  <c r="N39" i="1"/>
  <c r="M40" i="1"/>
  <c r="M41" i="1"/>
  <c r="M39" i="1"/>
  <c r="P32" i="1"/>
  <c r="P33" i="1"/>
  <c r="P34" i="1"/>
  <c r="P35" i="1"/>
  <c r="P36" i="1"/>
  <c r="P37" i="1"/>
  <c r="O32" i="1"/>
  <c r="O33" i="1"/>
  <c r="O34" i="1"/>
  <c r="O35" i="1"/>
  <c r="O36" i="1"/>
  <c r="O37" i="1"/>
  <c r="N32" i="1"/>
  <c r="N33" i="1"/>
  <c r="N34" i="1"/>
  <c r="N35" i="1"/>
  <c r="N36" i="1"/>
  <c r="N37" i="1"/>
  <c r="M32" i="1"/>
  <c r="M33" i="1"/>
  <c r="M34" i="1"/>
  <c r="M35" i="1"/>
  <c r="M36" i="1"/>
  <c r="M37" i="1"/>
  <c r="M3" i="1"/>
  <c r="Q31" i="1"/>
  <c r="O31" i="1"/>
  <c r="N31" i="1"/>
  <c r="P31" i="1"/>
  <c r="M31" i="1"/>
  <c r="N7" i="1"/>
  <c r="O7" i="1" s="1"/>
  <c r="N8" i="1"/>
  <c r="N9" i="1"/>
  <c r="N12" i="1"/>
  <c r="N30" i="1"/>
  <c r="O30" i="1"/>
  <c r="Q283" i="1"/>
  <c r="Q284" i="1"/>
  <c r="Q285" i="1"/>
  <c r="Q286" i="1"/>
  <c r="Q282" i="1"/>
  <c r="Q272" i="1"/>
  <c r="Q273" i="1"/>
  <c r="Q274" i="1"/>
  <c r="Q275" i="1"/>
  <c r="Q276" i="1"/>
  <c r="Q277" i="1"/>
  <c r="Q278" i="1"/>
  <c r="Q279" i="1"/>
  <c r="Q280" i="1"/>
  <c r="Q271" i="1"/>
  <c r="Q269" i="1"/>
  <c r="Q268" i="1"/>
  <c r="Q160" i="1"/>
  <c r="Q161" i="1"/>
  <c r="Q162" i="1"/>
  <c r="Q163" i="1"/>
  <c r="Q164" i="1"/>
  <c r="Q165" i="1"/>
  <c r="Q166" i="1"/>
  <c r="Q167" i="1"/>
  <c r="Q168" i="1"/>
  <c r="Q159" i="1"/>
  <c r="Q149" i="1"/>
  <c r="Q150" i="1"/>
  <c r="Q151" i="1"/>
  <c r="Q152" i="1"/>
  <c r="Q153" i="1"/>
  <c r="Q154" i="1"/>
  <c r="Q155" i="1"/>
  <c r="Q156" i="1"/>
  <c r="Q157" i="1"/>
  <c r="Q148" i="1"/>
  <c r="Q146" i="1"/>
  <c r="Q145" i="1"/>
  <c r="Q143" i="1"/>
  <c r="Q29" i="1"/>
  <c r="Q30" i="1"/>
  <c r="Q28" i="1"/>
  <c r="Q18" i="1"/>
  <c r="Q19" i="1"/>
  <c r="Q20" i="1"/>
  <c r="Q21" i="1"/>
  <c r="Q22" i="1"/>
  <c r="Q23" i="1"/>
  <c r="Q24" i="1"/>
  <c r="Q25" i="1"/>
  <c r="Q26" i="1"/>
  <c r="Q17" i="1"/>
  <c r="Q15" i="1"/>
  <c r="Q14" i="1"/>
  <c r="Q12" i="1"/>
  <c r="Q8" i="1"/>
  <c r="Q9" i="1"/>
  <c r="Q7" i="1"/>
  <c r="N160" i="1"/>
  <c r="N161" i="1"/>
  <c r="N162" i="1"/>
  <c r="N163" i="1"/>
  <c r="N164" i="1"/>
  <c r="O164" i="1" s="1"/>
  <c r="N165" i="1"/>
  <c r="O165" i="1" s="1"/>
  <c r="N166" i="1"/>
  <c r="O166" i="1" s="1"/>
  <c r="N167" i="1"/>
  <c r="O167" i="1" s="1"/>
  <c r="N168" i="1"/>
  <c r="N159" i="1"/>
  <c r="N149" i="1"/>
  <c r="N150" i="1"/>
  <c r="N151" i="1"/>
  <c r="N152" i="1"/>
  <c r="N153" i="1"/>
  <c r="O153" i="1" s="1"/>
  <c r="N154" i="1"/>
  <c r="O154" i="1" s="1"/>
  <c r="N155" i="1"/>
  <c r="O155" i="1" s="1"/>
  <c r="N156" i="1"/>
  <c r="O156" i="1" s="1"/>
  <c r="N157" i="1"/>
  <c r="N148" i="1"/>
  <c r="N146" i="1"/>
  <c r="N145" i="1"/>
  <c r="N143" i="1"/>
  <c r="N29" i="1"/>
  <c r="N28" i="1"/>
  <c r="N18" i="1"/>
  <c r="N19" i="1"/>
  <c r="N20" i="1"/>
  <c r="N21" i="1"/>
  <c r="N22" i="1"/>
  <c r="O22" i="1" s="1"/>
  <c r="N23" i="1"/>
  <c r="O23" i="1" s="1"/>
  <c r="N24" i="1"/>
  <c r="O24" i="1" s="1"/>
  <c r="N25" i="1"/>
  <c r="O25" i="1" s="1"/>
  <c r="N26" i="1"/>
  <c r="N17" i="1"/>
  <c r="N15" i="1"/>
  <c r="N14" i="1"/>
  <c r="O283" i="1"/>
  <c r="O284" i="1"/>
  <c r="O285" i="1"/>
  <c r="O286" i="1"/>
  <c r="O282" i="1"/>
  <c r="O272" i="1"/>
  <c r="O273" i="1"/>
  <c r="O274" i="1"/>
  <c r="O275" i="1"/>
  <c r="O276" i="1"/>
  <c r="O277" i="1"/>
  <c r="O278" i="1"/>
  <c r="O279" i="1"/>
  <c r="O280" i="1"/>
  <c r="O271" i="1"/>
  <c r="O269" i="1"/>
  <c r="O268" i="1"/>
  <c r="O160" i="1"/>
  <c r="O161" i="1"/>
  <c r="O162" i="1"/>
  <c r="O163" i="1"/>
  <c r="O168" i="1"/>
  <c r="O159" i="1"/>
  <c r="O149" i="1"/>
  <c r="O150" i="1"/>
  <c r="O151" i="1"/>
  <c r="O152" i="1"/>
  <c r="O157" i="1"/>
  <c r="O146" i="1"/>
  <c r="O148" i="1"/>
  <c r="O145" i="1"/>
  <c r="O143" i="1"/>
  <c r="O29" i="1"/>
  <c r="O28" i="1"/>
  <c r="O18" i="1"/>
  <c r="O19" i="1"/>
  <c r="O20" i="1"/>
  <c r="O21" i="1"/>
  <c r="O26" i="1"/>
  <c r="O17" i="1"/>
  <c r="O15" i="1"/>
  <c r="O14" i="1"/>
  <c r="O12" i="1"/>
  <c r="O8" i="1"/>
  <c r="O9" i="1"/>
  <c r="N283" i="1"/>
  <c r="N284" i="1"/>
  <c r="N285" i="1"/>
  <c r="N286" i="1"/>
  <c r="N282" i="1"/>
  <c r="N272" i="1"/>
  <c r="N273" i="1"/>
  <c r="N274" i="1"/>
  <c r="N275" i="1"/>
  <c r="N276" i="1"/>
  <c r="N277" i="1"/>
  <c r="N278" i="1"/>
  <c r="N279" i="1"/>
  <c r="N280" i="1"/>
  <c r="N269" i="1"/>
  <c r="N271" i="1"/>
  <c r="N268" i="1"/>
  <c r="O297" i="1" l="1"/>
  <c r="P296" i="1"/>
  <c r="O315" i="1"/>
  <c r="O325" i="1"/>
  <c r="P3" i="1"/>
  <c r="Y108" i="3" l="1"/>
  <c r="Z108" i="3" s="1"/>
  <c r="W108" i="3"/>
  <c r="M108" i="3"/>
  <c r="N108" i="3" s="1"/>
  <c r="Y104" i="3"/>
  <c r="Z104" i="3" s="1"/>
  <c r="W104" i="3"/>
  <c r="M104" i="3"/>
  <c r="N104" i="3" s="1"/>
  <c r="Y101" i="3"/>
  <c r="Z101" i="3" s="1"/>
  <c r="W101" i="3"/>
  <c r="M101" i="3"/>
  <c r="N101" i="3" s="1"/>
  <c r="Y91" i="3"/>
  <c r="Z91" i="3" s="1"/>
  <c r="W91" i="3"/>
  <c r="M91" i="3"/>
  <c r="N91" i="3" s="1"/>
  <c r="Y87" i="3"/>
  <c r="Z87" i="3" s="1"/>
  <c r="W87" i="3"/>
  <c r="M87" i="3"/>
  <c r="N87" i="3" s="1"/>
  <c r="Y71" i="3"/>
  <c r="Z71" i="3" s="1"/>
  <c r="W71" i="3"/>
  <c r="M71" i="3"/>
  <c r="N71" i="3" s="1"/>
  <c r="Y32" i="3"/>
  <c r="Z32" i="3" s="1"/>
  <c r="W32" i="3"/>
  <c r="M32" i="3"/>
  <c r="N32" i="3" s="1"/>
  <c r="J2" i="3"/>
  <c r="O346" i="1" l="1"/>
  <c r="H325" i="1"/>
  <c r="H323" i="1"/>
  <c r="H322" i="1"/>
  <c r="H320" i="1"/>
  <c r="H318" i="1"/>
  <c r="H316" i="1"/>
  <c r="H304" i="1"/>
  <c r="H301" i="1"/>
  <c r="H297" i="1"/>
  <c r="H295" i="1"/>
  <c r="H294" i="1"/>
  <c r="H293" i="1"/>
  <c r="H292" i="1"/>
  <c r="H291" i="1"/>
  <c r="H287" i="1"/>
  <c r="H284" i="1"/>
  <c r="H282" i="1"/>
  <c r="H280" i="1"/>
  <c r="H279" i="1"/>
  <c r="H276" i="1"/>
  <c r="H275" i="1"/>
  <c r="H274" i="1"/>
  <c r="H269" i="1"/>
  <c r="H268" i="1"/>
  <c r="H265" i="1"/>
  <c r="H261" i="1"/>
  <c r="H258" i="1"/>
  <c r="H257" i="1"/>
  <c r="H252" i="1"/>
  <c r="H251" i="1"/>
  <c r="H189" i="1"/>
  <c r="H188" i="1"/>
  <c r="H187" i="1"/>
  <c r="H184" i="1"/>
  <c r="H179" i="1"/>
  <c r="H178" i="1"/>
  <c r="H177" i="1"/>
  <c r="H175" i="1"/>
  <c r="H174" i="1"/>
  <c r="H172" i="1"/>
  <c r="H168" i="1"/>
  <c r="H166" i="1"/>
  <c r="H165" i="1"/>
  <c r="H160" i="1"/>
  <c r="H156" i="1"/>
  <c r="H150" i="1"/>
  <c r="H146" i="1"/>
  <c r="H143" i="1"/>
  <c r="H142" i="1" s="1"/>
  <c r="H131" i="1"/>
  <c r="H128" i="1"/>
  <c r="H106" i="1"/>
  <c r="H105" i="1"/>
  <c r="H102" i="1"/>
  <c r="H54" i="1"/>
  <c r="H50" i="1"/>
  <c r="H48" i="1"/>
  <c r="H43" i="1"/>
  <c r="H36" i="1"/>
  <c r="H35" i="1"/>
  <c r="H33" i="1"/>
  <c r="H31" i="1"/>
  <c r="H30" i="1"/>
  <c r="H29" i="1"/>
  <c r="H24" i="1"/>
  <c r="H22" i="1"/>
  <c r="H21" i="1"/>
  <c r="H15" i="1"/>
  <c r="J286" i="1"/>
  <c r="J285" i="1"/>
  <c r="J284" i="1"/>
  <c r="J283" i="1"/>
  <c r="J282" i="1"/>
  <c r="L282" i="1" s="1"/>
  <c r="J280" i="1"/>
  <c r="J279" i="1"/>
  <c r="L279" i="1" s="1"/>
  <c r="J278" i="1"/>
  <c r="J277" i="1"/>
  <c r="J276" i="1"/>
  <c r="J275" i="1"/>
  <c r="J274" i="1"/>
  <c r="J273" i="1"/>
  <c r="J272" i="1"/>
  <c r="J271" i="1"/>
  <c r="J269" i="1"/>
  <c r="J268" i="1"/>
  <c r="J160" i="1"/>
  <c r="J161" i="1"/>
  <c r="J162" i="1"/>
  <c r="J163" i="1"/>
  <c r="J164" i="1"/>
  <c r="J165" i="1"/>
  <c r="L165" i="1" s="1"/>
  <c r="J166" i="1"/>
  <c r="J167" i="1"/>
  <c r="J168" i="1"/>
  <c r="J159" i="1"/>
  <c r="J157" i="1"/>
  <c r="J149" i="1"/>
  <c r="J150" i="1"/>
  <c r="J151" i="1"/>
  <c r="J152" i="1"/>
  <c r="J153" i="1"/>
  <c r="J154" i="1"/>
  <c r="J155" i="1"/>
  <c r="J156" i="1"/>
  <c r="J148" i="1"/>
  <c r="J146" i="1"/>
  <c r="J145" i="1"/>
  <c r="J143" i="1"/>
  <c r="J29" i="1"/>
  <c r="J30" i="1"/>
  <c r="J28" i="1"/>
  <c r="J18" i="1"/>
  <c r="J19" i="1"/>
  <c r="J20" i="1"/>
  <c r="J21" i="1"/>
  <c r="L21" i="1" s="1"/>
  <c r="J22" i="1"/>
  <c r="L22" i="1" s="1"/>
  <c r="J23" i="1"/>
  <c r="J24" i="1"/>
  <c r="J25" i="1"/>
  <c r="J26" i="1"/>
  <c r="J17" i="1"/>
  <c r="J15" i="1"/>
  <c r="J14" i="1"/>
  <c r="J12" i="1"/>
  <c r="J8" i="1"/>
  <c r="J9" i="1"/>
  <c r="L268" i="1" l="1"/>
  <c r="L29" i="1"/>
  <c r="L275" i="1"/>
  <c r="L269" i="1"/>
  <c r="L146" i="1"/>
  <c r="H186" i="1"/>
  <c r="H267" i="1"/>
  <c r="L284" i="1"/>
  <c r="L15" i="1"/>
  <c r="L168" i="1"/>
  <c r="L30" i="1"/>
  <c r="L274" i="1"/>
  <c r="L150" i="1"/>
  <c r="L156" i="1"/>
  <c r="L24" i="1"/>
  <c r="L276" i="1"/>
  <c r="L143" i="1"/>
  <c r="L166" i="1"/>
  <c r="L280" i="1"/>
  <c r="L160" i="1"/>
  <c r="J7" i="1"/>
  <c r="H28" i="1"/>
  <c r="H12" i="1"/>
  <c r="L12" i="1" s="1"/>
  <c r="H7" i="1"/>
  <c r="H11" i="1" l="1"/>
  <c r="L7" i="1"/>
  <c r="L28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17" i="1"/>
  <c r="H319" i="1"/>
  <c r="H321" i="1"/>
  <c r="H315" i="1"/>
  <c r="H312" i="1"/>
  <c r="H313" i="1"/>
  <c r="H311" i="1"/>
  <c r="H302" i="1"/>
  <c r="H303" i="1"/>
  <c r="H305" i="1"/>
  <c r="H306" i="1"/>
  <c r="H307" i="1"/>
  <c r="H308" i="1"/>
  <c r="H309" i="1"/>
  <c r="H300" i="1"/>
  <c r="H296" i="1"/>
  <c r="H290" i="1"/>
  <c r="H289" i="1" s="1"/>
  <c r="H283" i="1"/>
  <c r="H285" i="1"/>
  <c r="L285" i="1" s="1"/>
  <c r="H286" i="1"/>
  <c r="L286" i="1" s="1"/>
  <c r="H288" i="1"/>
  <c r="H272" i="1"/>
  <c r="L272" i="1" s="1"/>
  <c r="H273" i="1"/>
  <c r="L273" i="1" s="1"/>
  <c r="H277" i="1"/>
  <c r="L277" i="1" s="1"/>
  <c r="H278" i="1"/>
  <c r="L278" i="1" s="1"/>
  <c r="H271" i="1"/>
  <c r="H264" i="1"/>
  <c r="H263" i="1"/>
  <c r="H259" i="1"/>
  <c r="H260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3" i="1"/>
  <c r="H254" i="1"/>
  <c r="H255" i="1"/>
  <c r="H238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17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192" i="1"/>
  <c r="H183" i="1"/>
  <c r="H185" i="1"/>
  <c r="H182" i="1"/>
  <c r="H176" i="1"/>
  <c r="H180" i="1"/>
  <c r="H171" i="1"/>
  <c r="H170" i="1"/>
  <c r="H169" i="1" s="1"/>
  <c r="H161" i="1"/>
  <c r="L161" i="1" s="1"/>
  <c r="H162" i="1"/>
  <c r="L162" i="1" s="1"/>
  <c r="H163" i="1"/>
  <c r="L163" i="1" s="1"/>
  <c r="H164" i="1"/>
  <c r="L164" i="1" s="1"/>
  <c r="H167" i="1"/>
  <c r="L167" i="1" s="1"/>
  <c r="H159" i="1"/>
  <c r="H149" i="1"/>
  <c r="L149" i="1" s="1"/>
  <c r="H151" i="1"/>
  <c r="L151" i="1" s="1"/>
  <c r="H152" i="1"/>
  <c r="L152" i="1" s="1"/>
  <c r="H153" i="1"/>
  <c r="L153" i="1" s="1"/>
  <c r="H154" i="1"/>
  <c r="L154" i="1" s="1"/>
  <c r="H155" i="1"/>
  <c r="L155" i="1" s="1"/>
  <c r="H157" i="1"/>
  <c r="L157" i="1" s="1"/>
  <c r="H148" i="1"/>
  <c r="H145" i="1"/>
  <c r="H139" i="1"/>
  <c r="H140" i="1"/>
  <c r="H138" i="1"/>
  <c r="H132" i="1"/>
  <c r="H133" i="1"/>
  <c r="H134" i="1"/>
  <c r="H135" i="1"/>
  <c r="H136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09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7" i="1"/>
  <c r="H87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61" i="1"/>
  <c r="H57" i="1"/>
  <c r="H58" i="1"/>
  <c r="H56" i="1"/>
  <c r="H55" i="1" s="1"/>
  <c r="H53" i="1"/>
  <c r="H52" i="1" s="1"/>
  <c r="H44" i="1"/>
  <c r="H45" i="1"/>
  <c r="H46" i="1"/>
  <c r="H47" i="1"/>
  <c r="H49" i="1"/>
  <c r="H51" i="1"/>
  <c r="H40" i="1"/>
  <c r="H41" i="1"/>
  <c r="H39" i="1"/>
  <c r="H32" i="1"/>
  <c r="H34" i="1"/>
  <c r="H37" i="1"/>
  <c r="H18" i="1"/>
  <c r="L18" i="1" s="1"/>
  <c r="H19" i="1"/>
  <c r="L19" i="1" s="1"/>
  <c r="H20" i="1"/>
  <c r="L20" i="1" s="1"/>
  <c r="H23" i="1"/>
  <c r="L23" i="1" s="1"/>
  <c r="H25" i="1"/>
  <c r="L25" i="1" s="1"/>
  <c r="H26" i="1"/>
  <c r="L26" i="1" s="1"/>
  <c r="H17" i="1"/>
  <c r="H14" i="1"/>
  <c r="H8" i="1"/>
  <c r="L8" i="1" s="1"/>
  <c r="H9" i="1"/>
  <c r="L9" i="1" s="1"/>
  <c r="H173" i="1" l="1"/>
  <c r="H27" i="1"/>
  <c r="H281" i="1"/>
  <c r="L283" i="1"/>
  <c r="H144" i="1"/>
  <c r="L145" i="1"/>
  <c r="H191" i="1"/>
  <c r="H270" i="1"/>
  <c r="H266" i="1" s="1"/>
  <c r="L271" i="1"/>
  <c r="H13" i="1"/>
  <c r="L14" i="1"/>
  <c r="H60" i="1"/>
  <c r="H147" i="1"/>
  <c r="L148" i="1"/>
  <c r="H158" i="1"/>
  <c r="L159" i="1"/>
  <c r="H299" i="1"/>
  <c r="H310" i="1"/>
  <c r="H324" i="1"/>
  <c r="H181" i="1"/>
  <c r="H256" i="1"/>
  <c r="H216" i="1"/>
  <c r="H16" i="1"/>
  <c r="L17" i="1"/>
  <c r="H86" i="1"/>
  <c r="H237" i="1"/>
  <c r="H38" i="1"/>
  <c r="H42" i="1"/>
  <c r="H108" i="1"/>
  <c r="H130" i="1"/>
  <c r="H262" i="1"/>
  <c r="H314" i="1"/>
  <c r="I515" i="3"/>
  <c r="Y18" i="3"/>
  <c r="Z18" i="3" s="1"/>
  <c r="W18" i="3"/>
  <c r="M18" i="3"/>
  <c r="N18" i="3" s="1"/>
  <c r="Y16" i="3"/>
  <c r="Z16" i="3" s="1"/>
  <c r="W16" i="3"/>
  <c r="M16" i="3"/>
  <c r="N16" i="3" s="1"/>
  <c r="Y14" i="3"/>
  <c r="Z14" i="3" s="1"/>
  <c r="W14" i="3"/>
  <c r="M14" i="3"/>
  <c r="N14" i="3" s="1"/>
  <c r="Y11" i="3"/>
  <c r="Z11" i="3" s="1"/>
  <c r="W11" i="3"/>
  <c r="M11" i="3"/>
  <c r="N11" i="3" s="1"/>
  <c r="Y8" i="3"/>
  <c r="Z8" i="3" s="1"/>
  <c r="W8" i="3"/>
  <c r="S8" i="3"/>
  <c r="P8" i="3"/>
  <c r="Q8" i="3" s="1"/>
  <c r="M8" i="3"/>
  <c r="N8" i="3" s="1"/>
  <c r="H298" i="1" l="1"/>
  <c r="H190" i="1"/>
  <c r="H141" i="1" s="1"/>
  <c r="H59" i="1"/>
  <c r="T8" i="3"/>
  <c r="I521" i="3"/>
  <c r="O513" i="3"/>
  <c r="O514" i="3" s="1"/>
  <c r="I518" i="3" s="1"/>
  <c r="I514" i="3"/>
  <c r="I516" i="3" s="1"/>
  <c r="N3" i="3" l="1"/>
  <c r="T3" i="3"/>
  <c r="I519" i="3"/>
  <c r="Q3" i="3" l="1"/>
  <c r="Z3" i="3"/>
  <c r="H137" i="1" l="1"/>
  <c r="H10" i="1" s="1"/>
  <c r="H346" i="1" l="1"/>
  <c r="H6" i="1"/>
  <c r="P346" i="1" l="1"/>
  <c r="L346" i="1"/>
  <c r="L3" i="1" l="1"/>
  <c r="J346" i="1"/>
</calcChain>
</file>

<file path=xl/sharedStrings.xml><?xml version="1.0" encoding="utf-8"?>
<sst xmlns="http://schemas.openxmlformats.org/spreadsheetml/2006/main" count="2425" uniqueCount="854">
  <si>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</si>
  <si>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</si>
  <si>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</si>
  <si>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</si>
  <si>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</si>
  <si>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</si>
  <si>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</si>
  <si>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</si>
  <si>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</si>
  <si>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</si>
  <si>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</si>
  <si>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</si>
  <si>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</si>
  <si>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</si>
  <si>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</si>
  <si>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</si>
  <si>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</si>
  <si>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</si>
  <si>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</si>
  <si>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</si>
  <si>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</si>
  <si>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</si>
  <si>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</si>
  <si>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</si>
  <si>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</si>
  <si>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VALOR BDI TOTAL:</t>
  </si>
  <si>
    <t>VALOR ORÇAMENTO:</t>
  </si>
  <si>
    <t>VALOR TOTAL:</t>
  </si>
  <si>
    <t>TOTAL DA MEDIÇÃO 01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</si>
  <si>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</si>
  <si>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</si>
  <si>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</si>
  <si>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</si>
  <si>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</si>
  <si>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</si>
  <si>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</si>
  <si>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6.2</t>
  </si>
  <si>
    <t>SINAPI</t>
  </si>
  <si>
    <t>M</t>
  </si>
  <si>
    <t>ESTRUTURA</t>
  </si>
  <si>
    <t>FUNDAÇÃO</t>
  </si>
  <si>
    <t>3.1.1</t>
  </si>
  <si>
    <t>KG</t>
  </si>
  <si>
    <t>3.2.1</t>
  </si>
  <si>
    <t>3.2.2</t>
  </si>
  <si>
    <t>REVESTIMENTO</t>
  </si>
  <si>
    <t>PISO</t>
  </si>
  <si>
    <t>HIDRÁULICA</t>
  </si>
  <si>
    <t>ESQUADRIAS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</si>
  <si>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</si>
  <si>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</si>
  <si>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</si>
  <si>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</si>
  <si>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</si>
  <si>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</si>
  <si>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</si>
  <si>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</si>
  <si>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</si>
  <si>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</si>
  <si>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</si>
  <si>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</si>
  <si>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</si>
  <si>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</si>
  <si>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>m²</t>
  </si>
  <si>
    <t>Próprio</t>
  </si>
  <si>
    <t>m³</t>
  </si>
  <si>
    <t>UN</t>
  </si>
  <si>
    <t xml:space="preserve">CALCULOS </t>
  </si>
  <si>
    <t xml:space="preserve">NÚMERO DA MEDIÇÃO:
1ª MEDIÇÃO.
</t>
  </si>
  <si>
    <t xml:space="preserve">BANCO DE DADOS:         
SINAPI - 04/2025 - Paraíba 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</si>
  <si>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</si>
  <si>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</si>
  <si>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</si>
  <si>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</si>
  <si>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</si>
  <si>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</si>
  <si>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</si>
  <si>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</si>
  <si>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</si>
  <si>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</si>
  <si>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</si>
  <si>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</si>
  <si>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</si>
  <si>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</si>
  <si>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</si>
  <si>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</si>
  <si>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</si>
  <si>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</si>
  <si>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</si>
  <si>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</si>
  <si>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</si>
  <si>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</si>
  <si>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</si>
  <si>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</si>
  <si>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</si>
  <si>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</si>
  <si>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</si>
  <si>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</si>
  <si>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</si>
  <si>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</si>
  <si>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</si>
  <si>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</si>
  <si>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</si>
  <si>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</si>
  <si>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</si>
  <si>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</si>
  <si>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</si>
  <si>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</si>
  <si>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</si>
  <si>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</si>
  <si>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</si>
  <si>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</si>
  <si>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</si>
  <si>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</si>
  <si>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</si>
  <si>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</si>
  <si>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</si>
  <si>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</si>
  <si>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</si>
  <si>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</si>
  <si>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</si>
  <si>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</si>
  <si>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</si>
  <si>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</si>
  <si>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</si>
  <si>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</si>
  <si>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</si>
  <si>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</si>
  <si>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</si>
  <si>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</si>
  <si>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</si>
  <si>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</si>
  <si>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</si>
  <si>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</si>
  <si>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</si>
  <si>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</si>
  <si>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</si>
  <si>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</si>
  <si>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</si>
  <si>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</si>
  <si>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</si>
  <si>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</si>
  <si>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</si>
  <si>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</si>
  <si>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</si>
  <si>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</si>
  <si>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</si>
  <si>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</si>
  <si>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</si>
  <si>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</si>
  <si>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</si>
  <si>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</si>
  <si>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</si>
  <si>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</si>
  <si>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</si>
  <si>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</si>
  <si>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</si>
  <si>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</si>
  <si>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</si>
  <si>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</si>
  <si>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</si>
  <si>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</si>
  <si>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</si>
  <si>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</si>
  <si>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</si>
  <si>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</si>
  <si>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</si>
  <si>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</si>
  <si>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</si>
  <si>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</si>
  <si>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</si>
  <si>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</si>
  <si>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</si>
  <si>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</si>
  <si>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</si>
  <si>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</si>
  <si>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</si>
  <si>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</si>
  <si>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</si>
  <si>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</si>
  <si>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</si>
  <si>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</si>
  <si>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</si>
  <si>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</si>
  <si>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</si>
  <si>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</si>
  <si>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</si>
  <si>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</si>
  <si>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</si>
  <si>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</si>
  <si>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</si>
  <si>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</si>
  <si>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</si>
  <si>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</si>
  <si>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</si>
  <si>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</si>
  <si>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</si>
  <si>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</si>
  <si>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</si>
  <si>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</si>
  <si>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</si>
  <si>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</si>
  <si>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</si>
  <si>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</si>
  <si>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</si>
  <si>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</si>
  <si>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</si>
  <si>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</si>
  <si>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</si>
  <si>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</si>
  <si>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</si>
  <si>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</si>
  <si>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</si>
  <si>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</si>
  <si>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</si>
  <si>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</si>
  <si>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</si>
  <si>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</si>
  <si>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</si>
  <si>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</si>
  <si>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</si>
  <si>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</si>
  <si>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</si>
  <si>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</si>
  <si>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</si>
  <si>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</si>
  <si>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</si>
  <si>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</si>
  <si>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</si>
  <si>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</si>
  <si>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</si>
  <si>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</si>
  <si>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</si>
  <si>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</si>
  <si>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</si>
  <si>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</si>
  <si>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</si>
  <si>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</si>
  <si>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</si>
  <si>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</si>
  <si>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</si>
  <si>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</si>
  <si>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</si>
  <si>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</si>
  <si>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</si>
  <si>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</si>
  <si>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</si>
  <si>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</si>
  <si>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</si>
  <si>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</si>
  <si>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</si>
  <si>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</si>
  <si>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</si>
  <si>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</si>
  <si>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</si>
  <si>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</si>
  <si>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</si>
  <si>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</si>
  <si>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</si>
  <si>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</si>
  <si>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</si>
  <si>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</si>
  <si>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</si>
  <si>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</si>
  <si>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</si>
  <si>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</si>
  <si>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</si>
  <si>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</si>
  <si>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</si>
  <si>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</si>
  <si>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</si>
  <si>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</si>
  <si>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</si>
  <si>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</si>
  <si>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</si>
  <si>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</si>
  <si>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</si>
  <si>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</si>
  <si>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</si>
  <si>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</si>
  <si>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</si>
  <si>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</si>
  <si>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</si>
  <si>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</si>
  <si>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</si>
  <si>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</si>
  <si>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</si>
  <si>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</si>
  <si>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</si>
  <si>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</si>
  <si>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</si>
  <si>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</si>
  <si>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</si>
  <si>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</si>
  <si>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</si>
  <si>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</si>
  <si>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</si>
  <si>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</si>
  <si>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</si>
  <si>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</si>
  <si>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</si>
  <si>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</si>
  <si>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</si>
  <si>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</si>
  <si>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</si>
  <si>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</si>
  <si>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</si>
  <si>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</si>
  <si>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</si>
  <si>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</si>
  <si>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</si>
  <si>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</si>
  <si>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</si>
  <si>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</si>
  <si>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</si>
  <si>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</si>
  <si>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</si>
  <si>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</si>
  <si>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</si>
  <si>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</si>
  <si>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</si>
  <si>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</si>
  <si>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</si>
  <si>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</si>
  <si>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</si>
  <si>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</si>
  <si>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</si>
  <si>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</si>
  <si>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</si>
  <si>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</si>
  <si>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</si>
  <si>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</si>
  <si>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</si>
  <si>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</si>
  <si>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</si>
  <si>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</si>
  <si>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</si>
  <si>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</si>
  <si>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</si>
  <si>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</si>
  <si>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</si>
  <si>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</si>
  <si>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</si>
  <si>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</si>
  <si>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</si>
  <si>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</si>
  <si>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</si>
  <si>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</si>
  <si>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</si>
  <si>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</si>
  <si>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</si>
  <si>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</si>
  <si>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</si>
  <si>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</si>
  <si>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</si>
  <si>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</si>
  <si>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</si>
  <si>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</si>
  <si>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</si>
  <si>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</si>
  <si>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</si>
  <si>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</si>
  <si>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</si>
  <si>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</si>
  <si>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</si>
  <si>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</si>
  <si>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</si>
  <si>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</si>
  <si>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</si>
  <si>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</si>
  <si>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</si>
  <si>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</si>
  <si>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</si>
  <si>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</si>
  <si>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</si>
  <si>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</si>
  <si>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</si>
  <si>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</si>
  <si>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</si>
  <si>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</si>
  <si>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</si>
  <si>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</si>
  <si>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</si>
  <si>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</si>
  <si>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</si>
  <si>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</si>
  <si>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</si>
  <si>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</si>
  <si>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</si>
  <si>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</si>
  <si>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</si>
  <si>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</si>
  <si>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</si>
  <si>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</si>
  <si>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</si>
  <si>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</si>
  <si>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</si>
  <si>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</si>
  <si>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</si>
  <si>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</si>
  <si>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</si>
  <si>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</si>
  <si>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</si>
  <si>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</si>
  <si>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</si>
  <si>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</si>
  <si>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</si>
  <si>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</si>
  <si>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</si>
  <si>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</si>
  <si>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</si>
  <si>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</si>
  <si>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</si>
  <si>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</si>
  <si>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</si>
  <si>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</si>
  <si>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</si>
  <si>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</si>
  <si>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</si>
  <si>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</si>
  <si>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</si>
  <si>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</si>
  <si>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</si>
  <si>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</si>
  <si>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</si>
  <si>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</si>
  <si>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</si>
  <si>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</si>
  <si>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</si>
  <si>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</si>
  <si>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</si>
  <si>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</si>
  <si>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</si>
  <si>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</si>
  <si>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</si>
  <si>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</si>
  <si>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</si>
  <si>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</si>
  <si>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</si>
  <si>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</si>
  <si>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</si>
  <si>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</si>
  <si>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</si>
  <si>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</si>
  <si>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</si>
  <si>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</si>
  <si>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</si>
  <si>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</si>
  <si>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</si>
  <si>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</si>
  <si>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</si>
  <si>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</si>
  <si>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</si>
  <si>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</si>
  <si>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</si>
  <si>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</si>
  <si>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</si>
  <si>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</si>
  <si>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</si>
  <si>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</si>
  <si>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</si>
  <si>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</si>
  <si>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</si>
  <si>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</si>
  <si>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</si>
  <si>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</si>
  <si>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</si>
  <si>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</si>
  <si>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</si>
  <si>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</si>
  <si>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</si>
  <si>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</si>
  <si>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</si>
  <si>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</si>
  <si>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</si>
  <si>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</si>
  <si>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</si>
  <si>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</si>
  <si>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</si>
  <si>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</si>
  <si>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</si>
  <si>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</si>
  <si>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</si>
  <si>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</si>
  <si>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</si>
  <si>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</si>
  <si>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</si>
  <si>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</si>
  <si>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</si>
  <si>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</si>
  <si>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</si>
  <si>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</si>
  <si>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</si>
  <si>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</si>
  <si>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</si>
  <si>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</si>
  <si>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</si>
  <si>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</si>
  <si>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</si>
  <si>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</si>
  <si>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</si>
  <si>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</si>
  <si>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</si>
  <si>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</si>
  <si>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</si>
  <si>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</si>
  <si>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</si>
  <si>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</si>
  <si>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</si>
  <si>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</si>
  <si>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</si>
  <si>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</si>
  <si>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</si>
  <si>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</si>
  <si>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</si>
  <si>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</si>
  <si>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</si>
  <si>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</si>
  <si>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</si>
  <si>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</si>
  <si>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</si>
  <si>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</si>
  <si>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</si>
  <si>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</si>
  <si>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</si>
  <si>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</si>
  <si>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</si>
  <si>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</si>
  <si>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</si>
  <si>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</si>
  <si>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</si>
  <si>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</si>
  <si>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</si>
  <si>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</si>
  <si>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</si>
  <si>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</si>
  <si>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</si>
  <si>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</si>
  <si>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</si>
  <si>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</si>
  <si>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</si>
  <si>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</si>
  <si>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</si>
  <si>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</si>
  <si>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</si>
  <si>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</si>
  <si>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</si>
  <si>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</si>
  <si>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</si>
  <si>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</si>
  <si>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</si>
  <si>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</si>
  <si>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</si>
  <si>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</si>
  <si>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</si>
  <si>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</si>
  <si>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</si>
  <si>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</si>
  <si>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</si>
  <si>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</si>
  <si>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</si>
  <si>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</si>
  <si>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</si>
  <si>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</si>
  <si>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</si>
  <si>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</si>
  <si>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</si>
  <si>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</si>
  <si>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</si>
  <si>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</si>
  <si>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</si>
  <si>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</si>
  <si>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</si>
  <si>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</si>
  <si>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</si>
  <si>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</si>
  <si>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</si>
  <si>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</si>
  <si>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</si>
  <si>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</si>
  <si>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</si>
  <si>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</si>
  <si>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</si>
  <si>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</si>
  <si>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</si>
  <si>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</si>
  <si>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</si>
  <si>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</si>
  <si>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</si>
  <si>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</si>
  <si>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</si>
  <si>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</si>
  <si>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</si>
  <si>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</si>
  <si>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</si>
  <si>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</si>
  <si>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</si>
  <si>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</si>
  <si>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VALOR MEDIDO NO PERÍODO:
R$ 101.593,33</t>
  </si>
  <si>
    <t>B.D.I. = 22,58%
ENCARGOS SOCIAIS:
Nao Desonerado: embutido nos presos unitário dos insumos de mão de obra, de acordo com as bases.</t>
  </si>
  <si>
    <t>B.D.I. = 22,58
ENCARGOS SOCIAIS:
Nao Desonerado: embutido nos presos unitário dos insumos de mão de obra, de acordo com as bases.</t>
  </si>
  <si>
    <t>QTD</t>
  </si>
  <si>
    <t>X</t>
  </si>
  <si>
    <t>Y</t>
  </si>
  <si>
    <t>Z</t>
  </si>
  <si>
    <t>TOTAL</t>
  </si>
  <si>
    <t>1.1.1</t>
  </si>
  <si>
    <t>1.2.1</t>
  </si>
  <si>
    <t>Perímetro externo</t>
  </si>
  <si>
    <t>Terreno</t>
  </si>
  <si>
    <t>M2</t>
  </si>
  <si>
    <t>PARCIAL</t>
  </si>
  <si>
    <t>GERAL</t>
  </si>
  <si>
    <t>Sapatas e vigas baldrames ( S4=S5=S7=S8=S10=S11 )</t>
  </si>
  <si>
    <t>Sapatas e vigas baldrames ( S2=S3=S12=S13 )</t>
  </si>
  <si>
    <t>Sapatas e vigas baldrames ( S1=S14 )</t>
  </si>
  <si>
    <t>Sapatas e vigas baldrames ( S6=S9 )</t>
  </si>
  <si>
    <t>Sapatas e vigas baldrames ( VB1 )</t>
  </si>
  <si>
    <t>Sapatas e vigas baldrames ( VB2 )</t>
  </si>
  <si>
    <t>Sapatas e vigas baldrames ( VB3 )</t>
  </si>
  <si>
    <t>Sapatas e vigas baldrames ( VB4 )</t>
  </si>
  <si>
    <t>Sapatas e vigas baldrames ( VB5  )</t>
  </si>
  <si>
    <t>Sapatas e vigas baldrames ( VB6=VB7=VB8=VB9=VB10=VB11=VB12=VB13 )</t>
  </si>
  <si>
    <t>M3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</si>
  <si>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</si>
  <si>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</si>
  <si>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</si>
  <si>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</si>
  <si>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</si>
  <si>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</si>
  <si>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</si>
  <si>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</si>
  <si>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</si>
  <si>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</si>
  <si>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2.2.2.1</t>
  </si>
  <si>
    <t>Volume de escavação - Volume de concreto das sapatas</t>
  </si>
  <si>
    <t xml:space="preserve">MEMORIAL DE CALCULO 01
</t>
  </si>
  <si>
    <t xml:space="preserve">______________________________________
Eng. Responsável Técnico da Fiscalização
</t>
  </si>
  <si>
    <t xml:space="preserve">_________________________________
Eng. Responsável Técnico da Execução
</t>
  </si>
  <si>
    <t>REFERÊNCIA/PERÍODO DA MEDIÇÃO: De  09/03/2026  a 09/04/2026</t>
  </si>
  <si>
    <t xml:space="preserve">_________________________________
Eng. Responsável Técnico da Execução
</t>
  </si>
  <si>
    <t xml:space="preserve">______________________________________
Eng. Responsável Técnico da Fiscalização
</t>
  </si>
  <si>
    <t>2.3.1.1</t>
  </si>
  <si>
    <t>2.3.1.2</t>
  </si>
  <si>
    <t>2.3.1.3</t>
  </si>
  <si>
    <t>2.3.1.4</t>
  </si>
  <si>
    <t>2.3.2.1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</si>
  <si>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</si>
  <si>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</si>
  <si>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</si>
  <si>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</si>
  <si>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</si>
  <si>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</si>
  <si>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</si>
  <si>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</si>
  <si>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</si>
  <si>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2.3.3.1</t>
  </si>
  <si>
    <t>2.3.3.2</t>
  </si>
  <si>
    <t>2.3.4.1</t>
  </si>
  <si>
    <t>2.3.5.1</t>
  </si>
  <si>
    <t>2.3.6.1</t>
  </si>
  <si>
    <t>2.3.7.1</t>
  </si>
  <si>
    <t>2.3.8.1</t>
  </si>
  <si>
    <t>2.3.9.1</t>
  </si>
  <si>
    <t>2.3.10.1</t>
  </si>
  <si>
    <t>2.3.10.2</t>
  </si>
  <si>
    <t>2.3.10.3</t>
  </si>
  <si>
    <t>2.3.10.4</t>
  </si>
  <si>
    <t>2.3.10.5</t>
  </si>
  <si>
    <t>2.3.10.6</t>
  </si>
  <si>
    <t>2.4.1.1</t>
  </si>
  <si>
    <t>2.4.1.2</t>
  </si>
  <si>
    <t>2.4.1.3</t>
  </si>
  <si>
    <t>2.4.2.1</t>
  </si>
  <si>
    <t>2.4.3.1</t>
  </si>
  <si>
    <t>S4=S5=S7=S8=S10=S11</t>
  </si>
  <si>
    <t>S2=S3=S12=S13</t>
  </si>
  <si>
    <t>S1=S14</t>
  </si>
  <si>
    <t>S6=S9</t>
  </si>
  <si>
    <t>VB1</t>
  </si>
  <si>
    <t>VB2</t>
  </si>
  <si>
    <t>VB6=VB7=VB8=VB9=VB10=VB11=VB12=VB13</t>
  </si>
  <si>
    <t>VB3</t>
  </si>
  <si>
    <t>VB4</t>
  </si>
  <si>
    <t>VB5</t>
  </si>
  <si>
    <t>Sapatas</t>
  </si>
  <si>
    <t>Vigas Baldrames</t>
  </si>
  <si>
    <t>Perímetro ( Quiosque e WC )</t>
  </si>
  <si>
    <t>Lançamento</t>
  </si>
  <si>
    <t>Vigas baldrames</t>
  </si>
  <si>
    <t>Sapatas ( Prancha 05/11 )</t>
  </si>
  <si>
    <t>Vigas baldrames ( Prancha 06/11 )</t>
  </si>
  <si>
    <t>0,3+0,3+ 0,3</t>
  </si>
  <si>
    <t>Pilares</t>
  </si>
  <si>
    <t>Arranque de Pilares ( Nível 230 )</t>
  </si>
  <si>
    <t>Pilares ( Nível 230 )</t>
  </si>
  <si>
    <t>Pilares ( Nível 420 )</t>
  </si>
  <si>
    <t>Viga</t>
  </si>
  <si>
    <t>Viga ( Nível 270 )</t>
  </si>
  <si>
    <t>Laje</t>
  </si>
  <si>
    <t>Laje ( Nível 275 )</t>
  </si>
  <si>
    <t>3.1.1.1</t>
  </si>
  <si>
    <t>3.2.1.1</t>
  </si>
  <si>
    <t>3.2.1.2</t>
  </si>
  <si>
    <t>3.2.1.3</t>
  </si>
  <si>
    <t>3.2.2.1</t>
  </si>
  <si>
    <t>3.3.1.1</t>
  </si>
  <si>
    <t>3.3.2.1</t>
  </si>
  <si>
    <t>3.3.2.2</t>
  </si>
  <si>
    <t>3.3.2.3</t>
  </si>
  <si>
    <t>3.3.3.1</t>
  </si>
  <si>
    <t>3.3.3.2</t>
  </si>
  <si>
    <t>3.3.4.1</t>
  </si>
  <si>
    <t>3.3.5.1</t>
  </si>
  <si>
    <t>3.3.6.1</t>
  </si>
  <si>
    <t>3.3.7.1</t>
  </si>
  <si>
    <t>3.3.8.1</t>
  </si>
  <si>
    <t>3.3.9.1</t>
  </si>
  <si>
    <t>3.3.10.1</t>
  </si>
  <si>
    <t>3.3.10.2</t>
  </si>
  <si>
    <t>3.4.1.1</t>
  </si>
  <si>
    <t>3.4.2.1</t>
  </si>
  <si>
    <t>3.4.2.2</t>
  </si>
  <si>
    <t>3.4.3.1</t>
  </si>
  <si>
    <t>3.4.3.2</t>
  </si>
  <si>
    <t>3.4.3.3</t>
  </si>
  <si>
    <t>3.4.4.1</t>
  </si>
  <si>
    <t>3.4.4.2</t>
  </si>
  <si>
    <t>3.4.5.1</t>
  </si>
  <si>
    <t>3.4.5.2</t>
  </si>
  <si>
    <t>3.4.6.1</t>
  </si>
  <si>
    <t>3.4.6.2</t>
  </si>
  <si>
    <t>3.4.6.3</t>
  </si>
  <si>
    <t>3.4.6.4</t>
  </si>
  <si>
    <t>3.4.7.1</t>
  </si>
  <si>
    <t>3.4.8.1</t>
  </si>
  <si>
    <t>3.4.9.1</t>
  </si>
  <si>
    <t>3.4.10.1</t>
  </si>
  <si>
    <t>Perímetro ( Guarita e WC )</t>
  </si>
  <si>
    <t>S1=S2=S3=S4</t>
  </si>
  <si>
    <t>S1=S2=S3=S4 ( Sapatas )</t>
  </si>
  <si>
    <t>VB1 E VB2 ( Vigas Baldrames Nível +0 )</t>
  </si>
  <si>
    <t>VB3, VB4, VB5  ( Vigas Baldrames Nível +0 )</t>
  </si>
  <si>
    <t>VB3, VB4, VB5 ( Vigas Baldrames Nível +0 )</t>
  </si>
  <si>
    <t>Sapatas ( Nível +0 )</t>
  </si>
  <si>
    <t>Vigas Baldrames ( Nível +0 )</t>
  </si>
  <si>
    <t>VB1 E VB2  ( Nível +0 )</t>
  </si>
  <si>
    <t>VB3, VB4, VB5 ( Nível +0 )</t>
  </si>
  <si>
    <t>Pilares ( Nível+300 )</t>
  </si>
  <si>
    <t>Vigas</t>
  </si>
  <si>
    <t>Viga platinbanda</t>
  </si>
  <si>
    <t>3.4.7.2</t>
  </si>
  <si>
    <t>3.4.7.3</t>
  </si>
  <si>
    <t>3.4.7.4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</si>
  <si>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</si>
  <si>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</si>
  <si>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</si>
  <si>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</si>
  <si>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</si>
  <si>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</si>
  <si>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</si>
  <si>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</si>
  <si>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</si>
  <si>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</si>
  <si>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</si>
  <si>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</si>
  <si>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</si>
  <si>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</si>
  <si>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</si>
  <si>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</si>
  <si>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4.1.2.1</t>
  </si>
  <si>
    <t>4.2.2.1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</si>
  <si>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</si>
  <si>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</si>
  <si>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</si>
  <si>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</si>
  <si>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</si>
  <si>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</si>
  <si>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</si>
  <si>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</si>
  <si>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</si>
  <si>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</si>
  <si>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</si>
  <si>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</si>
  <si>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</si>
  <si>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</si>
  <si>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</si>
  <si>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4.2.3.1</t>
  </si>
  <si>
    <t>4.2.3.2</t>
  </si>
  <si>
    <t>4.2.4.1</t>
  </si>
  <si>
    <t>4.2.5.1</t>
  </si>
  <si>
    <t>4.2.6.1</t>
  </si>
  <si>
    <t>4.2.7.1</t>
  </si>
  <si>
    <t>4.2.8.1</t>
  </si>
  <si>
    <t>4.2.9.1</t>
  </si>
  <si>
    <t>4.2.10.1</t>
  </si>
  <si>
    <t>4.2.10.2</t>
  </si>
  <si>
    <t>4.2.10.3</t>
  </si>
  <si>
    <t>4.2.10.4</t>
  </si>
  <si>
    <t>4.2.10.5</t>
  </si>
  <si>
    <t>4.2.10.6</t>
  </si>
  <si>
    <t>4.2.10.7</t>
  </si>
  <si>
    <t>4.2.10.8</t>
  </si>
  <si>
    <t>4.2.10.9</t>
  </si>
  <si>
    <t>4.2.10.10</t>
  </si>
  <si>
    <t>4.2.10.11</t>
  </si>
  <si>
    <t>4.2.10.12</t>
  </si>
  <si>
    <t>4.3.1.1</t>
  </si>
  <si>
    <t>4.3.1.2</t>
  </si>
  <si>
    <t>4.3.1.3</t>
  </si>
  <si>
    <t>4.3.2.1</t>
  </si>
  <si>
    <t>4.3.2.2</t>
  </si>
  <si>
    <t>4.3.3.1</t>
  </si>
  <si>
    <t>4.3.3.2</t>
  </si>
  <si>
    <t>4.3.3.3</t>
  </si>
  <si>
    <t>4.3.3.4</t>
  </si>
  <si>
    <t>4.3.4.1</t>
  </si>
  <si>
    <t>4.3.4.2</t>
  </si>
  <si>
    <t>4.3.4.3</t>
  </si>
  <si>
    <t>4.3.4.4</t>
  </si>
  <si>
    <t>4.3.5.1</t>
  </si>
  <si>
    <t>4.3.5.2</t>
  </si>
  <si>
    <t>S10=S11 ( Sapatas )</t>
  </si>
  <si>
    <t>S1=S2=S3=S4=S5=S6=S7=S8=S9=S26 ( Sapatas )</t>
  </si>
  <si>
    <t>S13=S14=S15=S16=S17=S18=S19=S20=S21=S22=S23=S24=S25 ( Sapatas )</t>
  </si>
  <si>
    <t>S12 ( Sapata )</t>
  </si>
  <si>
    <t>VB1 ( Vigas Baldrames )</t>
  </si>
  <si>
    <t>VB2 ( Vigas Baldrames )</t>
  </si>
  <si>
    <t>VB3 ( Vigas Baldrames )</t>
  </si>
  <si>
    <t>VB4 ( Vigas Baldrames )</t>
  </si>
  <si>
    <t>VB5 ( Vigas Baldrames )</t>
  </si>
  <si>
    <t>VB6 ( Vigas Baldrames )</t>
  </si>
  <si>
    <t>VB7 ( Vigas Baldrames )</t>
  </si>
  <si>
    <t>VB8 ( Vigas Baldrames )</t>
  </si>
  <si>
    <t>VB9 ( Vigas Baldrames )</t>
  </si>
  <si>
    <t>VB10 ( Vigas Baldrames )</t>
  </si>
  <si>
    <t>VB11 ( Vigas Baldrames )</t>
  </si>
  <si>
    <t>VB12 ( Vigas Baldrames )</t>
  </si>
  <si>
    <t>4.2.9.2</t>
  </si>
  <si>
    <t>Arranque de pilares</t>
  </si>
  <si>
    <t>Arranque de pilares ( Nível 0 )</t>
  </si>
  <si>
    <t>Pilares ( Nível 130 )</t>
  </si>
  <si>
    <t>Vigas  ( Nível 130 )</t>
  </si>
  <si>
    <t>Vigas  ( Nível 230 )</t>
  </si>
  <si>
    <t>2.8.1</t>
  </si>
  <si>
    <t>2.8.2</t>
  </si>
  <si>
    <t>2.8.3</t>
  </si>
  <si>
    <t>PERCENTUAL DE EXECUÇÃO</t>
  </si>
  <si>
    <t>ACUMULADO INCLUINDO O PERÍODO</t>
  </si>
  <si>
    <t>VALOR TOTAL ACUMULADO</t>
  </si>
  <si>
    <t>VALORES MEDIDOS</t>
  </si>
  <si>
    <t>QUANTIDADES MEDIDAS</t>
  </si>
  <si>
    <t>REFERÊNCIA/PERÍODO DA MEDIÇÃO: De  09/04/2026  a 09/05/2026</t>
  </si>
  <si>
    <t xml:space="preserve">NÚMERO DA MEDIÇÃO:
2ª MEDIÇÃO.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</si>
</sst>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MT"/>
    </font>
    <font>
      <b/>
      <sz val="10"/>
      <color rgb="FF000000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horizontal="center" vertical="center" wrapText="1"/>
    </xf>
    <xf numFmtId="2" fontId="17" fillId="0" borderId="25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8" xfId="0" applyNumberFormat="1" applyFont="1" applyFill="1" applyBorder="1" applyAlignment="1">
      <alignment horizontal="center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9" fontId="19" fillId="0" borderId="1" xfId="2" applyFont="1" applyFill="1" applyBorder="1" applyAlignment="1" applyProtection="1">
      <alignment horizontal="right" vertical="center" wrapText="1"/>
    </xf>
    <xf numFmtId="4" fontId="19" fillId="0" borderId="1" xfId="0" applyNumberFormat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0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0" fillId="0" borderId="0" xfId="0" applyFont="1"/>
    <xf numFmtId="9" fontId="10" fillId="0" borderId="1" xfId="2" applyFont="1" applyBorder="1"/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13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20" fillId="0" borderId="15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2" fontId="17" fillId="0" borderId="23" xfId="0" applyNumberFormat="1" applyFont="1" applyBorder="1" applyAlignment="1">
      <alignment horizontal="center" vertical="center" shrinkToFit="1"/>
    </xf>
    <xf numFmtId="44" fontId="18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/>
    <xf numFmtId="2" fontId="16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/>
    <xf numFmtId="0" fontId="8" fillId="4" borderId="7" xfId="0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" fontId="16" fillId="0" borderId="15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" fontId="22" fillId="0" borderId="5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wrapText="1"/>
    </xf>
    <xf numFmtId="166" fontId="8" fillId="0" borderId="5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shrinkToFit="1"/>
    </xf>
    <xf numFmtId="166" fontId="17" fillId="0" borderId="7" xfId="0" applyNumberFormat="1" applyFont="1" applyBorder="1" applyAlignment="1">
      <alignment horizontal="center" vertical="center" shrinkToFit="1"/>
    </xf>
    <xf numFmtId="0" fontId="21" fillId="0" borderId="6" xfId="0" applyFont="1" applyBorder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wrapText="1"/>
    </xf>
    <xf numFmtId="44" fontId="8" fillId="4" borderId="7" xfId="0" applyNumberFormat="1" applyFont="1" applyFill="1" applyBorder="1" applyAlignment="1">
      <alignment horizontal="center" vertical="center" wrapText="1"/>
    </xf>
    <xf numFmtId="44" fontId="18" fillId="0" borderId="5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23" fillId="0" borderId="5" xfId="0" applyNumberFormat="1" applyFont="1" applyBorder="1" applyAlignment="1">
      <alignment horizontal="center" vertical="center" shrinkToFit="1"/>
    </xf>
    <xf numFmtId="44" fontId="18" fillId="0" borderId="6" xfId="0" applyNumberFormat="1" applyFont="1" applyBorder="1" applyAlignment="1">
      <alignment horizontal="center" vertical="center" wrapText="1"/>
    </xf>
    <xf numFmtId="44" fontId="17" fillId="0" borderId="7" xfId="0" applyNumberFormat="1" applyFont="1" applyBorder="1" applyAlignment="1">
      <alignment horizontal="center" vertical="center" shrinkToFit="1"/>
    </xf>
    <xf numFmtId="44" fontId="17" fillId="0" borderId="22" xfId="0" applyNumberFormat="1" applyFont="1" applyBorder="1" applyAlignment="1">
      <alignment horizontal="center" vertical="center" shrinkToFit="1"/>
    </xf>
    <xf numFmtId="44" fontId="18" fillId="0" borderId="25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9" fontId="9" fillId="0" borderId="15" xfId="2" applyFont="1" applyBorder="1" applyAlignment="1">
      <alignment horizontal="center" vertical="center" wrapText="1"/>
    </xf>
    <xf numFmtId="2" fontId="24" fillId="0" borderId="22" xfId="0" applyNumberFormat="1" applyFont="1" applyBorder="1" applyAlignment="1">
      <alignment horizontal="center" vertical="center" shrinkToFit="1"/>
    </xf>
    <xf numFmtId="44" fontId="9" fillId="0" borderId="15" xfId="2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shrinkToFit="1"/>
    </xf>
    <xf numFmtId="2" fontId="26" fillId="0" borderId="23" xfId="0" applyNumberFormat="1" applyFont="1" applyBorder="1" applyAlignment="1">
      <alignment horizontal="center" vertical="center" shrinkToFit="1"/>
    </xf>
    <xf numFmtId="165" fontId="8" fillId="4" borderId="8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66" fontId="8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7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" xfId="0" applyFont="1" applyBorder="1"/>
    <xf numFmtId="0" fontId="3" fillId="0" borderId="24" xfId="0" applyFont="1" applyBorder="1" applyAlignment="1">
      <alignment vertical="center" wrapText="1"/>
    </xf>
    <xf numFmtId="0" fontId="3" fillId="4" borderId="27" xfId="0" applyFont="1" applyFill="1" applyBorder="1" applyAlignment="1">
      <alignment horizontal="center" vertical="center" wrapText="1"/>
    </xf>
    <xf numFmtId="2" fontId="30" fillId="0" borderId="5" xfId="0" applyNumberFormat="1" applyFont="1" applyBorder="1" applyAlignment="1">
      <alignment horizontal="center" vertical="center" shrinkToFit="1"/>
    </xf>
    <xf numFmtId="2" fontId="30" fillId="0" borderId="7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33" xfId="0" applyFont="1" applyFill="1" applyBorder="1" applyAlignment="1">
      <alignment horizontal="left" vertical="center" wrapText="1"/>
    </xf>
    <xf numFmtId="0" fontId="3" fillId="3" borderId="34" xfId="0" applyFont="1" applyFill="1" applyBorder="1" applyAlignment="1">
      <alignment horizontal="left" vertical="center" wrapText="1"/>
    </xf>
    <xf numFmtId="0" fontId="3" fillId="3" borderId="3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4" fontId="24" fillId="0" borderId="22" xfId="0" applyNumberFormat="1" applyFont="1" applyBorder="1" applyAlignment="1">
      <alignment horizontal="left" vertical="center" shrinkToFit="1"/>
    </xf>
    <xf numFmtId="44" fontId="13" fillId="0" borderId="3" xfId="0" applyNumberFormat="1" applyFont="1" applyBorder="1" applyAlignment="1">
      <alignment horizontal="center" vertical="center" wrapText="1"/>
    </xf>
    <xf numFmtId="9" fontId="6" fillId="0" borderId="1" xfId="2" applyFont="1" applyBorder="1" applyAlignment="1">
      <alignment horizontal="center" vertical="center" wrapText="1"/>
    </xf>
    <xf numFmtId="2" fontId="9" fillId="0" borderId="15" xfId="2" applyNumberFormat="1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79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43543</xdr:rowOff>
    </xdr:from>
    <xdr:ext cx="1365934" cy="1469570"/>
    <xdr:pic>
      <xdr:nvPicPr>
        <xdr:cNvPr id="3" name="image1.jpeg">
          <a:extLst>
            <a:ext uri="{FF2B5EF4-FFF2-40B4-BE49-F238E27FC236}">
              <a16:creationId xmlns:a16="http://schemas.microsoft.com/office/drawing/2014/main" id="{A56DB9F0-7A3E-44B4-9BC9-555ED6EC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" y="43543"/>
          <a:ext cx="1365934" cy="1469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97972</xdr:rowOff>
    </xdr:from>
    <xdr:ext cx="1328057" cy="1404257"/>
    <xdr:pic>
      <xdr:nvPicPr>
        <xdr:cNvPr id="3" name="image1.jpeg">
          <a:extLst>
            <a:ext uri="{FF2B5EF4-FFF2-40B4-BE49-F238E27FC236}">
              <a16:creationId xmlns:a16="http://schemas.microsoft.com/office/drawing/2014/main" id="{23B56817-AB73-4572-8284-C7E2E432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972"/>
          <a:ext cx="1328057" cy="1404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362"/>
  <sheetViews>
    <sheetView tabSelected="1" view="pageBreakPreview" zoomScale="55" zoomScaleNormal="70" zoomScaleSheetLayoutView="55" workbookViewId="0">
      <selection activeCell="L3" sqref="L3"/>
    </sheetView>
  </sheetViews>
  <sheetFormatPr defaultColWidth="9.21875" defaultRowHeight="13.8"/>
  <cols>
    <col min="1" max="1" width="21.6640625" style="16" customWidth="1"/>
    <col min="2" max="2" width="13.21875" style="16" customWidth="1"/>
    <col min="3" max="3" width="61.44140625" style="16" customWidth="1"/>
    <col min="4" max="4" width="13" style="16" customWidth="1"/>
    <col min="5" max="5" width="11.21875" style="16" customWidth="1"/>
    <col min="6" max="6" width="12.5546875" style="16" customWidth="1"/>
    <col min="7" max="7" width="13.77734375" style="16" customWidth="1"/>
    <col min="8" max="8" width="17.21875" style="16" customWidth="1"/>
    <col min="9" max="9" width="49.109375" style="16" customWidth="1"/>
    <col min="10" max="10" width="24.6640625" style="16" hidden="1" customWidth="1"/>
    <col min="11" max="11" width="25" style="16" hidden="1" customWidth="1"/>
    <col min="12" max="12" width="34.6640625" style="16" customWidth="1"/>
    <col min="13" max="13" width="24.6640625" style="16" bestFit="1" customWidth="1"/>
    <col min="14" max="14" width="25" style="16" customWidth="1"/>
    <col min="15" max="15" width="18.88671875" style="16" bestFit="1" customWidth="1"/>
    <col min="16" max="16" width="24.6640625" style="16" bestFit="1" customWidth="1"/>
    <col min="17" max="17" width="25" style="16" bestFit="1" customWidth="1"/>
    <col min="18" max="16384" width="9.21875" style="16"/>
  </cols>
  <sheetData>
    <row r="1" spans="1:17" ht="127.2" customHeight="1">
      <c r="A1" s="147"/>
      <c r="B1" s="193" t="s">
        <v>71</v>
      </c>
      <c r="C1" s="194"/>
      <c r="D1" s="148"/>
      <c r="E1" s="182" t="s">
        <v>69</v>
      </c>
      <c r="F1" s="182"/>
      <c r="G1" s="182" t="s">
        <v>599</v>
      </c>
      <c r="H1" s="182"/>
      <c r="I1" s="61" t="s">
        <v>70</v>
      </c>
      <c r="J1" s="168"/>
      <c r="K1" s="168"/>
      <c r="L1" s="168"/>
      <c r="M1" s="168"/>
      <c r="N1" s="168"/>
      <c r="O1" s="168"/>
      <c r="P1" s="168"/>
      <c r="Q1" s="168"/>
    </row>
    <row r="2" spans="1:17" ht="80.400000000000006" customHeight="1">
      <c r="A2" s="182" t="s">
        <v>72</v>
      </c>
      <c r="B2" s="182"/>
      <c r="C2" s="182"/>
      <c r="D2" s="182"/>
      <c r="E2" s="182" t="s">
        <v>853</v>
      </c>
      <c r="F2" s="182"/>
      <c r="G2" s="182" t="s">
        <v>852</v>
      </c>
      <c r="H2" s="182"/>
      <c r="I2" s="61" t="s">
        <v>598</v>
      </c>
      <c r="J2" s="168"/>
      <c r="K2" s="168"/>
      <c r="L2" s="168"/>
      <c r="M2" s="168"/>
      <c r="N2" s="168"/>
      <c r="O2" s="168"/>
      <c r="P2" s="168"/>
      <c r="Q2" s="168"/>
    </row>
    <row r="3" spans="1:17" ht="55.8" customHeight="1">
      <c r="A3" s="182" t="s">
        <v>73</v>
      </c>
      <c r="B3" s="182"/>
      <c r="C3" s="182"/>
      <c r="D3" s="182"/>
      <c r="E3" s="182" t="s">
        <v>74</v>
      </c>
      <c r="F3" s="182"/>
      <c r="G3" s="182"/>
      <c r="H3" s="182"/>
      <c r="I3" s="182"/>
      <c r="J3" s="171" t="s">
        <v>49</v>
      </c>
      <c r="K3" s="189"/>
      <c r="L3" s="84">
        <f>L346</f>
        <v>101593.32700000002</v>
      </c>
      <c r="M3" s="218" t="str">
        <f>TEXT("TOTAL MEDIDO NO PERÍODO 02 =",)</f>
        <v>TOTAL MEDIDO NO PERÍODO 02 =</v>
      </c>
      <c r="N3" s="218"/>
      <c r="O3" s="218"/>
      <c r="P3" s="220">
        <f>SUM(P7:P9,P12,P14:P15,P17:P26,P28:P37,P39:P41,P43:P51,P53:P54,P56:P58,P61:P85,P87:P107,P109:P129,P131:P136,P138:P140,P143,P145,P146,P148:P157,P159:P168,P170:P172,P174:P180,P182:P185,P187:P189,P192:P215,P217:P236,P238:P255,P257:P261,P263:P265,P268:P269,P271:P280,P282:P288,P290:P297,P300:P309,P311:P313,P315:P323,P325:P343)</f>
        <v>108647.23099999999</v>
      </c>
      <c r="Q3" s="220"/>
    </row>
    <row r="4" spans="1:17" ht="15" customHeight="1">
      <c r="A4" s="190"/>
      <c r="B4" s="191"/>
      <c r="C4" s="191"/>
      <c r="D4" s="191"/>
      <c r="E4" s="191"/>
      <c r="F4" s="191"/>
      <c r="G4" s="191"/>
      <c r="H4" s="192"/>
      <c r="I4" s="1"/>
      <c r="J4" s="169" t="s">
        <v>0</v>
      </c>
      <c r="K4" s="169"/>
      <c r="L4" s="169"/>
      <c r="M4" s="169" t="s">
        <v>851</v>
      </c>
      <c r="N4" s="169"/>
      <c r="O4" s="169"/>
      <c r="P4" s="169" t="s">
        <v>850</v>
      </c>
      <c r="Q4" s="169"/>
    </row>
    <row r="5" spans="1:17" ht="65.2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4"/>
      <c r="J5" s="4" t="s">
        <v>9</v>
      </c>
      <c r="K5" s="4" t="s">
        <v>10</v>
      </c>
      <c r="L5" s="4" t="s">
        <v>11</v>
      </c>
      <c r="M5" s="172" t="s">
        <v>10</v>
      </c>
      <c r="N5" s="172" t="s">
        <v>848</v>
      </c>
      <c r="O5" s="172" t="s">
        <v>847</v>
      </c>
      <c r="P5" s="172" t="s">
        <v>11</v>
      </c>
      <c r="Q5" s="172" t="s">
        <v>849</v>
      </c>
    </row>
    <row r="6" spans="1:17" ht="20.100000000000001" customHeight="1">
      <c r="A6" s="5">
        <v>1</v>
      </c>
      <c r="B6" s="175" t="s">
        <v>12</v>
      </c>
      <c r="C6" s="175"/>
      <c r="D6" s="175"/>
      <c r="E6" s="175"/>
      <c r="F6" s="175"/>
      <c r="G6" s="175"/>
      <c r="H6" s="6">
        <f>SUM(H7:H9)</f>
        <v>14468.484199999999</v>
      </c>
      <c r="I6" s="7"/>
      <c r="J6" s="188" t="s">
        <v>13</v>
      </c>
      <c r="K6" s="188"/>
      <c r="L6" s="188"/>
      <c r="M6" s="173"/>
      <c r="N6" s="174"/>
      <c r="O6" s="173"/>
      <c r="P6" s="173"/>
      <c r="Q6" s="174"/>
    </row>
    <row r="7" spans="1:17" s="79" customFormat="1" ht="49.95" customHeight="1">
      <c r="A7" s="88" t="s">
        <v>14</v>
      </c>
      <c r="B7" s="102">
        <v>103689</v>
      </c>
      <c r="C7" s="70" t="s">
        <v>77</v>
      </c>
      <c r="D7" s="71" t="s">
        <v>37</v>
      </c>
      <c r="E7" s="71" t="s">
        <v>63</v>
      </c>
      <c r="F7" s="72">
        <v>8</v>
      </c>
      <c r="G7" s="73">
        <v>537.1</v>
      </c>
      <c r="H7" s="73">
        <f>F7*G7</f>
        <v>4296.8</v>
      </c>
      <c r="I7" s="89"/>
      <c r="J7" s="130">
        <f>K7/F7</f>
        <v>1</v>
      </c>
      <c r="K7" s="131">
        <v>8</v>
      </c>
      <c r="L7" s="132">
        <f>J7*H7</f>
        <v>4296.8</v>
      </c>
      <c r="M7" s="130"/>
      <c r="N7" s="131">
        <f t="shared" ref="N7" si="0">F7+M7</f>
        <v>8</v>
      </c>
      <c r="O7" s="130">
        <f>N7/F7</f>
        <v>1</v>
      </c>
      <c r="P7" s="132"/>
      <c r="Q7" s="219">
        <f>L7+P7</f>
        <v>4296.8</v>
      </c>
    </row>
    <row r="8" spans="1:17" s="79" customFormat="1" ht="49.95" customHeight="1">
      <c r="A8" s="86" t="s">
        <v>15</v>
      </c>
      <c r="B8" s="103">
        <v>99059</v>
      </c>
      <c r="C8" s="86" t="s">
        <v>78</v>
      </c>
      <c r="D8" s="85" t="s">
        <v>37</v>
      </c>
      <c r="E8" s="85" t="s">
        <v>38</v>
      </c>
      <c r="F8" s="97">
        <v>132.87</v>
      </c>
      <c r="G8" s="32">
        <v>71.739999999999995</v>
      </c>
      <c r="H8" s="73">
        <f t="shared" ref="H8:H9" si="1">F8*G8</f>
        <v>9532.0937999999987</v>
      </c>
      <c r="I8" s="74"/>
      <c r="J8" s="130">
        <f t="shared" ref="J8:J9" si="2">K8/F8</f>
        <v>1</v>
      </c>
      <c r="K8" s="135">
        <v>132.87</v>
      </c>
      <c r="L8" s="132">
        <f t="shared" ref="L8:L9" si="3">J8*H8</f>
        <v>9532.0937999999987</v>
      </c>
      <c r="M8" s="130"/>
      <c r="N8" s="131">
        <f t="shared" ref="N8" si="4">F8+M8</f>
        <v>132.87</v>
      </c>
      <c r="O8" s="130">
        <f t="shared" ref="O8:O9" si="5">N8/F8</f>
        <v>1</v>
      </c>
      <c r="P8" s="132"/>
      <c r="Q8" s="219">
        <f t="shared" ref="Q8:Q9" si="6">L8+P8</f>
        <v>9532.0937999999987</v>
      </c>
    </row>
    <row r="9" spans="1:17" ht="49.95" customHeight="1">
      <c r="A9" s="90" t="s">
        <v>75</v>
      </c>
      <c r="B9" s="104">
        <v>98525</v>
      </c>
      <c r="C9" s="91" t="s">
        <v>79</v>
      </c>
      <c r="D9" s="92" t="s">
        <v>37</v>
      </c>
      <c r="E9" s="93" t="s">
        <v>63</v>
      </c>
      <c r="F9" s="94">
        <v>888.32</v>
      </c>
      <c r="G9" s="95">
        <v>0.72</v>
      </c>
      <c r="H9" s="73">
        <f t="shared" si="1"/>
        <v>639.59040000000005</v>
      </c>
      <c r="I9" s="96"/>
      <c r="J9" s="130">
        <f t="shared" si="2"/>
        <v>1</v>
      </c>
      <c r="K9" s="136">
        <v>888.32</v>
      </c>
      <c r="L9" s="132">
        <f t="shared" si="3"/>
        <v>639.59040000000005</v>
      </c>
      <c r="M9" s="130"/>
      <c r="N9" s="131">
        <f t="shared" ref="N9" si="7">F9+M9</f>
        <v>888.32</v>
      </c>
      <c r="O9" s="130">
        <f t="shared" si="5"/>
        <v>1</v>
      </c>
      <c r="P9" s="132"/>
      <c r="Q9" s="219">
        <f t="shared" si="6"/>
        <v>639.59040000000005</v>
      </c>
    </row>
    <row r="10" spans="1:17" ht="19.2" customHeight="1">
      <c r="A10" s="5">
        <v>2</v>
      </c>
      <c r="B10" s="175" t="s">
        <v>76</v>
      </c>
      <c r="C10" s="175"/>
      <c r="D10" s="175"/>
      <c r="E10" s="175"/>
      <c r="F10" s="175"/>
      <c r="G10" s="175"/>
      <c r="H10" s="8">
        <f>SUM(H11,H13,H16,H27,H38,H42,H52,H55,H59,H130,H137)</f>
        <v>94029.074800000002</v>
      </c>
      <c r="I10" s="7"/>
      <c r="J10" s="7"/>
      <c r="K10" s="7"/>
      <c r="L10" s="7"/>
      <c r="M10" s="7"/>
      <c r="N10" s="7"/>
      <c r="O10" s="7"/>
      <c r="P10" s="7"/>
      <c r="Q10" s="7"/>
    </row>
    <row r="11" spans="1:17" ht="20.100000000000001" customHeight="1">
      <c r="A11" s="5" t="s">
        <v>16</v>
      </c>
      <c r="B11" s="175" t="s">
        <v>12</v>
      </c>
      <c r="C11" s="175"/>
      <c r="D11" s="175"/>
      <c r="E11" s="175"/>
      <c r="F11" s="175"/>
      <c r="G11" s="175"/>
      <c r="H11" s="8">
        <f>SUM(H12:H12)</f>
        <v>997.17599999999993</v>
      </c>
      <c r="I11" s="7"/>
      <c r="J11" s="7"/>
      <c r="K11" s="7"/>
      <c r="L11" s="7"/>
      <c r="M11" s="7"/>
      <c r="N11" s="7"/>
      <c r="O11" s="7"/>
      <c r="P11" s="7"/>
      <c r="Q11" s="7"/>
    </row>
    <row r="12" spans="1:17" ht="54.6" customHeight="1">
      <c r="A12" s="17" t="s">
        <v>80</v>
      </c>
      <c r="B12" s="104">
        <v>99059</v>
      </c>
      <c r="C12" s="34" t="s">
        <v>78</v>
      </c>
      <c r="D12" s="30" t="s">
        <v>37</v>
      </c>
      <c r="E12" s="30" t="s">
        <v>38</v>
      </c>
      <c r="F12" s="30">
        <v>13.9</v>
      </c>
      <c r="G12" s="32">
        <v>71.739999999999995</v>
      </c>
      <c r="H12" s="129">
        <f>F12*G12-0.01</f>
        <v>997.17599999999993</v>
      </c>
      <c r="I12" s="10"/>
      <c r="J12" s="130">
        <f t="shared" ref="J12" si="8">K12/F12</f>
        <v>1</v>
      </c>
      <c r="K12" s="133">
        <v>13.9</v>
      </c>
      <c r="L12" s="134">
        <f>J12*H12</f>
        <v>997.17599999999993</v>
      </c>
      <c r="M12" s="130"/>
      <c r="N12" s="131">
        <f t="shared" ref="N12:N31" si="9">F12+M12</f>
        <v>13.9</v>
      </c>
      <c r="O12" s="130">
        <f t="shared" ref="O12:O31" si="10">N12/F12</f>
        <v>1</v>
      </c>
      <c r="P12" s="130"/>
      <c r="Q12" s="219">
        <f>L12+P12</f>
        <v>997.17599999999993</v>
      </c>
    </row>
    <row r="13" spans="1:17" ht="20.100000000000001" customHeight="1">
      <c r="A13" s="5" t="s">
        <v>17</v>
      </c>
      <c r="B13" s="175" t="s">
        <v>33</v>
      </c>
      <c r="C13" s="175"/>
      <c r="D13" s="175"/>
      <c r="E13" s="183"/>
      <c r="F13" s="175"/>
      <c r="G13" s="175"/>
      <c r="H13" s="8">
        <f>SUM(H14:H15)</f>
        <v>1312.6276999999998</v>
      </c>
      <c r="I13" s="7"/>
      <c r="J13" s="7"/>
      <c r="K13" s="7"/>
      <c r="L13" s="7"/>
      <c r="M13" s="7"/>
      <c r="N13" s="7"/>
      <c r="O13" s="7"/>
      <c r="P13" s="7"/>
      <c r="Q13" s="7"/>
    </row>
    <row r="14" spans="1:17" ht="49.95" customHeight="1">
      <c r="A14" s="99" t="s">
        <v>81</v>
      </c>
      <c r="B14" s="104">
        <v>93358</v>
      </c>
      <c r="C14" s="99" t="s">
        <v>410</v>
      </c>
      <c r="D14" s="117" t="s">
        <v>37</v>
      </c>
      <c r="E14" s="118" t="s">
        <v>65</v>
      </c>
      <c r="F14" s="119">
        <v>11.6</v>
      </c>
      <c r="G14" s="121">
        <v>96.82</v>
      </c>
      <c r="H14" s="137">
        <f>F14*G14</f>
        <v>1123.1119999999999</v>
      </c>
      <c r="I14" s="98"/>
      <c r="J14" s="130">
        <f t="shared" ref="J14:J30" si="11">K14/F14</f>
        <v>1</v>
      </c>
      <c r="K14" s="162">
        <v>11.6</v>
      </c>
      <c r="L14" s="134">
        <f>J14*H14</f>
        <v>1123.1119999999999</v>
      </c>
      <c r="M14" s="130"/>
      <c r="N14" s="131">
        <f t="shared" si="9"/>
        <v>11.6</v>
      </c>
      <c r="O14" s="130">
        <f t="shared" si="10"/>
        <v>1</v>
      </c>
      <c r="P14" s="130"/>
      <c r="Q14" s="219">
        <f>L14+P14</f>
        <v>1123.1119999999999</v>
      </c>
    </row>
    <row r="15" spans="1:17" ht="49.95" customHeight="1">
      <c r="A15" s="99" t="s">
        <v>81</v>
      </c>
      <c r="B15" s="104">
        <v>104737</v>
      </c>
      <c r="C15" s="99" t="s">
        <v>411</v>
      </c>
      <c r="D15" s="117" t="s">
        <v>37</v>
      </c>
      <c r="E15" s="118" t="s">
        <v>65</v>
      </c>
      <c r="F15" s="119">
        <v>7.67</v>
      </c>
      <c r="G15" s="121">
        <v>24.71</v>
      </c>
      <c r="H15" s="137">
        <f>F15*G15-0.01</f>
        <v>189.51570000000001</v>
      </c>
      <c r="I15" s="98"/>
      <c r="J15" s="130">
        <f t="shared" si="11"/>
        <v>1</v>
      </c>
      <c r="K15" s="162">
        <v>7.67</v>
      </c>
      <c r="L15" s="134">
        <f>J15*H15</f>
        <v>189.51570000000001</v>
      </c>
      <c r="M15" s="130"/>
      <c r="N15" s="131">
        <f t="shared" si="9"/>
        <v>7.67</v>
      </c>
      <c r="O15" s="130">
        <f t="shared" si="10"/>
        <v>1</v>
      </c>
      <c r="P15" s="130"/>
      <c r="Q15" s="219">
        <f>L15+P15</f>
        <v>189.51570000000001</v>
      </c>
    </row>
    <row r="16" spans="1:17" ht="20.100000000000001" customHeight="1">
      <c r="A16" s="106" t="s">
        <v>18</v>
      </c>
      <c r="B16" s="183" t="s">
        <v>40</v>
      </c>
      <c r="C16" s="183"/>
      <c r="D16" s="175"/>
      <c r="E16" s="184"/>
      <c r="F16" s="175"/>
      <c r="G16" s="175"/>
      <c r="H16" s="8">
        <f>SUM(H17:H26)-0.01</f>
        <v>13917.386500000001</v>
      </c>
      <c r="I16" s="7"/>
      <c r="J16" s="7"/>
      <c r="K16" s="7"/>
      <c r="L16" s="7"/>
      <c r="M16" s="7"/>
      <c r="N16" s="7"/>
      <c r="O16" s="7"/>
      <c r="P16" s="7"/>
      <c r="Q16" s="7"/>
    </row>
    <row r="17" spans="1:17" ht="49.95" customHeight="1">
      <c r="A17" s="86" t="s">
        <v>82</v>
      </c>
      <c r="B17" s="103">
        <v>96619</v>
      </c>
      <c r="C17" s="34" t="s">
        <v>412</v>
      </c>
      <c r="D17" s="105" t="s">
        <v>37</v>
      </c>
      <c r="E17" s="35" t="s">
        <v>63</v>
      </c>
      <c r="F17" s="36">
        <v>7.08</v>
      </c>
      <c r="G17" s="122">
        <v>44.9</v>
      </c>
      <c r="H17" s="32">
        <f>F17*G17</f>
        <v>317.892</v>
      </c>
      <c r="I17" s="10"/>
      <c r="J17" s="130">
        <f t="shared" si="11"/>
        <v>1</v>
      </c>
      <c r="K17" s="163">
        <v>7.08</v>
      </c>
      <c r="L17" s="134">
        <f>J17*H17</f>
        <v>317.892</v>
      </c>
      <c r="M17" s="130"/>
      <c r="N17" s="131">
        <f t="shared" si="9"/>
        <v>7.08</v>
      </c>
      <c r="O17" s="130">
        <f t="shared" si="10"/>
        <v>1</v>
      </c>
      <c r="P17" s="130"/>
      <c r="Q17" s="219">
        <f>L17+P17</f>
        <v>317.892</v>
      </c>
    </row>
    <row r="18" spans="1:17" ht="49.95" customHeight="1">
      <c r="A18" s="86" t="s">
        <v>83</v>
      </c>
      <c r="B18" s="103">
        <v>101616</v>
      </c>
      <c r="C18" s="34" t="s">
        <v>413</v>
      </c>
      <c r="D18" s="105" t="s">
        <v>37</v>
      </c>
      <c r="E18" s="35" t="s">
        <v>63</v>
      </c>
      <c r="F18" s="36">
        <v>16.010000000000002</v>
      </c>
      <c r="G18" s="122">
        <v>7.07</v>
      </c>
      <c r="H18" s="32">
        <f t="shared" ref="H18:H26" si="12">F18*G18</f>
        <v>113.19070000000002</v>
      </c>
      <c r="I18" s="10"/>
      <c r="J18" s="130">
        <f t="shared" si="11"/>
        <v>1</v>
      </c>
      <c r="K18" s="163">
        <v>16.010000000000002</v>
      </c>
      <c r="L18" s="134">
        <f t="shared" ref="L18:L30" si="13">J18*H18</f>
        <v>113.19070000000002</v>
      </c>
      <c r="M18" s="130"/>
      <c r="N18" s="131">
        <f t="shared" si="9"/>
        <v>16.010000000000002</v>
      </c>
      <c r="O18" s="130">
        <f t="shared" si="10"/>
        <v>1</v>
      </c>
      <c r="P18" s="130"/>
      <c r="Q18" s="219">
        <f t="shared" ref="Q18:Q31" si="14">L18+P18</f>
        <v>113.19070000000002</v>
      </c>
    </row>
    <row r="19" spans="1:17" ht="49.95" customHeight="1">
      <c r="A19" s="86" t="s">
        <v>84</v>
      </c>
      <c r="B19" s="103">
        <v>94971</v>
      </c>
      <c r="C19" s="34" t="s">
        <v>414</v>
      </c>
      <c r="D19" s="105" t="s">
        <v>37</v>
      </c>
      <c r="E19" s="35" t="s">
        <v>65</v>
      </c>
      <c r="F19" s="36">
        <v>3.93</v>
      </c>
      <c r="G19" s="122">
        <v>559.80999999999995</v>
      </c>
      <c r="H19" s="32">
        <f t="shared" si="12"/>
        <v>2200.0533</v>
      </c>
      <c r="I19" s="10"/>
      <c r="J19" s="130">
        <f t="shared" si="11"/>
        <v>1</v>
      </c>
      <c r="K19" s="163">
        <v>3.93</v>
      </c>
      <c r="L19" s="134">
        <f t="shared" si="13"/>
        <v>2200.0533</v>
      </c>
      <c r="M19" s="130"/>
      <c r="N19" s="131">
        <f t="shared" si="9"/>
        <v>3.93</v>
      </c>
      <c r="O19" s="130">
        <f t="shared" si="10"/>
        <v>1</v>
      </c>
      <c r="P19" s="130"/>
      <c r="Q19" s="219">
        <f t="shared" si="14"/>
        <v>2200.0533</v>
      </c>
    </row>
    <row r="20" spans="1:17" ht="49.95" customHeight="1">
      <c r="A20" s="86" t="s">
        <v>85</v>
      </c>
      <c r="B20" s="103">
        <v>103670</v>
      </c>
      <c r="C20" s="34" t="s">
        <v>415</v>
      </c>
      <c r="D20" s="56" t="s">
        <v>37</v>
      </c>
      <c r="E20" s="38" t="s">
        <v>65</v>
      </c>
      <c r="F20" s="39">
        <v>3.93</v>
      </c>
      <c r="G20" s="60">
        <v>331.13</v>
      </c>
      <c r="H20" s="32">
        <f t="shared" si="12"/>
        <v>1301.3409000000001</v>
      </c>
      <c r="I20" s="10"/>
      <c r="J20" s="130">
        <f t="shared" si="11"/>
        <v>1</v>
      </c>
      <c r="K20" s="164">
        <v>3.93</v>
      </c>
      <c r="L20" s="134">
        <f t="shared" si="13"/>
        <v>1301.3409000000001</v>
      </c>
      <c r="M20" s="130"/>
      <c r="N20" s="131">
        <f t="shared" si="9"/>
        <v>3.93</v>
      </c>
      <c r="O20" s="130">
        <f t="shared" si="10"/>
        <v>1</v>
      </c>
      <c r="P20" s="130"/>
      <c r="Q20" s="219">
        <f t="shared" si="14"/>
        <v>1301.3409000000001</v>
      </c>
    </row>
    <row r="21" spans="1:17" ht="49.95" customHeight="1">
      <c r="A21" s="86" t="s">
        <v>86</v>
      </c>
      <c r="B21" s="103">
        <v>104927</v>
      </c>
      <c r="C21" s="34" t="s">
        <v>416</v>
      </c>
      <c r="D21" s="56" t="s">
        <v>37</v>
      </c>
      <c r="E21" s="38" t="s">
        <v>63</v>
      </c>
      <c r="F21" s="39">
        <v>9.9499999999999993</v>
      </c>
      <c r="G21" s="60">
        <v>93.61</v>
      </c>
      <c r="H21" s="32">
        <f>F21*G21-0.01</f>
        <v>931.40949999999998</v>
      </c>
      <c r="I21" s="10"/>
      <c r="J21" s="130">
        <f t="shared" si="11"/>
        <v>1</v>
      </c>
      <c r="K21" s="164">
        <v>9.9499999999999993</v>
      </c>
      <c r="L21" s="134">
        <f t="shared" si="13"/>
        <v>931.40949999999998</v>
      </c>
      <c r="M21" s="130"/>
      <c r="N21" s="131">
        <f t="shared" si="9"/>
        <v>9.9499999999999993</v>
      </c>
      <c r="O21" s="130">
        <f t="shared" si="10"/>
        <v>1</v>
      </c>
      <c r="P21" s="130"/>
      <c r="Q21" s="219">
        <f t="shared" si="14"/>
        <v>931.40949999999998</v>
      </c>
    </row>
    <row r="22" spans="1:17" ht="49.95" customHeight="1">
      <c r="A22" s="86" t="s">
        <v>87</v>
      </c>
      <c r="B22" s="103">
        <v>96542</v>
      </c>
      <c r="C22" s="34" t="s">
        <v>417</v>
      </c>
      <c r="D22" s="56" t="s">
        <v>37</v>
      </c>
      <c r="E22" s="38" t="s">
        <v>63</v>
      </c>
      <c r="F22" s="39">
        <v>33.68</v>
      </c>
      <c r="G22" s="60">
        <v>102.97</v>
      </c>
      <c r="H22" s="32">
        <f>F22*G22-0.01</f>
        <v>3468.0195999999996</v>
      </c>
      <c r="I22" s="10"/>
      <c r="J22" s="130">
        <f t="shared" si="11"/>
        <v>1</v>
      </c>
      <c r="K22" s="164">
        <v>33.68</v>
      </c>
      <c r="L22" s="134">
        <f t="shared" si="13"/>
        <v>3468.0195999999996</v>
      </c>
      <c r="M22" s="130"/>
      <c r="N22" s="131">
        <f t="shared" si="9"/>
        <v>33.68</v>
      </c>
      <c r="O22" s="130">
        <f t="shared" si="10"/>
        <v>1</v>
      </c>
      <c r="P22" s="130"/>
      <c r="Q22" s="219">
        <f t="shared" si="14"/>
        <v>3468.0195999999996</v>
      </c>
    </row>
    <row r="23" spans="1:17" ht="49.95" customHeight="1">
      <c r="A23" s="86" t="s">
        <v>88</v>
      </c>
      <c r="B23" s="103">
        <v>104917</v>
      </c>
      <c r="C23" s="34" t="s">
        <v>418</v>
      </c>
      <c r="D23" s="56" t="s">
        <v>37</v>
      </c>
      <c r="E23" s="38" t="s">
        <v>42</v>
      </c>
      <c r="F23" s="39">
        <v>53</v>
      </c>
      <c r="G23" s="60">
        <v>17.399999999999999</v>
      </c>
      <c r="H23" s="32">
        <f t="shared" si="12"/>
        <v>922.19999999999993</v>
      </c>
      <c r="I23" s="10"/>
      <c r="J23" s="130">
        <f t="shared" si="11"/>
        <v>1</v>
      </c>
      <c r="K23" s="164">
        <v>53</v>
      </c>
      <c r="L23" s="134">
        <f t="shared" si="13"/>
        <v>922.19999999999993</v>
      </c>
      <c r="M23" s="130"/>
      <c r="N23" s="131">
        <f t="shared" si="9"/>
        <v>53</v>
      </c>
      <c r="O23" s="130">
        <f t="shared" si="10"/>
        <v>1</v>
      </c>
      <c r="P23" s="130"/>
      <c r="Q23" s="219">
        <f t="shared" si="14"/>
        <v>922.19999999999993</v>
      </c>
    </row>
    <row r="24" spans="1:17" ht="49.95" customHeight="1">
      <c r="A24" s="86" t="s">
        <v>89</v>
      </c>
      <c r="B24" s="103">
        <v>104916</v>
      </c>
      <c r="C24" s="34" t="s">
        <v>419</v>
      </c>
      <c r="D24" s="56" t="s">
        <v>37</v>
      </c>
      <c r="E24" s="38" t="s">
        <v>42</v>
      </c>
      <c r="F24" s="39">
        <v>52.9</v>
      </c>
      <c r="G24" s="60">
        <v>18.75</v>
      </c>
      <c r="H24" s="32">
        <f>F24*G24-0.01</f>
        <v>991.86500000000001</v>
      </c>
      <c r="I24" s="10"/>
      <c r="J24" s="130">
        <f t="shared" si="11"/>
        <v>1</v>
      </c>
      <c r="K24" s="164">
        <v>52.9</v>
      </c>
      <c r="L24" s="134">
        <f t="shared" si="13"/>
        <v>991.86500000000001</v>
      </c>
      <c r="M24" s="130"/>
      <c r="N24" s="131">
        <f t="shared" si="9"/>
        <v>52.9</v>
      </c>
      <c r="O24" s="130">
        <f t="shared" si="10"/>
        <v>1</v>
      </c>
      <c r="P24" s="130"/>
      <c r="Q24" s="219">
        <f t="shared" si="14"/>
        <v>991.86500000000001</v>
      </c>
    </row>
    <row r="25" spans="1:17" ht="49.95" customHeight="1">
      <c r="A25" s="86" t="s">
        <v>90</v>
      </c>
      <c r="B25" s="103">
        <v>104918</v>
      </c>
      <c r="C25" s="34" t="s">
        <v>420</v>
      </c>
      <c r="D25" s="56" t="s">
        <v>37</v>
      </c>
      <c r="E25" s="38" t="s">
        <v>42</v>
      </c>
      <c r="F25" s="39">
        <v>81.2</v>
      </c>
      <c r="G25" s="60">
        <v>16.16</v>
      </c>
      <c r="H25" s="32">
        <f t="shared" si="12"/>
        <v>1312.192</v>
      </c>
      <c r="I25" s="10"/>
      <c r="J25" s="130">
        <f t="shared" si="11"/>
        <v>1</v>
      </c>
      <c r="K25" s="164">
        <v>81.2</v>
      </c>
      <c r="L25" s="134">
        <f t="shared" si="13"/>
        <v>1312.192</v>
      </c>
      <c r="M25" s="130"/>
      <c r="N25" s="131">
        <f t="shared" si="9"/>
        <v>81.2</v>
      </c>
      <c r="O25" s="130">
        <f t="shared" si="10"/>
        <v>1</v>
      </c>
      <c r="P25" s="130"/>
      <c r="Q25" s="219">
        <f t="shared" si="14"/>
        <v>1312.192</v>
      </c>
    </row>
    <row r="26" spans="1:17" ht="49.95" customHeight="1">
      <c r="A26" s="86" t="s">
        <v>91</v>
      </c>
      <c r="B26" s="103">
        <v>98557</v>
      </c>
      <c r="C26" s="34" t="s">
        <v>421</v>
      </c>
      <c r="D26" s="56" t="s">
        <v>37</v>
      </c>
      <c r="E26" s="38" t="s">
        <v>63</v>
      </c>
      <c r="F26" s="39">
        <v>43.73</v>
      </c>
      <c r="G26" s="60">
        <v>53.95</v>
      </c>
      <c r="H26" s="32">
        <f t="shared" si="12"/>
        <v>2359.2334999999998</v>
      </c>
      <c r="I26" s="10"/>
      <c r="J26" s="130">
        <f t="shared" si="11"/>
        <v>1</v>
      </c>
      <c r="K26" s="164">
        <v>43.73</v>
      </c>
      <c r="L26" s="134">
        <f t="shared" si="13"/>
        <v>2359.2334999999998</v>
      </c>
      <c r="M26" s="130"/>
      <c r="N26" s="131">
        <f t="shared" si="9"/>
        <v>43.73</v>
      </c>
      <c r="O26" s="130">
        <f t="shared" si="10"/>
        <v>1</v>
      </c>
      <c r="P26" s="130"/>
      <c r="Q26" s="219">
        <f t="shared" si="14"/>
        <v>2359.2334999999998</v>
      </c>
    </row>
    <row r="27" spans="1:17" ht="20.100000000000001" customHeight="1">
      <c r="A27" s="101" t="s">
        <v>92</v>
      </c>
      <c r="B27" s="184" t="s">
        <v>93</v>
      </c>
      <c r="C27" s="184"/>
      <c r="D27" s="175"/>
      <c r="E27" s="175"/>
      <c r="F27" s="175"/>
      <c r="G27" s="175"/>
      <c r="H27" s="8">
        <f>SUM(H28:H37)+0.02</f>
        <v>15491.799799999997</v>
      </c>
      <c r="I27" s="7"/>
      <c r="J27" s="7"/>
      <c r="K27" s="7"/>
      <c r="L27" s="7"/>
      <c r="M27" s="7"/>
      <c r="N27" s="7"/>
      <c r="O27" s="7"/>
      <c r="P27" s="7"/>
      <c r="Q27" s="7"/>
    </row>
    <row r="28" spans="1:17" ht="49.95" customHeight="1">
      <c r="A28" s="26" t="s">
        <v>94</v>
      </c>
      <c r="B28" s="107">
        <v>92429</v>
      </c>
      <c r="C28" s="37" t="s">
        <v>422</v>
      </c>
      <c r="D28" s="38" t="s">
        <v>37</v>
      </c>
      <c r="E28" s="38" t="s">
        <v>63</v>
      </c>
      <c r="F28" s="39">
        <v>57.56</v>
      </c>
      <c r="G28" s="60">
        <v>82.09</v>
      </c>
      <c r="H28" s="32">
        <f>F28*G28</f>
        <v>4725.1004000000003</v>
      </c>
      <c r="I28" s="10"/>
      <c r="J28" s="130">
        <f t="shared" si="11"/>
        <v>1</v>
      </c>
      <c r="K28" s="164">
        <v>57.56</v>
      </c>
      <c r="L28" s="134">
        <f t="shared" si="13"/>
        <v>4725.1004000000003</v>
      </c>
      <c r="M28" s="130"/>
      <c r="N28" s="131">
        <f t="shared" si="9"/>
        <v>57.56</v>
      </c>
      <c r="O28" s="130">
        <f t="shared" si="10"/>
        <v>1</v>
      </c>
      <c r="P28" s="130"/>
      <c r="Q28" s="219">
        <f t="shared" si="14"/>
        <v>4725.1004000000003</v>
      </c>
    </row>
    <row r="29" spans="1:17" ht="49.95" customHeight="1">
      <c r="A29" s="26" t="s">
        <v>95</v>
      </c>
      <c r="B29" s="107">
        <v>92476</v>
      </c>
      <c r="C29" s="37" t="s">
        <v>423</v>
      </c>
      <c r="D29" s="38" t="s">
        <v>37</v>
      </c>
      <c r="E29" s="38" t="s">
        <v>63</v>
      </c>
      <c r="F29" s="39">
        <v>12.9</v>
      </c>
      <c r="G29" s="60">
        <v>101.44</v>
      </c>
      <c r="H29" s="32">
        <f>F29*G29-0.01</f>
        <v>1308.566</v>
      </c>
      <c r="I29" s="10"/>
      <c r="J29" s="130">
        <f t="shared" si="11"/>
        <v>1</v>
      </c>
      <c r="K29" s="164">
        <v>12.9</v>
      </c>
      <c r="L29" s="134">
        <f t="shared" si="13"/>
        <v>1308.566</v>
      </c>
      <c r="M29" s="130"/>
      <c r="N29" s="131">
        <f t="shared" si="9"/>
        <v>12.9</v>
      </c>
      <c r="O29" s="130">
        <f t="shared" si="10"/>
        <v>1</v>
      </c>
      <c r="P29" s="130"/>
      <c r="Q29" s="219">
        <f t="shared" si="14"/>
        <v>1308.566</v>
      </c>
    </row>
    <row r="30" spans="1:17" ht="49.95" customHeight="1">
      <c r="A30" s="26" t="s">
        <v>96</v>
      </c>
      <c r="B30" s="107">
        <v>92486</v>
      </c>
      <c r="C30" s="37" t="s">
        <v>424</v>
      </c>
      <c r="D30" s="38" t="s">
        <v>37</v>
      </c>
      <c r="E30" s="38" t="s">
        <v>63</v>
      </c>
      <c r="F30" s="39">
        <v>6.04</v>
      </c>
      <c r="G30" s="60">
        <v>181.19</v>
      </c>
      <c r="H30" s="32">
        <f>F30*G30-0.01</f>
        <v>1094.3776</v>
      </c>
      <c r="I30" s="10"/>
      <c r="J30" s="130">
        <f t="shared" si="11"/>
        <v>1</v>
      </c>
      <c r="K30" s="164">
        <v>6.04</v>
      </c>
      <c r="L30" s="134">
        <f t="shared" si="13"/>
        <v>1094.3776</v>
      </c>
      <c r="M30" s="130"/>
      <c r="N30" s="131">
        <f>F30+M30</f>
        <v>6.04</v>
      </c>
      <c r="O30" s="130">
        <f>N30/F30</f>
        <v>1</v>
      </c>
      <c r="P30" s="130"/>
      <c r="Q30" s="219">
        <f t="shared" si="14"/>
        <v>1094.3776</v>
      </c>
    </row>
    <row r="31" spans="1:17" ht="49.95" customHeight="1">
      <c r="A31" s="26" t="s">
        <v>97</v>
      </c>
      <c r="B31" s="107">
        <v>92759</v>
      </c>
      <c r="C31" s="37" t="s">
        <v>425</v>
      </c>
      <c r="D31" s="38" t="s">
        <v>37</v>
      </c>
      <c r="E31" s="38" t="s">
        <v>42</v>
      </c>
      <c r="F31" s="39">
        <v>77.8</v>
      </c>
      <c r="G31" s="60">
        <v>15.87</v>
      </c>
      <c r="H31" s="32">
        <f>F31*G31-0.01</f>
        <v>1234.6759999999999</v>
      </c>
      <c r="I31" s="10"/>
      <c r="J31" s="130"/>
      <c r="K31" s="10"/>
      <c r="L31" s="134"/>
      <c r="M31" s="222">
        <f>F31</f>
        <v>77.8</v>
      </c>
      <c r="N31" s="131">
        <f>F31+0</f>
        <v>77.8</v>
      </c>
      <c r="O31" s="221">
        <f>N31/F31</f>
        <v>1</v>
      </c>
      <c r="P31" s="132">
        <f>N31*G31</f>
        <v>1234.6859999999999</v>
      </c>
      <c r="Q31" s="219">
        <f t="shared" si="14"/>
        <v>1234.6859999999999</v>
      </c>
    </row>
    <row r="32" spans="1:17" ht="49.95" customHeight="1">
      <c r="A32" s="26" t="s">
        <v>98</v>
      </c>
      <c r="B32" s="107">
        <v>104108</v>
      </c>
      <c r="C32" s="37" t="s">
        <v>426</v>
      </c>
      <c r="D32" s="38" t="s">
        <v>37</v>
      </c>
      <c r="E32" s="38" t="s">
        <v>42</v>
      </c>
      <c r="F32" s="39">
        <v>172.6</v>
      </c>
      <c r="G32" s="60">
        <v>14.5</v>
      </c>
      <c r="H32" s="32">
        <f t="shared" ref="H32:H37" si="15">F32*G32</f>
        <v>2502.6999999999998</v>
      </c>
      <c r="I32" s="10"/>
      <c r="J32" s="10"/>
      <c r="K32" s="10"/>
      <c r="L32" s="10"/>
      <c r="M32" s="222">
        <f t="shared" ref="M32:M41" si="16">F32</f>
        <v>172.6</v>
      </c>
      <c r="N32" s="131">
        <f t="shared" ref="N32:N41" si="17">F32+0</f>
        <v>172.6</v>
      </c>
      <c r="O32" s="221">
        <f t="shared" ref="O32:O41" si="18">N32/F32</f>
        <v>1</v>
      </c>
      <c r="P32" s="132">
        <f t="shared" ref="P32:P41" si="19">N32*G32</f>
        <v>2502.6999999999998</v>
      </c>
      <c r="Q32" s="10"/>
    </row>
    <row r="33" spans="1:17" ht="49.95" customHeight="1">
      <c r="A33" s="26" t="s">
        <v>99</v>
      </c>
      <c r="B33" s="107">
        <v>92761</v>
      </c>
      <c r="C33" s="37" t="s">
        <v>427</v>
      </c>
      <c r="D33" s="38" t="s">
        <v>37</v>
      </c>
      <c r="E33" s="38" t="s">
        <v>42</v>
      </c>
      <c r="F33" s="39">
        <v>28.2</v>
      </c>
      <c r="G33" s="60">
        <v>14.08</v>
      </c>
      <c r="H33" s="32">
        <f>F33*G33-0.01</f>
        <v>397.04599999999999</v>
      </c>
      <c r="I33" s="10"/>
      <c r="J33" s="10"/>
      <c r="K33" s="10"/>
      <c r="L33" s="10"/>
      <c r="M33" s="222">
        <f t="shared" si="16"/>
        <v>28.2</v>
      </c>
      <c r="N33" s="131">
        <f t="shared" si="17"/>
        <v>28.2</v>
      </c>
      <c r="O33" s="221">
        <f t="shared" si="18"/>
        <v>1</v>
      </c>
      <c r="P33" s="132">
        <f t="shared" si="19"/>
        <v>397.05599999999998</v>
      </c>
      <c r="Q33" s="10"/>
    </row>
    <row r="34" spans="1:17" ht="49.95" customHeight="1">
      <c r="A34" s="26" t="s">
        <v>100</v>
      </c>
      <c r="B34" s="107">
        <v>94971</v>
      </c>
      <c r="C34" s="37" t="s">
        <v>428</v>
      </c>
      <c r="D34" s="38" t="s">
        <v>37</v>
      </c>
      <c r="E34" s="38" t="s">
        <v>65</v>
      </c>
      <c r="F34" s="39">
        <v>4.5199999999999996</v>
      </c>
      <c r="G34" s="60">
        <v>559.80999999999995</v>
      </c>
      <c r="H34" s="32">
        <f t="shared" si="15"/>
        <v>2530.3411999999994</v>
      </c>
      <c r="I34" s="10"/>
      <c r="J34" s="10"/>
      <c r="K34" s="10"/>
      <c r="L34" s="10"/>
      <c r="M34" s="222">
        <f t="shared" si="16"/>
        <v>4.5199999999999996</v>
      </c>
      <c r="N34" s="131">
        <f t="shared" si="17"/>
        <v>4.5199999999999996</v>
      </c>
      <c r="O34" s="221">
        <f t="shared" si="18"/>
        <v>1</v>
      </c>
      <c r="P34" s="132">
        <f t="shared" si="19"/>
        <v>2530.3411999999994</v>
      </c>
      <c r="Q34" s="10"/>
    </row>
    <row r="35" spans="1:17" ht="49.95" customHeight="1">
      <c r="A35" s="26" t="s">
        <v>101</v>
      </c>
      <c r="B35" s="107">
        <v>103670</v>
      </c>
      <c r="C35" s="37" t="s">
        <v>415</v>
      </c>
      <c r="D35" s="38" t="s">
        <v>37</v>
      </c>
      <c r="E35" s="38" t="s">
        <v>65</v>
      </c>
      <c r="F35" s="39">
        <v>4.5199999999999996</v>
      </c>
      <c r="G35" s="60">
        <v>331.13</v>
      </c>
      <c r="H35" s="32">
        <f>F35*G35-0.01</f>
        <v>1496.6975999999997</v>
      </c>
      <c r="I35" s="10"/>
      <c r="J35" s="10"/>
      <c r="K35" s="10"/>
      <c r="L35" s="10"/>
      <c r="M35" s="222">
        <f t="shared" si="16"/>
        <v>4.5199999999999996</v>
      </c>
      <c r="N35" s="131">
        <f t="shared" si="17"/>
        <v>4.5199999999999996</v>
      </c>
      <c r="O35" s="221">
        <f t="shared" si="18"/>
        <v>1</v>
      </c>
      <c r="P35" s="132">
        <f t="shared" si="19"/>
        <v>1496.7075999999997</v>
      </c>
      <c r="Q35" s="10"/>
    </row>
    <row r="36" spans="1:17" ht="49.95" customHeight="1">
      <c r="A36" s="26" t="s">
        <v>102</v>
      </c>
      <c r="B36" s="107">
        <v>92768</v>
      </c>
      <c r="C36" s="37" t="s">
        <v>429</v>
      </c>
      <c r="D36" s="38" t="s">
        <v>37</v>
      </c>
      <c r="E36" s="38" t="s">
        <v>42</v>
      </c>
      <c r="F36" s="39">
        <v>5.5</v>
      </c>
      <c r="G36" s="60">
        <v>15.31</v>
      </c>
      <c r="H36" s="32">
        <f>F36*G36-0.01</f>
        <v>84.194999999999993</v>
      </c>
      <c r="I36" s="10"/>
      <c r="J36" s="10"/>
      <c r="K36" s="10"/>
      <c r="L36" s="10"/>
      <c r="M36" s="222">
        <f t="shared" si="16"/>
        <v>5.5</v>
      </c>
      <c r="N36" s="131">
        <f t="shared" si="17"/>
        <v>5.5</v>
      </c>
      <c r="O36" s="221">
        <f t="shared" si="18"/>
        <v>1</v>
      </c>
      <c r="P36" s="132">
        <f t="shared" si="19"/>
        <v>84.204999999999998</v>
      </c>
      <c r="Q36" s="10"/>
    </row>
    <row r="37" spans="1:17" ht="49.95" customHeight="1">
      <c r="A37" s="26" t="s">
        <v>103</v>
      </c>
      <c r="B37" s="107">
        <v>92769</v>
      </c>
      <c r="C37" s="37" t="s">
        <v>430</v>
      </c>
      <c r="D37" s="38" t="s">
        <v>37</v>
      </c>
      <c r="E37" s="38" t="s">
        <v>42</v>
      </c>
      <c r="F37" s="39">
        <v>8.1999999999999993</v>
      </c>
      <c r="G37" s="60">
        <v>14.4</v>
      </c>
      <c r="H37" s="32">
        <f t="shared" si="15"/>
        <v>118.08</v>
      </c>
      <c r="I37" s="10"/>
      <c r="J37" s="10"/>
      <c r="K37" s="10"/>
      <c r="L37" s="10"/>
      <c r="M37" s="222">
        <f t="shared" si="16"/>
        <v>8.1999999999999993</v>
      </c>
      <c r="N37" s="131">
        <f t="shared" si="17"/>
        <v>8.1999999999999993</v>
      </c>
      <c r="O37" s="221">
        <f t="shared" si="18"/>
        <v>1</v>
      </c>
      <c r="P37" s="132">
        <f t="shared" si="19"/>
        <v>118.08</v>
      </c>
      <c r="Q37" s="10"/>
    </row>
    <row r="38" spans="1:17" ht="20.100000000000001" customHeight="1">
      <c r="A38" s="5" t="s">
        <v>104</v>
      </c>
      <c r="B38" s="175" t="s">
        <v>105</v>
      </c>
      <c r="C38" s="175"/>
      <c r="D38" s="175"/>
      <c r="E38" s="175"/>
      <c r="F38" s="175"/>
      <c r="G38" s="175"/>
      <c r="H38" s="8">
        <f>SUM(H39:H41)-0.01</f>
        <v>4669.9361000000008</v>
      </c>
      <c r="I38" s="7"/>
      <c r="J38" s="7"/>
      <c r="K38" s="7"/>
      <c r="L38" s="7"/>
      <c r="M38" s="7"/>
      <c r="N38" s="7"/>
      <c r="O38" s="7"/>
      <c r="P38" s="7"/>
      <c r="Q38" s="7"/>
    </row>
    <row r="39" spans="1:17" ht="49.95" customHeight="1">
      <c r="A39" s="17" t="s">
        <v>107</v>
      </c>
      <c r="B39" s="108">
        <v>103356</v>
      </c>
      <c r="C39" s="34" t="s">
        <v>431</v>
      </c>
      <c r="D39" s="41" t="s">
        <v>37</v>
      </c>
      <c r="E39" s="41" t="s">
        <v>63</v>
      </c>
      <c r="F39" s="42">
        <v>56.17</v>
      </c>
      <c r="G39" s="123">
        <v>67.73</v>
      </c>
      <c r="H39" s="32">
        <f>F39*G39</f>
        <v>3804.3941000000004</v>
      </c>
      <c r="I39" s="10"/>
      <c r="J39" s="10"/>
      <c r="K39" s="10"/>
      <c r="L39" s="10"/>
      <c r="M39" s="222">
        <f t="shared" si="16"/>
        <v>56.17</v>
      </c>
      <c r="N39" s="131">
        <f t="shared" si="17"/>
        <v>56.17</v>
      </c>
      <c r="O39" s="221">
        <f t="shared" si="18"/>
        <v>1</v>
      </c>
      <c r="P39" s="132">
        <f t="shared" si="19"/>
        <v>3804.3941000000004</v>
      </c>
      <c r="Q39" s="10"/>
    </row>
    <row r="40" spans="1:17" ht="49.95" customHeight="1">
      <c r="A40" s="17" t="s">
        <v>108</v>
      </c>
      <c r="B40" s="108">
        <v>105023</v>
      </c>
      <c r="C40" s="34" t="s">
        <v>432</v>
      </c>
      <c r="D40" s="41" t="s">
        <v>37</v>
      </c>
      <c r="E40" s="41" t="s">
        <v>38</v>
      </c>
      <c r="F40" s="42">
        <v>8.1</v>
      </c>
      <c r="G40" s="123">
        <v>71.61</v>
      </c>
      <c r="H40" s="32">
        <f t="shared" ref="H40:H41" si="20">F40*G40</f>
        <v>580.04099999999994</v>
      </c>
      <c r="I40" s="10"/>
      <c r="J40" s="10"/>
      <c r="K40" s="10"/>
      <c r="L40" s="10"/>
      <c r="M40" s="222">
        <f t="shared" si="16"/>
        <v>8.1</v>
      </c>
      <c r="N40" s="131">
        <f t="shared" si="17"/>
        <v>8.1</v>
      </c>
      <c r="O40" s="221">
        <f t="shared" si="18"/>
        <v>1</v>
      </c>
      <c r="P40" s="132">
        <f t="shared" si="19"/>
        <v>580.04099999999994</v>
      </c>
      <c r="Q40" s="10"/>
    </row>
    <row r="41" spans="1:17" ht="49.95" customHeight="1">
      <c r="A41" s="17" t="s">
        <v>109</v>
      </c>
      <c r="B41" s="108">
        <v>105029</v>
      </c>
      <c r="C41" s="34" t="s">
        <v>433</v>
      </c>
      <c r="D41" s="41" t="s">
        <v>37</v>
      </c>
      <c r="E41" s="41" t="s">
        <v>38</v>
      </c>
      <c r="F41" s="42">
        <v>5.3</v>
      </c>
      <c r="G41" s="123">
        <v>53.87</v>
      </c>
      <c r="H41" s="32">
        <f t="shared" si="20"/>
        <v>285.51099999999997</v>
      </c>
      <c r="I41" s="10"/>
      <c r="J41" s="10"/>
      <c r="K41" s="10"/>
      <c r="L41" s="10"/>
      <c r="M41" s="222">
        <f t="shared" si="16"/>
        <v>5.3</v>
      </c>
      <c r="N41" s="131">
        <f t="shared" si="17"/>
        <v>5.3</v>
      </c>
      <c r="O41" s="221">
        <f t="shared" si="18"/>
        <v>1</v>
      </c>
      <c r="P41" s="132">
        <f t="shared" si="19"/>
        <v>285.51099999999997</v>
      </c>
      <c r="Q41" s="10"/>
    </row>
    <row r="42" spans="1:17" ht="20.100000000000001" customHeight="1">
      <c r="A42" s="5" t="s">
        <v>106</v>
      </c>
      <c r="B42" s="175" t="s">
        <v>45</v>
      </c>
      <c r="C42" s="175"/>
      <c r="D42" s="175"/>
      <c r="E42" s="175"/>
      <c r="F42" s="175"/>
      <c r="G42" s="175"/>
      <c r="H42" s="8">
        <f>SUM(H43:H51)</f>
        <v>12028.4033</v>
      </c>
      <c r="I42" s="7"/>
      <c r="J42" s="7"/>
      <c r="K42" s="7"/>
      <c r="L42" s="7"/>
      <c r="M42" s="7"/>
      <c r="N42" s="7"/>
      <c r="O42" s="7"/>
      <c r="P42" s="7"/>
      <c r="Q42" s="7"/>
    </row>
    <row r="43" spans="1:17" ht="49.95" customHeight="1">
      <c r="A43" s="17" t="s">
        <v>110</v>
      </c>
      <c r="B43" s="33">
        <v>87878</v>
      </c>
      <c r="C43" s="34" t="s">
        <v>494</v>
      </c>
      <c r="D43" s="30" t="s">
        <v>37</v>
      </c>
      <c r="E43" s="30" t="s">
        <v>63</v>
      </c>
      <c r="F43" s="31">
        <v>56.17</v>
      </c>
      <c r="G43" s="32">
        <v>5.51</v>
      </c>
      <c r="H43" s="32">
        <f>F43*G43-0.01</f>
        <v>309.48669999999998</v>
      </c>
      <c r="I43" s="14"/>
      <c r="J43" s="11"/>
      <c r="K43" s="12"/>
      <c r="L43" s="13"/>
      <c r="M43" s="11"/>
      <c r="N43" s="12"/>
      <c r="O43" s="13"/>
      <c r="P43" s="11"/>
      <c r="Q43" s="12"/>
    </row>
    <row r="44" spans="1:17" ht="49.95" customHeight="1">
      <c r="A44" s="17" t="s">
        <v>111</v>
      </c>
      <c r="B44" s="33">
        <v>87545</v>
      </c>
      <c r="C44" s="34" t="s">
        <v>435</v>
      </c>
      <c r="D44" s="30" t="s">
        <v>37</v>
      </c>
      <c r="E44" s="30" t="s">
        <v>63</v>
      </c>
      <c r="F44" s="31">
        <v>33.18</v>
      </c>
      <c r="G44" s="32">
        <v>32.409999999999997</v>
      </c>
      <c r="H44" s="32">
        <f t="shared" ref="H44:H51" si="21">F44*G44</f>
        <v>1075.3637999999999</v>
      </c>
      <c r="I44" s="14"/>
      <c r="J44" s="11"/>
      <c r="K44" s="12"/>
      <c r="L44" s="13"/>
      <c r="M44" s="11"/>
      <c r="N44" s="12"/>
      <c r="O44" s="13"/>
      <c r="P44" s="11"/>
      <c r="Q44" s="12"/>
    </row>
    <row r="45" spans="1:17" ht="49.95" customHeight="1">
      <c r="A45" s="17" t="s">
        <v>112</v>
      </c>
      <c r="B45" s="33">
        <v>87529</v>
      </c>
      <c r="C45" s="34" t="s">
        <v>436</v>
      </c>
      <c r="D45" s="30" t="s">
        <v>37</v>
      </c>
      <c r="E45" s="30" t="s">
        <v>63</v>
      </c>
      <c r="F45" s="31">
        <v>33.18</v>
      </c>
      <c r="G45" s="32">
        <v>40.299999999999997</v>
      </c>
      <c r="H45" s="32">
        <f t="shared" si="21"/>
        <v>1337.154</v>
      </c>
      <c r="I45" s="14"/>
      <c r="J45" s="11"/>
      <c r="K45" s="12"/>
      <c r="L45" s="13"/>
      <c r="M45" s="11"/>
      <c r="N45" s="12"/>
      <c r="O45" s="13"/>
      <c r="P45" s="11"/>
      <c r="Q45" s="12"/>
    </row>
    <row r="46" spans="1:17" ht="49.95" customHeight="1">
      <c r="A46" s="17" t="s">
        <v>113</v>
      </c>
      <c r="B46" s="109" t="s">
        <v>409</v>
      </c>
      <c r="C46" s="34" t="s">
        <v>437</v>
      </c>
      <c r="D46" s="30" t="s">
        <v>64</v>
      </c>
      <c r="E46" s="30" t="s">
        <v>63</v>
      </c>
      <c r="F46" s="31">
        <v>33.18</v>
      </c>
      <c r="G46" s="32">
        <v>74.900000000000006</v>
      </c>
      <c r="H46" s="32">
        <f t="shared" si="21"/>
        <v>2485.1820000000002</v>
      </c>
      <c r="I46" s="14"/>
      <c r="J46" s="11"/>
      <c r="K46" s="12"/>
      <c r="L46" s="13"/>
      <c r="M46" s="11"/>
      <c r="N46" s="12"/>
      <c r="O46" s="13"/>
      <c r="P46" s="11"/>
      <c r="Q46" s="12"/>
    </row>
    <row r="47" spans="1:17" ht="49.95" customHeight="1">
      <c r="A47" s="17" t="s">
        <v>114</v>
      </c>
      <c r="B47" s="33">
        <v>87908</v>
      </c>
      <c r="C47" s="34" t="s">
        <v>438</v>
      </c>
      <c r="D47" s="30" t="s">
        <v>37</v>
      </c>
      <c r="E47" s="30" t="s">
        <v>63</v>
      </c>
      <c r="F47" s="31">
        <v>47.35</v>
      </c>
      <c r="G47" s="32">
        <v>6.83</v>
      </c>
      <c r="H47" s="32">
        <f t="shared" si="21"/>
        <v>323.40050000000002</v>
      </c>
      <c r="I47" s="14"/>
      <c r="J47" s="11"/>
      <c r="K47" s="12"/>
      <c r="L47" s="13"/>
      <c r="M47" s="11"/>
      <c r="N47" s="12"/>
      <c r="O47" s="13"/>
      <c r="P47" s="11"/>
      <c r="Q47" s="12"/>
    </row>
    <row r="48" spans="1:17" ht="49.95" customHeight="1">
      <c r="A48" s="17" t="s">
        <v>115</v>
      </c>
      <c r="B48" s="33">
        <v>104218</v>
      </c>
      <c r="C48" s="34" t="s">
        <v>439</v>
      </c>
      <c r="D48" s="30" t="s">
        <v>37</v>
      </c>
      <c r="E48" s="30" t="s">
        <v>63</v>
      </c>
      <c r="F48" s="31">
        <v>47.35</v>
      </c>
      <c r="G48" s="32">
        <v>61.59</v>
      </c>
      <c r="H48" s="32">
        <f>F48*G48-0.01</f>
        <v>2916.2764999999999</v>
      </c>
      <c r="I48" s="14"/>
      <c r="J48" s="11"/>
      <c r="K48" s="12"/>
      <c r="L48" s="13"/>
      <c r="M48" s="11"/>
      <c r="N48" s="12"/>
      <c r="O48" s="13"/>
      <c r="P48" s="11"/>
      <c r="Q48" s="12"/>
    </row>
    <row r="49" spans="1:17" ht="49.95" customHeight="1">
      <c r="A49" s="17" t="s">
        <v>116</v>
      </c>
      <c r="B49" s="33">
        <v>13</v>
      </c>
      <c r="C49" s="34" t="s">
        <v>440</v>
      </c>
      <c r="D49" s="30" t="s">
        <v>64</v>
      </c>
      <c r="E49" s="30" t="s">
        <v>63</v>
      </c>
      <c r="F49" s="31">
        <v>28.22</v>
      </c>
      <c r="G49" s="32">
        <v>76.790000000000006</v>
      </c>
      <c r="H49" s="32">
        <f t="shared" si="21"/>
        <v>2167.0138000000002</v>
      </c>
      <c r="I49" s="14"/>
      <c r="J49" s="11"/>
      <c r="K49" s="12"/>
      <c r="L49" s="13"/>
      <c r="M49" s="11"/>
      <c r="N49" s="12"/>
      <c r="O49" s="13"/>
      <c r="P49" s="11"/>
      <c r="Q49" s="12"/>
    </row>
    <row r="50" spans="1:17" ht="49.95" customHeight="1">
      <c r="A50" s="17" t="s">
        <v>117</v>
      </c>
      <c r="B50" s="109" t="s">
        <v>409</v>
      </c>
      <c r="C50" s="34" t="s">
        <v>437</v>
      </c>
      <c r="D50" s="30" t="s">
        <v>64</v>
      </c>
      <c r="E50" s="30" t="s">
        <v>63</v>
      </c>
      <c r="F50" s="31">
        <v>13.64</v>
      </c>
      <c r="G50" s="32">
        <v>74.900000000000006</v>
      </c>
      <c r="H50" s="32">
        <f>F50*G50-0.01</f>
        <v>1021.6260000000001</v>
      </c>
      <c r="I50" s="14"/>
      <c r="J50" s="11"/>
      <c r="K50" s="12"/>
      <c r="L50" s="13"/>
      <c r="M50" s="11"/>
      <c r="N50" s="12"/>
      <c r="O50" s="13"/>
      <c r="P50" s="11"/>
      <c r="Q50" s="12"/>
    </row>
    <row r="51" spans="1:17" ht="49.95" customHeight="1">
      <c r="A51" s="17" t="s">
        <v>118</v>
      </c>
      <c r="B51" s="33">
        <v>98555</v>
      </c>
      <c r="C51" s="34" t="s">
        <v>441</v>
      </c>
      <c r="D51" s="30" t="s">
        <v>37</v>
      </c>
      <c r="E51" s="30" t="s">
        <v>63</v>
      </c>
      <c r="F51" s="31">
        <v>10</v>
      </c>
      <c r="G51" s="32">
        <v>39.29</v>
      </c>
      <c r="H51" s="32">
        <f t="shared" si="21"/>
        <v>392.9</v>
      </c>
      <c r="I51" s="14"/>
      <c r="J51" s="11"/>
      <c r="K51" s="12"/>
      <c r="L51" s="13"/>
      <c r="M51" s="11"/>
      <c r="N51" s="12"/>
      <c r="O51" s="13"/>
      <c r="P51" s="11"/>
      <c r="Q51" s="12"/>
    </row>
    <row r="52" spans="1:17" ht="20.100000000000001" customHeight="1">
      <c r="A52" s="5" t="s">
        <v>119</v>
      </c>
      <c r="B52" s="175" t="s">
        <v>120</v>
      </c>
      <c r="C52" s="175"/>
      <c r="D52" s="175"/>
      <c r="E52" s="175"/>
      <c r="F52" s="175"/>
      <c r="G52" s="175"/>
      <c r="H52" s="8">
        <f>SUM(H53:H54)</f>
        <v>913.62199999999996</v>
      </c>
      <c r="I52" s="7"/>
      <c r="J52" s="7"/>
      <c r="K52" s="7"/>
      <c r="L52" s="7"/>
      <c r="M52" s="7"/>
      <c r="N52" s="7"/>
      <c r="O52" s="7"/>
      <c r="P52" s="7"/>
      <c r="Q52" s="7"/>
    </row>
    <row r="53" spans="1:17" s="68" customFormat="1" ht="49.95" customHeight="1">
      <c r="A53" s="100" t="s">
        <v>121</v>
      </c>
      <c r="B53" s="110">
        <v>96486</v>
      </c>
      <c r="C53" s="115" t="s">
        <v>442</v>
      </c>
      <c r="D53" s="116" t="s">
        <v>37</v>
      </c>
      <c r="E53" s="116" t="s">
        <v>63</v>
      </c>
      <c r="F53" s="116">
        <v>9.6</v>
      </c>
      <c r="G53" s="124">
        <v>73.09</v>
      </c>
      <c r="H53" s="120">
        <f>F53*G53</f>
        <v>701.66399999999999</v>
      </c>
      <c r="I53" s="80"/>
      <c r="J53" s="65"/>
      <c r="K53" s="66"/>
      <c r="L53" s="67"/>
      <c r="M53" s="65"/>
      <c r="N53" s="66"/>
      <c r="O53" s="67"/>
      <c r="P53" s="65"/>
      <c r="Q53" s="66"/>
    </row>
    <row r="54" spans="1:17" s="68" customFormat="1" ht="49.95" customHeight="1">
      <c r="A54" s="100" t="s">
        <v>122</v>
      </c>
      <c r="B54" s="110">
        <v>96121</v>
      </c>
      <c r="C54" s="115" t="s">
        <v>443</v>
      </c>
      <c r="D54" s="116" t="s">
        <v>37</v>
      </c>
      <c r="E54" s="116" t="s">
        <v>38</v>
      </c>
      <c r="F54" s="116">
        <v>18.399999999999999</v>
      </c>
      <c r="G54" s="124">
        <v>11.52</v>
      </c>
      <c r="H54" s="120">
        <f>F54*G54-0.01</f>
        <v>211.958</v>
      </c>
      <c r="I54" s="80"/>
      <c r="J54" s="65"/>
      <c r="K54" s="66"/>
      <c r="L54" s="67"/>
      <c r="M54" s="65"/>
      <c r="N54" s="66"/>
      <c r="O54" s="67"/>
      <c r="P54" s="65"/>
      <c r="Q54" s="66"/>
    </row>
    <row r="55" spans="1:17" ht="20.100000000000001" customHeight="1">
      <c r="A55" s="5" t="s">
        <v>123</v>
      </c>
      <c r="B55" s="175" t="s">
        <v>46</v>
      </c>
      <c r="C55" s="175"/>
      <c r="D55" s="175"/>
      <c r="E55" s="175"/>
      <c r="F55" s="175"/>
      <c r="G55" s="175"/>
      <c r="H55" s="8">
        <f>SUM(H56:H58)</f>
        <v>1505.664</v>
      </c>
      <c r="I55" s="7"/>
      <c r="J55" s="7"/>
      <c r="K55" s="7"/>
      <c r="L55" s="7"/>
      <c r="M55" s="7"/>
      <c r="N55" s="7"/>
      <c r="O55" s="7"/>
      <c r="P55" s="7"/>
      <c r="Q55" s="7"/>
    </row>
    <row r="56" spans="1:17" ht="49.95" customHeight="1">
      <c r="A56" s="17" t="s">
        <v>844</v>
      </c>
      <c r="B56" s="33">
        <v>95241</v>
      </c>
      <c r="C56" s="34" t="s">
        <v>444</v>
      </c>
      <c r="D56" s="30" t="s">
        <v>37</v>
      </c>
      <c r="E56" s="30" t="s">
        <v>63</v>
      </c>
      <c r="F56" s="31">
        <v>9.6</v>
      </c>
      <c r="G56" s="32">
        <v>41.55</v>
      </c>
      <c r="H56" s="32">
        <f>F56*G56</f>
        <v>398.87999999999994</v>
      </c>
      <c r="I56" s="14"/>
      <c r="J56" s="11"/>
      <c r="K56" s="12"/>
      <c r="L56" s="13"/>
      <c r="M56" s="222">
        <f t="shared" ref="M56:M58" si="22">F56</f>
        <v>9.6</v>
      </c>
      <c r="N56" s="131">
        <f t="shared" ref="N56:N58" si="23">F56+0</f>
        <v>9.6</v>
      </c>
      <c r="O56" s="221">
        <f t="shared" ref="O56:O58" si="24">N56/F56</f>
        <v>1</v>
      </c>
      <c r="P56" s="132">
        <f t="shared" ref="P56:P58" si="25">N56*G56</f>
        <v>398.87999999999994</v>
      </c>
      <c r="Q56" s="12"/>
    </row>
    <row r="57" spans="1:17" ht="49.95" customHeight="1">
      <c r="A57" s="17" t="s">
        <v>845</v>
      </c>
      <c r="B57" s="33">
        <v>87622</v>
      </c>
      <c r="C57" s="34" t="s">
        <v>445</v>
      </c>
      <c r="D57" s="30" t="s">
        <v>37</v>
      </c>
      <c r="E57" s="30" t="s">
        <v>63</v>
      </c>
      <c r="F57" s="31">
        <v>9.6</v>
      </c>
      <c r="G57" s="32">
        <v>40.39</v>
      </c>
      <c r="H57" s="32">
        <f t="shared" ref="H57:H58" si="26">F57*G57</f>
        <v>387.74399999999997</v>
      </c>
      <c r="I57" s="14"/>
      <c r="J57" s="11"/>
      <c r="K57" s="12"/>
      <c r="L57" s="13"/>
      <c r="M57" s="222">
        <f t="shared" si="22"/>
        <v>9.6</v>
      </c>
      <c r="N57" s="131">
        <f t="shared" si="23"/>
        <v>9.6</v>
      </c>
      <c r="O57" s="221">
        <f t="shared" si="24"/>
        <v>1</v>
      </c>
      <c r="P57" s="132">
        <f t="shared" si="25"/>
        <v>387.74399999999997</v>
      </c>
      <c r="Q57" s="12"/>
    </row>
    <row r="58" spans="1:17" ht="49.95" customHeight="1">
      <c r="A58" s="17" t="s">
        <v>846</v>
      </c>
      <c r="B58" s="109" t="s">
        <v>409</v>
      </c>
      <c r="C58" s="34" t="s">
        <v>437</v>
      </c>
      <c r="D58" s="30" t="s">
        <v>64</v>
      </c>
      <c r="E58" s="30" t="s">
        <v>63</v>
      </c>
      <c r="F58" s="31">
        <v>9.6</v>
      </c>
      <c r="G58" s="32">
        <v>74.900000000000006</v>
      </c>
      <c r="H58" s="32">
        <f t="shared" si="26"/>
        <v>719.04000000000008</v>
      </c>
      <c r="I58" s="14"/>
      <c r="J58" s="11"/>
      <c r="K58" s="12"/>
      <c r="L58" s="13"/>
      <c r="M58" s="222"/>
      <c r="N58" s="131"/>
      <c r="O58" s="221"/>
      <c r="P58" s="132"/>
      <c r="Q58" s="12"/>
    </row>
    <row r="59" spans="1:17" ht="20.100000000000001" customHeight="1">
      <c r="A59" s="5" t="s">
        <v>124</v>
      </c>
      <c r="B59" s="175" t="s">
        <v>125</v>
      </c>
      <c r="C59" s="175"/>
      <c r="D59" s="175"/>
      <c r="E59" s="175"/>
      <c r="F59" s="175"/>
      <c r="G59" s="175"/>
      <c r="H59" s="8">
        <f>SUM(H60,H86,H108)</f>
        <v>14710.263199999998</v>
      </c>
      <c r="I59" s="7"/>
      <c r="J59" s="7"/>
      <c r="K59" s="7"/>
      <c r="L59" s="7"/>
      <c r="M59" s="7"/>
      <c r="N59" s="7"/>
      <c r="O59" s="7"/>
      <c r="P59" s="7"/>
      <c r="Q59" s="7"/>
    </row>
    <row r="60" spans="1:17" ht="20.100000000000001" customHeight="1">
      <c r="A60" s="5" t="s">
        <v>126</v>
      </c>
      <c r="B60" s="175" t="s">
        <v>47</v>
      </c>
      <c r="C60" s="175"/>
      <c r="D60" s="175"/>
      <c r="E60" s="175"/>
      <c r="F60" s="175"/>
      <c r="G60" s="175"/>
      <c r="H60" s="8">
        <f>SUM(H61:H85)-0.01</f>
        <v>3931.5154999999991</v>
      </c>
      <c r="I60" s="7"/>
      <c r="J60" s="7"/>
      <c r="K60" s="7"/>
      <c r="L60" s="7"/>
      <c r="M60" s="7"/>
      <c r="N60" s="7"/>
      <c r="O60" s="7"/>
      <c r="P60" s="7"/>
      <c r="Q60" s="7"/>
    </row>
    <row r="61" spans="1:17" ht="49.95" customHeight="1">
      <c r="A61" s="26" t="s">
        <v>127</v>
      </c>
      <c r="B61" s="111">
        <v>102607</v>
      </c>
      <c r="C61" s="43" t="s">
        <v>446</v>
      </c>
      <c r="D61" s="35" t="s">
        <v>37</v>
      </c>
      <c r="E61" s="35" t="s">
        <v>66</v>
      </c>
      <c r="F61" s="36">
        <v>1</v>
      </c>
      <c r="G61" s="122">
        <v>550.66999999999996</v>
      </c>
      <c r="H61" s="32">
        <f>F61*G61</f>
        <v>550.66999999999996</v>
      </c>
      <c r="I61" s="10"/>
      <c r="J61" s="10"/>
      <c r="K61" s="10"/>
      <c r="L61" s="10"/>
      <c r="M61" s="222">
        <f t="shared" ref="M61:M87" si="27">F61</f>
        <v>1</v>
      </c>
      <c r="N61" s="131">
        <f t="shared" ref="N61:N87" si="28">F61+0</f>
        <v>1</v>
      </c>
      <c r="O61" s="221">
        <f t="shared" ref="O61:O87" si="29">N61/F61</f>
        <v>1</v>
      </c>
      <c r="P61" s="132">
        <f t="shared" ref="P61:P87" si="30">N61*G61</f>
        <v>550.66999999999996</v>
      </c>
      <c r="Q61" s="10"/>
    </row>
    <row r="62" spans="1:17" ht="49.95" customHeight="1">
      <c r="A62" s="26" t="s">
        <v>128</v>
      </c>
      <c r="B62" s="111">
        <v>94795</v>
      </c>
      <c r="C62" s="43" t="s">
        <v>447</v>
      </c>
      <c r="D62" s="35" t="s">
        <v>37</v>
      </c>
      <c r="E62" s="35" t="s">
        <v>66</v>
      </c>
      <c r="F62" s="36">
        <v>1</v>
      </c>
      <c r="G62" s="125">
        <v>52.78</v>
      </c>
      <c r="H62" s="32">
        <f t="shared" ref="H62:H85" si="31">F62*G62</f>
        <v>52.78</v>
      </c>
      <c r="I62" s="10"/>
      <c r="J62" s="11"/>
      <c r="K62" s="12"/>
      <c r="L62" s="13"/>
      <c r="M62" s="222">
        <f t="shared" si="27"/>
        <v>1</v>
      </c>
      <c r="N62" s="131">
        <f t="shared" si="28"/>
        <v>1</v>
      </c>
      <c r="O62" s="221">
        <f t="shared" si="29"/>
        <v>1</v>
      </c>
      <c r="P62" s="132">
        <f t="shared" si="30"/>
        <v>52.78</v>
      </c>
      <c r="Q62" s="12"/>
    </row>
    <row r="63" spans="1:17" ht="49.95" customHeight="1">
      <c r="A63" s="26" t="s">
        <v>129</v>
      </c>
      <c r="B63" s="111">
        <v>86888</v>
      </c>
      <c r="C63" s="43" t="s">
        <v>448</v>
      </c>
      <c r="D63" s="35" t="s">
        <v>37</v>
      </c>
      <c r="E63" s="35" t="s">
        <v>66</v>
      </c>
      <c r="F63" s="36">
        <v>1</v>
      </c>
      <c r="G63" s="125">
        <v>591.21</v>
      </c>
      <c r="H63" s="32">
        <f t="shared" si="31"/>
        <v>591.21</v>
      </c>
      <c r="I63" s="10"/>
      <c r="J63" s="11"/>
      <c r="K63" s="12"/>
      <c r="L63" s="13"/>
      <c r="M63" s="222">
        <f t="shared" si="27"/>
        <v>1</v>
      </c>
      <c r="N63" s="131">
        <f t="shared" si="28"/>
        <v>1</v>
      </c>
      <c r="O63" s="221">
        <f t="shared" si="29"/>
        <v>1</v>
      </c>
      <c r="P63" s="132">
        <f t="shared" si="30"/>
        <v>591.21</v>
      </c>
      <c r="Q63" s="12"/>
    </row>
    <row r="64" spans="1:17" ht="49.95" customHeight="1">
      <c r="A64" s="26" t="s">
        <v>130</v>
      </c>
      <c r="B64" s="112">
        <v>1370</v>
      </c>
      <c r="C64" s="43" t="s">
        <v>449</v>
      </c>
      <c r="D64" s="35" t="s">
        <v>37</v>
      </c>
      <c r="E64" s="35" t="s">
        <v>66</v>
      </c>
      <c r="F64" s="36">
        <v>1</v>
      </c>
      <c r="G64" s="125">
        <v>141.46</v>
      </c>
      <c r="H64" s="32">
        <f t="shared" si="31"/>
        <v>141.46</v>
      </c>
      <c r="I64" s="10"/>
      <c r="J64" s="11"/>
      <c r="K64" s="12"/>
      <c r="L64" s="13"/>
      <c r="M64" s="222">
        <f t="shared" si="27"/>
        <v>1</v>
      </c>
      <c r="N64" s="131">
        <f t="shared" si="28"/>
        <v>1</v>
      </c>
      <c r="O64" s="221">
        <f t="shared" si="29"/>
        <v>1</v>
      </c>
      <c r="P64" s="132">
        <f t="shared" si="30"/>
        <v>141.46</v>
      </c>
      <c r="Q64" s="12"/>
    </row>
    <row r="65" spans="1:17" ht="49.95" customHeight="1">
      <c r="A65" s="26" t="s">
        <v>131</v>
      </c>
      <c r="B65" s="112">
        <v>10427</v>
      </c>
      <c r="C65" s="43" t="s">
        <v>450</v>
      </c>
      <c r="D65" s="35" t="s">
        <v>37</v>
      </c>
      <c r="E65" s="35" t="s">
        <v>66</v>
      </c>
      <c r="F65" s="36">
        <v>1</v>
      </c>
      <c r="G65" s="125">
        <v>596.73</v>
      </c>
      <c r="H65" s="32">
        <f t="shared" si="31"/>
        <v>596.73</v>
      </c>
      <c r="I65" s="10"/>
      <c r="J65" s="11"/>
      <c r="K65" s="12"/>
      <c r="L65" s="13"/>
      <c r="M65" s="222">
        <f t="shared" si="27"/>
        <v>1</v>
      </c>
      <c r="N65" s="131">
        <f t="shared" si="28"/>
        <v>1</v>
      </c>
      <c r="O65" s="221">
        <f t="shared" si="29"/>
        <v>1</v>
      </c>
      <c r="P65" s="132">
        <f t="shared" si="30"/>
        <v>596.73</v>
      </c>
      <c r="Q65" s="12"/>
    </row>
    <row r="66" spans="1:17" ht="49.95" customHeight="1">
      <c r="A66" s="26" t="s">
        <v>132</v>
      </c>
      <c r="B66" s="112">
        <v>6136</v>
      </c>
      <c r="C66" s="43" t="s">
        <v>451</v>
      </c>
      <c r="D66" s="35" t="s">
        <v>37</v>
      </c>
      <c r="E66" s="35" t="s">
        <v>66</v>
      </c>
      <c r="F66" s="36">
        <v>1</v>
      </c>
      <c r="G66" s="125">
        <v>206.49</v>
      </c>
      <c r="H66" s="32">
        <f t="shared" si="31"/>
        <v>206.49</v>
      </c>
      <c r="I66" s="10"/>
      <c r="J66" s="11"/>
      <c r="K66" s="12"/>
      <c r="L66" s="13"/>
      <c r="M66" s="222">
        <f t="shared" si="27"/>
        <v>1</v>
      </c>
      <c r="N66" s="131">
        <f t="shared" si="28"/>
        <v>1</v>
      </c>
      <c r="O66" s="221">
        <f t="shared" si="29"/>
        <v>1</v>
      </c>
      <c r="P66" s="132">
        <f t="shared" si="30"/>
        <v>206.49</v>
      </c>
      <c r="Q66" s="12"/>
    </row>
    <row r="67" spans="1:17" ht="49.95" customHeight="1">
      <c r="A67" s="26" t="s">
        <v>133</v>
      </c>
      <c r="B67" s="111">
        <v>86886</v>
      </c>
      <c r="C67" s="43" t="s">
        <v>452</v>
      </c>
      <c r="D67" s="35" t="s">
        <v>37</v>
      </c>
      <c r="E67" s="35" t="s">
        <v>66</v>
      </c>
      <c r="F67" s="36">
        <v>1</v>
      </c>
      <c r="G67" s="125">
        <v>53.04</v>
      </c>
      <c r="H67" s="32">
        <f t="shared" si="31"/>
        <v>53.04</v>
      </c>
      <c r="I67" s="10"/>
      <c r="J67" s="11"/>
      <c r="K67" s="12"/>
      <c r="L67" s="13"/>
      <c r="M67" s="222">
        <f t="shared" si="27"/>
        <v>1</v>
      </c>
      <c r="N67" s="131">
        <f t="shared" si="28"/>
        <v>1</v>
      </c>
      <c r="O67" s="221">
        <f t="shared" si="29"/>
        <v>1</v>
      </c>
      <c r="P67" s="132">
        <f t="shared" si="30"/>
        <v>53.04</v>
      </c>
      <c r="Q67" s="12"/>
    </row>
    <row r="68" spans="1:17" ht="49.95" customHeight="1">
      <c r="A68" s="26" t="s">
        <v>134</v>
      </c>
      <c r="B68" s="111">
        <v>86936</v>
      </c>
      <c r="C68" s="43" t="s">
        <v>453</v>
      </c>
      <c r="D68" s="35" t="s">
        <v>37</v>
      </c>
      <c r="E68" s="35" t="s">
        <v>66</v>
      </c>
      <c r="F68" s="36">
        <v>1</v>
      </c>
      <c r="G68" s="125">
        <v>562.74</v>
      </c>
      <c r="H68" s="32">
        <f t="shared" si="31"/>
        <v>562.74</v>
      </c>
      <c r="I68" s="10"/>
      <c r="J68" s="11"/>
      <c r="K68" s="12"/>
      <c r="L68" s="13"/>
      <c r="M68" s="222">
        <f t="shared" si="27"/>
        <v>1</v>
      </c>
      <c r="N68" s="131">
        <f t="shared" si="28"/>
        <v>1</v>
      </c>
      <c r="O68" s="221">
        <f t="shared" si="29"/>
        <v>1</v>
      </c>
      <c r="P68" s="132">
        <f t="shared" si="30"/>
        <v>562.74</v>
      </c>
      <c r="Q68" s="12"/>
    </row>
    <row r="69" spans="1:17" ht="49.95" customHeight="1">
      <c r="A69" s="26" t="s">
        <v>135</v>
      </c>
      <c r="B69" s="111">
        <v>86911</v>
      </c>
      <c r="C69" s="43" t="s">
        <v>454</v>
      </c>
      <c r="D69" s="35" t="s">
        <v>37</v>
      </c>
      <c r="E69" s="35" t="s">
        <v>66</v>
      </c>
      <c r="F69" s="36">
        <v>1</v>
      </c>
      <c r="G69" s="125">
        <v>112.25</v>
      </c>
      <c r="H69" s="32">
        <f t="shared" si="31"/>
        <v>112.25</v>
      </c>
      <c r="I69" s="10"/>
      <c r="J69" s="10"/>
      <c r="K69" s="10"/>
      <c r="L69" s="10"/>
      <c r="M69" s="222">
        <f t="shared" si="27"/>
        <v>1</v>
      </c>
      <c r="N69" s="131">
        <f t="shared" si="28"/>
        <v>1</v>
      </c>
      <c r="O69" s="221">
        <f t="shared" si="29"/>
        <v>1</v>
      </c>
      <c r="P69" s="132">
        <f t="shared" si="30"/>
        <v>112.25</v>
      </c>
      <c r="Q69" s="10"/>
    </row>
    <row r="70" spans="1:17" ht="49.95" customHeight="1">
      <c r="A70" s="26" t="s">
        <v>136</v>
      </c>
      <c r="B70" s="112">
        <v>13983</v>
      </c>
      <c r="C70" s="43" t="s">
        <v>455</v>
      </c>
      <c r="D70" s="35" t="s">
        <v>37</v>
      </c>
      <c r="E70" s="35" t="s">
        <v>66</v>
      </c>
      <c r="F70" s="36">
        <v>1</v>
      </c>
      <c r="G70" s="125">
        <v>121.48</v>
      </c>
      <c r="H70" s="32">
        <f t="shared" si="31"/>
        <v>121.48</v>
      </c>
      <c r="I70" s="10"/>
      <c r="J70" s="11"/>
      <c r="K70" s="12"/>
      <c r="L70" s="13"/>
      <c r="M70" s="222">
        <f t="shared" si="27"/>
        <v>1</v>
      </c>
      <c r="N70" s="131">
        <f t="shared" si="28"/>
        <v>1</v>
      </c>
      <c r="O70" s="221">
        <f t="shared" si="29"/>
        <v>1</v>
      </c>
      <c r="P70" s="132">
        <f t="shared" si="30"/>
        <v>121.48</v>
      </c>
      <c r="Q70" s="12"/>
    </row>
    <row r="71" spans="1:17" ht="49.95" customHeight="1">
      <c r="A71" s="26" t="s">
        <v>137</v>
      </c>
      <c r="B71" s="111">
        <v>89987</v>
      </c>
      <c r="C71" s="43" t="s">
        <v>456</v>
      </c>
      <c r="D71" s="35" t="s">
        <v>37</v>
      </c>
      <c r="E71" s="35" t="s">
        <v>66</v>
      </c>
      <c r="F71" s="36">
        <v>2</v>
      </c>
      <c r="G71" s="125">
        <v>115.36</v>
      </c>
      <c r="H71" s="32">
        <f t="shared" si="31"/>
        <v>230.72</v>
      </c>
      <c r="I71" s="10"/>
      <c r="J71" s="11"/>
      <c r="K71" s="12"/>
      <c r="L71" s="13"/>
      <c r="M71" s="222">
        <f t="shared" si="27"/>
        <v>2</v>
      </c>
      <c r="N71" s="131">
        <f t="shared" si="28"/>
        <v>2</v>
      </c>
      <c r="O71" s="221">
        <f t="shared" si="29"/>
        <v>1</v>
      </c>
      <c r="P71" s="132">
        <f t="shared" si="30"/>
        <v>230.72</v>
      </c>
      <c r="Q71" s="12"/>
    </row>
    <row r="72" spans="1:17" ht="49.95" customHeight="1">
      <c r="A72" s="26" t="s">
        <v>138</v>
      </c>
      <c r="B72" s="111">
        <v>94492</v>
      </c>
      <c r="C72" s="43" t="s">
        <v>457</v>
      </c>
      <c r="D72" s="35" t="s">
        <v>37</v>
      </c>
      <c r="E72" s="35" t="s">
        <v>66</v>
      </c>
      <c r="F72" s="36">
        <v>2</v>
      </c>
      <c r="G72" s="125">
        <v>54.83</v>
      </c>
      <c r="H72" s="32">
        <f t="shared" si="31"/>
        <v>109.66</v>
      </c>
      <c r="I72" s="10"/>
      <c r="J72" s="11"/>
      <c r="K72" s="12"/>
      <c r="L72" s="13"/>
      <c r="M72" s="222">
        <f t="shared" si="27"/>
        <v>2</v>
      </c>
      <c r="N72" s="131">
        <f t="shared" si="28"/>
        <v>2</v>
      </c>
      <c r="O72" s="221">
        <f t="shared" si="29"/>
        <v>1</v>
      </c>
      <c r="P72" s="132">
        <f t="shared" si="30"/>
        <v>109.66</v>
      </c>
      <c r="Q72" s="12"/>
    </row>
    <row r="73" spans="1:17" ht="49.95" customHeight="1">
      <c r="A73" s="26" t="s">
        <v>139</v>
      </c>
      <c r="B73" s="111">
        <v>94489</v>
      </c>
      <c r="C73" s="43" t="s">
        <v>458</v>
      </c>
      <c r="D73" s="35" t="s">
        <v>37</v>
      </c>
      <c r="E73" s="35" t="s">
        <v>66</v>
      </c>
      <c r="F73" s="36">
        <v>1</v>
      </c>
      <c r="G73" s="125">
        <v>26.72</v>
      </c>
      <c r="H73" s="32">
        <f t="shared" si="31"/>
        <v>26.72</v>
      </c>
      <c r="I73" s="10"/>
      <c r="J73" s="11"/>
      <c r="K73" s="12"/>
      <c r="L73" s="13"/>
      <c r="M73" s="222">
        <f t="shared" si="27"/>
        <v>1</v>
      </c>
      <c r="N73" s="131">
        <f t="shared" si="28"/>
        <v>1</v>
      </c>
      <c r="O73" s="221">
        <f t="shared" si="29"/>
        <v>1</v>
      </c>
      <c r="P73" s="132">
        <f t="shared" si="30"/>
        <v>26.72</v>
      </c>
      <c r="Q73" s="12"/>
    </row>
    <row r="74" spans="1:17" ht="49.95" customHeight="1">
      <c r="A74" s="26" t="s">
        <v>140</v>
      </c>
      <c r="B74" s="111">
        <v>94656</v>
      </c>
      <c r="C74" s="43" t="s">
        <v>459</v>
      </c>
      <c r="D74" s="35" t="s">
        <v>37</v>
      </c>
      <c r="E74" s="35" t="s">
        <v>66</v>
      </c>
      <c r="F74" s="36">
        <v>2</v>
      </c>
      <c r="G74" s="125">
        <v>3.57</v>
      </c>
      <c r="H74" s="32">
        <f t="shared" si="31"/>
        <v>7.14</v>
      </c>
      <c r="I74" s="10"/>
      <c r="J74" s="11"/>
      <c r="K74" s="12"/>
      <c r="L74" s="13"/>
      <c r="M74" s="222">
        <f t="shared" si="27"/>
        <v>2</v>
      </c>
      <c r="N74" s="131">
        <f t="shared" si="28"/>
        <v>2</v>
      </c>
      <c r="O74" s="221">
        <f t="shared" si="29"/>
        <v>1</v>
      </c>
      <c r="P74" s="132">
        <f t="shared" si="30"/>
        <v>7.14</v>
      </c>
      <c r="Q74" s="12"/>
    </row>
    <row r="75" spans="1:17" ht="49.95" customHeight="1">
      <c r="A75" s="26" t="s">
        <v>141</v>
      </c>
      <c r="B75" s="111">
        <v>103966</v>
      </c>
      <c r="C75" s="43" t="s">
        <v>460</v>
      </c>
      <c r="D75" s="35" t="s">
        <v>37</v>
      </c>
      <c r="E75" s="35" t="s">
        <v>66</v>
      </c>
      <c r="F75" s="36">
        <v>1</v>
      </c>
      <c r="G75" s="125">
        <v>10.14</v>
      </c>
      <c r="H75" s="32">
        <f t="shared" si="31"/>
        <v>10.14</v>
      </c>
      <c r="I75" s="10"/>
      <c r="J75" s="11"/>
      <c r="K75" s="12"/>
      <c r="L75" s="13"/>
      <c r="M75" s="222">
        <f t="shared" si="27"/>
        <v>1</v>
      </c>
      <c r="N75" s="131">
        <f t="shared" si="28"/>
        <v>1</v>
      </c>
      <c r="O75" s="221">
        <f t="shared" si="29"/>
        <v>1</v>
      </c>
      <c r="P75" s="132">
        <f t="shared" si="30"/>
        <v>10.14</v>
      </c>
      <c r="Q75" s="12"/>
    </row>
    <row r="76" spans="1:17" ht="49.95" customHeight="1">
      <c r="A76" s="26" t="s">
        <v>142</v>
      </c>
      <c r="B76" s="111">
        <v>89364</v>
      </c>
      <c r="C76" s="43" t="s">
        <v>461</v>
      </c>
      <c r="D76" s="35" t="s">
        <v>37</v>
      </c>
      <c r="E76" s="35" t="s">
        <v>66</v>
      </c>
      <c r="F76" s="36">
        <v>8</v>
      </c>
      <c r="G76" s="125">
        <v>12.66</v>
      </c>
      <c r="H76" s="32">
        <f t="shared" si="31"/>
        <v>101.28</v>
      </c>
      <c r="I76" s="10"/>
      <c r="J76" s="11"/>
      <c r="K76" s="12"/>
      <c r="L76" s="13"/>
      <c r="M76" s="222">
        <f t="shared" si="27"/>
        <v>8</v>
      </c>
      <c r="N76" s="131">
        <f t="shared" si="28"/>
        <v>8</v>
      </c>
      <c r="O76" s="221">
        <f t="shared" si="29"/>
        <v>1</v>
      </c>
      <c r="P76" s="132">
        <f t="shared" si="30"/>
        <v>101.28</v>
      </c>
      <c r="Q76" s="12"/>
    </row>
    <row r="77" spans="1:17" ht="49.95" customHeight="1">
      <c r="A77" s="26" t="s">
        <v>143</v>
      </c>
      <c r="B77" s="111">
        <v>103986</v>
      </c>
      <c r="C77" s="43" t="s">
        <v>462</v>
      </c>
      <c r="D77" s="35" t="s">
        <v>37</v>
      </c>
      <c r="E77" s="35" t="s">
        <v>66</v>
      </c>
      <c r="F77" s="36">
        <v>1</v>
      </c>
      <c r="G77" s="125">
        <v>30.01</v>
      </c>
      <c r="H77" s="32">
        <f t="shared" si="31"/>
        <v>30.01</v>
      </c>
      <c r="I77" s="10"/>
      <c r="J77" s="11"/>
      <c r="K77" s="12"/>
      <c r="L77" s="13"/>
      <c r="M77" s="222">
        <f t="shared" si="27"/>
        <v>1</v>
      </c>
      <c r="N77" s="131">
        <f t="shared" si="28"/>
        <v>1</v>
      </c>
      <c r="O77" s="221">
        <f t="shared" si="29"/>
        <v>1</v>
      </c>
      <c r="P77" s="132">
        <f t="shared" si="30"/>
        <v>30.01</v>
      </c>
      <c r="Q77" s="12"/>
    </row>
    <row r="78" spans="1:17" ht="49.95" customHeight="1">
      <c r="A78" s="26" t="s">
        <v>144</v>
      </c>
      <c r="B78" s="111">
        <v>89363</v>
      </c>
      <c r="C78" s="43" t="s">
        <v>463</v>
      </c>
      <c r="D78" s="35" t="s">
        <v>37</v>
      </c>
      <c r="E78" s="35" t="s">
        <v>66</v>
      </c>
      <c r="F78" s="36">
        <v>7</v>
      </c>
      <c r="G78" s="125">
        <v>10.94</v>
      </c>
      <c r="H78" s="32">
        <f t="shared" si="31"/>
        <v>76.58</v>
      </c>
      <c r="I78" s="10"/>
      <c r="J78" s="11"/>
      <c r="K78" s="12"/>
      <c r="L78" s="13"/>
      <c r="M78" s="222">
        <f t="shared" si="27"/>
        <v>7</v>
      </c>
      <c r="N78" s="131">
        <f t="shared" si="28"/>
        <v>7</v>
      </c>
      <c r="O78" s="221">
        <f t="shared" si="29"/>
        <v>1</v>
      </c>
      <c r="P78" s="132">
        <f t="shared" si="30"/>
        <v>76.58</v>
      </c>
      <c r="Q78" s="12"/>
    </row>
    <row r="79" spans="1:17" ht="49.95" customHeight="1">
      <c r="A79" s="26" t="s">
        <v>145</v>
      </c>
      <c r="B79" s="111">
        <v>89408</v>
      </c>
      <c r="C79" s="43" t="s">
        <v>464</v>
      </c>
      <c r="D79" s="35" t="s">
        <v>37</v>
      </c>
      <c r="E79" s="35" t="s">
        <v>66</v>
      </c>
      <c r="F79" s="36">
        <v>7</v>
      </c>
      <c r="G79" s="125">
        <v>9.18</v>
      </c>
      <c r="H79" s="32">
        <f t="shared" si="31"/>
        <v>64.259999999999991</v>
      </c>
      <c r="I79" s="10"/>
      <c r="J79" s="11"/>
      <c r="K79" s="12"/>
      <c r="L79" s="13"/>
      <c r="M79" s="222">
        <f t="shared" si="27"/>
        <v>7</v>
      </c>
      <c r="N79" s="131">
        <f t="shared" si="28"/>
        <v>7</v>
      </c>
      <c r="O79" s="221">
        <f t="shared" si="29"/>
        <v>1</v>
      </c>
      <c r="P79" s="132">
        <f t="shared" si="30"/>
        <v>64.259999999999991</v>
      </c>
      <c r="Q79" s="12"/>
    </row>
    <row r="80" spans="1:17" ht="49.95" customHeight="1">
      <c r="A80" s="26" t="s">
        <v>146</v>
      </c>
      <c r="B80" s="111">
        <v>89731</v>
      </c>
      <c r="C80" s="43" t="s">
        <v>465</v>
      </c>
      <c r="D80" s="35" t="s">
        <v>37</v>
      </c>
      <c r="E80" s="35" t="s">
        <v>66</v>
      </c>
      <c r="F80" s="36">
        <v>1</v>
      </c>
      <c r="G80" s="125">
        <v>17.02</v>
      </c>
      <c r="H80" s="32">
        <f t="shared" si="31"/>
        <v>17.02</v>
      </c>
      <c r="I80" s="10"/>
      <c r="J80" s="11"/>
      <c r="K80" s="12"/>
      <c r="L80" s="13"/>
      <c r="M80" s="222">
        <f t="shared" si="27"/>
        <v>1</v>
      </c>
      <c r="N80" s="131">
        <f t="shared" si="28"/>
        <v>1</v>
      </c>
      <c r="O80" s="221">
        <f t="shared" si="29"/>
        <v>1</v>
      </c>
      <c r="P80" s="132">
        <f t="shared" si="30"/>
        <v>17.02</v>
      </c>
      <c r="Q80" s="12"/>
    </row>
    <row r="81" spans="1:17" ht="49.95" customHeight="1">
      <c r="A81" s="26" t="s">
        <v>147</v>
      </c>
      <c r="B81" s="111">
        <v>105189</v>
      </c>
      <c r="C81" s="43" t="s">
        <v>466</v>
      </c>
      <c r="D81" s="35" t="s">
        <v>37</v>
      </c>
      <c r="E81" s="35" t="s">
        <v>66</v>
      </c>
      <c r="F81" s="36">
        <v>1</v>
      </c>
      <c r="G81" s="125">
        <v>22.77</v>
      </c>
      <c r="H81" s="32">
        <f t="shared" si="31"/>
        <v>22.77</v>
      </c>
      <c r="I81" s="10"/>
      <c r="J81" s="11"/>
      <c r="K81" s="12"/>
      <c r="L81" s="13"/>
      <c r="M81" s="222">
        <f t="shared" si="27"/>
        <v>1</v>
      </c>
      <c r="N81" s="131">
        <f t="shared" si="28"/>
        <v>1</v>
      </c>
      <c r="O81" s="221">
        <f t="shared" si="29"/>
        <v>1</v>
      </c>
      <c r="P81" s="132">
        <f t="shared" si="30"/>
        <v>22.77</v>
      </c>
      <c r="Q81" s="12"/>
    </row>
    <row r="82" spans="1:17" ht="49.95" customHeight="1">
      <c r="A82" s="26" t="s">
        <v>148</v>
      </c>
      <c r="B82" s="111">
        <v>89617</v>
      </c>
      <c r="C82" s="43" t="s">
        <v>467</v>
      </c>
      <c r="D82" s="35" t="s">
        <v>37</v>
      </c>
      <c r="E82" s="35" t="s">
        <v>66</v>
      </c>
      <c r="F82" s="36">
        <v>3</v>
      </c>
      <c r="G82" s="125">
        <v>7.9</v>
      </c>
      <c r="H82" s="32">
        <f t="shared" si="31"/>
        <v>23.700000000000003</v>
      </c>
      <c r="I82" s="10"/>
      <c r="J82" s="11"/>
      <c r="K82" s="12"/>
      <c r="L82" s="13"/>
      <c r="M82" s="222">
        <f t="shared" si="27"/>
        <v>3</v>
      </c>
      <c r="N82" s="131">
        <f t="shared" si="28"/>
        <v>3</v>
      </c>
      <c r="O82" s="221">
        <f t="shared" si="29"/>
        <v>1</v>
      </c>
      <c r="P82" s="132">
        <f t="shared" si="30"/>
        <v>23.700000000000003</v>
      </c>
      <c r="Q82" s="12"/>
    </row>
    <row r="83" spans="1:17" ht="49.95" customHeight="1">
      <c r="A83" s="26" t="s">
        <v>149</v>
      </c>
      <c r="B83" s="111">
        <v>94694</v>
      </c>
      <c r="C83" s="43" t="s">
        <v>468</v>
      </c>
      <c r="D83" s="35" t="s">
        <v>37</v>
      </c>
      <c r="E83" s="35" t="s">
        <v>66</v>
      </c>
      <c r="F83" s="36">
        <v>1</v>
      </c>
      <c r="G83" s="125">
        <v>24.89</v>
      </c>
      <c r="H83" s="32">
        <f t="shared" si="31"/>
        <v>24.89</v>
      </c>
      <c r="I83" s="10"/>
      <c r="J83" s="11"/>
      <c r="K83" s="12"/>
      <c r="L83" s="13"/>
      <c r="M83" s="222">
        <f t="shared" si="27"/>
        <v>1</v>
      </c>
      <c r="N83" s="131">
        <f t="shared" si="28"/>
        <v>1</v>
      </c>
      <c r="O83" s="221">
        <f t="shared" si="29"/>
        <v>1</v>
      </c>
      <c r="P83" s="132">
        <f t="shared" si="30"/>
        <v>24.89</v>
      </c>
      <c r="Q83" s="12"/>
    </row>
    <row r="84" spans="1:17" ht="49.95" customHeight="1">
      <c r="A84" s="26" t="s">
        <v>150</v>
      </c>
      <c r="B84" s="111">
        <v>89446</v>
      </c>
      <c r="C84" s="43" t="s">
        <v>469</v>
      </c>
      <c r="D84" s="35" t="s">
        <v>37</v>
      </c>
      <c r="E84" s="35" t="s">
        <v>38</v>
      </c>
      <c r="F84" s="36">
        <v>20.260000000000002</v>
      </c>
      <c r="G84" s="125">
        <v>6.09</v>
      </c>
      <c r="H84" s="32">
        <f t="shared" si="31"/>
        <v>123.38340000000001</v>
      </c>
      <c r="I84" s="10"/>
      <c r="J84" s="11"/>
      <c r="K84" s="12"/>
      <c r="L84" s="13"/>
      <c r="M84" s="222">
        <f t="shared" si="27"/>
        <v>20.260000000000002</v>
      </c>
      <c r="N84" s="131">
        <f t="shared" si="28"/>
        <v>20.260000000000002</v>
      </c>
      <c r="O84" s="221">
        <f t="shared" si="29"/>
        <v>1</v>
      </c>
      <c r="P84" s="132">
        <f t="shared" si="30"/>
        <v>123.38340000000001</v>
      </c>
      <c r="Q84" s="12"/>
    </row>
    <row r="85" spans="1:17" ht="49.95" customHeight="1">
      <c r="A85" s="26" t="s">
        <v>151</v>
      </c>
      <c r="B85" s="111">
        <v>89449</v>
      </c>
      <c r="C85" s="43" t="s">
        <v>470</v>
      </c>
      <c r="D85" s="35" t="s">
        <v>37</v>
      </c>
      <c r="E85" s="35" t="s">
        <v>38</v>
      </c>
      <c r="F85" s="36">
        <v>3.61</v>
      </c>
      <c r="G85" s="122">
        <v>20.61</v>
      </c>
      <c r="H85" s="32">
        <f t="shared" si="31"/>
        <v>74.40209999999999</v>
      </c>
      <c r="I85" s="10"/>
      <c r="J85" s="11"/>
      <c r="K85" s="12"/>
      <c r="L85" s="13"/>
      <c r="M85" s="222">
        <f t="shared" si="27"/>
        <v>3.61</v>
      </c>
      <c r="N85" s="131">
        <f t="shared" si="28"/>
        <v>3.61</v>
      </c>
      <c r="O85" s="221">
        <f t="shared" si="29"/>
        <v>1</v>
      </c>
      <c r="P85" s="132">
        <f t="shared" si="30"/>
        <v>74.40209999999999</v>
      </c>
      <c r="Q85" s="12"/>
    </row>
    <row r="86" spans="1:17" ht="20.100000000000001" customHeight="1">
      <c r="A86" s="5" t="s">
        <v>152</v>
      </c>
      <c r="B86" s="179" t="s">
        <v>153</v>
      </c>
      <c r="C86" s="180"/>
      <c r="D86" s="180"/>
      <c r="E86" s="180"/>
      <c r="F86" s="180"/>
      <c r="G86" s="181"/>
      <c r="H86" s="8">
        <f>SUM(H87:H107)</f>
        <v>5307.6832999999997</v>
      </c>
      <c r="I86" s="7"/>
      <c r="J86" s="7"/>
      <c r="K86" s="7"/>
      <c r="L86" s="7"/>
      <c r="M86" s="7"/>
      <c r="N86" s="7"/>
      <c r="O86" s="7"/>
      <c r="P86" s="7"/>
      <c r="Q86" s="7"/>
    </row>
    <row r="87" spans="1:17" ht="49.95" customHeight="1">
      <c r="A87" s="17" t="s">
        <v>154</v>
      </c>
      <c r="B87" s="45">
        <v>91914</v>
      </c>
      <c r="C87" s="46" t="s">
        <v>491</v>
      </c>
      <c r="D87" s="28" t="s">
        <v>37</v>
      </c>
      <c r="E87" s="28" t="s">
        <v>66</v>
      </c>
      <c r="F87" s="27">
        <v>2</v>
      </c>
      <c r="G87" s="73">
        <v>18.579999999999998</v>
      </c>
      <c r="H87" s="32">
        <f>F87*G87</f>
        <v>37.159999999999997</v>
      </c>
      <c r="I87" s="10"/>
      <c r="J87" s="10"/>
      <c r="K87" s="10"/>
      <c r="L87" s="10"/>
      <c r="M87" s="222">
        <f t="shared" si="27"/>
        <v>2</v>
      </c>
      <c r="N87" s="131">
        <f t="shared" si="28"/>
        <v>2</v>
      </c>
      <c r="O87" s="221">
        <f t="shared" si="29"/>
        <v>1</v>
      </c>
      <c r="P87" s="132">
        <f t="shared" si="30"/>
        <v>37.159999999999997</v>
      </c>
      <c r="Q87" s="10"/>
    </row>
    <row r="88" spans="1:17" ht="49.95" customHeight="1">
      <c r="A88" s="17" t="s">
        <v>155</v>
      </c>
      <c r="B88" s="33">
        <v>91884</v>
      </c>
      <c r="C88" s="47" t="s">
        <v>492</v>
      </c>
      <c r="D88" s="30" t="s">
        <v>37</v>
      </c>
      <c r="E88" s="30" t="s">
        <v>66</v>
      </c>
      <c r="F88" s="31">
        <v>4</v>
      </c>
      <c r="G88" s="32">
        <v>11.97</v>
      </c>
      <c r="H88" s="32">
        <f t="shared" ref="H88:H107" si="32">F88*G88</f>
        <v>47.88</v>
      </c>
      <c r="I88" s="10"/>
      <c r="J88" s="10"/>
      <c r="K88" s="10"/>
      <c r="L88" s="10"/>
      <c r="M88" s="222">
        <f t="shared" ref="M88:M109" si="33">F88</f>
        <v>4</v>
      </c>
      <c r="N88" s="131">
        <f t="shared" ref="N88:N109" si="34">F88+0</f>
        <v>4</v>
      </c>
      <c r="O88" s="221">
        <f t="shared" ref="O88:O109" si="35">N88/F88</f>
        <v>1</v>
      </c>
      <c r="P88" s="132">
        <f t="shared" ref="P88:P109" si="36">N88*G88</f>
        <v>47.88</v>
      </c>
      <c r="Q88" s="10"/>
    </row>
    <row r="89" spans="1:17" ht="49.95" customHeight="1">
      <c r="A89" s="17" t="s">
        <v>156</v>
      </c>
      <c r="B89" s="113">
        <v>39470</v>
      </c>
      <c r="C89" s="47" t="s">
        <v>473</v>
      </c>
      <c r="D89" s="30" t="s">
        <v>37</v>
      </c>
      <c r="E89" s="30" t="s">
        <v>66</v>
      </c>
      <c r="F89" s="31">
        <v>2</v>
      </c>
      <c r="G89" s="32">
        <v>89.64</v>
      </c>
      <c r="H89" s="32">
        <f t="shared" si="32"/>
        <v>179.28</v>
      </c>
      <c r="I89" s="10"/>
      <c r="J89" s="10"/>
      <c r="K89" s="10"/>
      <c r="L89" s="10"/>
      <c r="M89" s="222">
        <f t="shared" si="33"/>
        <v>2</v>
      </c>
      <c r="N89" s="131">
        <f t="shared" si="34"/>
        <v>2</v>
      </c>
      <c r="O89" s="221">
        <f t="shared" si="35"/>
        <v>1</v>
      </c>
      <c r="P89" s="132">
        <f t="shared" si="36"/>
        <v>179.28</v>
      </c>
      <c r="Q89" s="10"/>
    </row>
    <row r="90" spans="1:17" ht="49.95" customHeight="1">
      <c r="A90" s="17" t="s">
        <v>157</v>
      </c>
      <c r="B90" s="33">
        <v>16</v>
      </c>
      <c r="C90" s="47" t="s">
        <v>474</v>
      </c>
      <c r="D90" s="30" t="s">
        <v>64</v>
      </c>
      <c r="E90" s="30" t="s">
        <v>5</v>
      </c>
      <c r="F90" s="31">
        <v>1</v>
      </c>
      <c r="G90" s="32">
        <v>196.6</v>
      </c>
      <c r="H90" s="32">
        <f t="shared" si="32"/>
        <v>196.6</v>
      </c>
      <c r="I90" s="10"/>
      <c r="J90" s="10"/>
      <c r="K90" s="10"/>
      <c r="L90" s="10"/>
      <c r="M90" s="222">
        <f t="shared" si="33"/>
        <v>1</v>
      </c>
      <c r="N90" s="131">
        <f t="shared" si="34"/>
        <v>1</v>
      </c>
      <c r="O90" s="221">
        <f t="shared" si="35"/>
        <v>1</v>
      </c>
      <c r="P90" s="132">
        <f t="shared" si="36"/>
        <v>196.6</v>
      </c>
      <c r="Q90" s="10"/>
    </row>
    <row r="91" spans="1:17" ht="49.95" customHeight="1">
      <c r="A91" s="17" t="s">
        <v>158</v>
      </c>
      <c r="B91" s="45">
        <v>93653</v>
      </c>
      <c r="C91" s="46" t="s">
        <v>475</v>
      </c>
      <c r="D91" s="28" t="s">
        <v>37</v>
      </c>
      <c r="E91" s="28" t="s">
        <v>66</v>
      </c>
      <c r="F91" s="27">
        <v>1</v>
      </c>
      <c r="G91" s="73">
        <v>12.41</v>
      </c>
      <c r="H91" s="32">
        <f t="shared" si="32"/>
        <v>12.41</v>
      </c>
      <c r="I91" s="10"/>
      <c r="J91" s="10"/>
      <c r="K91" s="10"/>
      <c r="L91" s="10"/>
      <c r="M91" s="222">
        <f t="shared" si="33"/>
        <v>1</v>
      </c>
      <c r="N91" s="131">
        <f t="shared" si="34"/>
        <v>1</v>
      </c>
      <c r="O91" s="221">
        <f t="shared" si="35"/>
        <v>1</v>
      </c>
      <c r="P91" s="132">
        <f t="shared" si="36"/>
        <v>12.41</v>
      </c>
      <c r="Q91" s="10"/>
    </row>
    <row r="92" spans="1:17" ht="49.95" customHeight="1">
      <c r="A92" s="17" t="s">
        <v>159</v>
      </c>
      <c r="B92" s="33">
        <v>93654</v>
      </c>
      <c r="C92" s="47" t="s">
        <v>476</v>
      </c>
      <c r="D92" s="30" t="s">
        <v>37</v>
      </c>
      <c r="E92" s="30" t="s">
        <v>66</v>
      </c>
      <c r="F92" s="31">
        <v>1</v>
      </c>
      <c r="G92" s="32">
        <v>13.12</v>
      </c>
      <c r="H92" s="32">
        <f t="shared" si="32"/>
        <v>13.12</v>
      </c>
      <c r="I92" s="10"/>
      <c r="J92" s="10"/>
      <c r="K92" s="10"/>
      <c r="L92" s="10"/>
      <c r="M92" s="222">
        <f t="shared" si="33"/>
        <v>1</v>
      </c>
      <c r="N92" s="131">
        <f t="shared" si="34"/>
        <v>1</v>
      </c>
      <c r="O92" s="221">
        <f t="shared" si="35"/>
        <v>1</v>
      </c>
      <c r="P92" s="132">
        <f t="shared" si="36"/>
        <v>13.12</v>
      </c>
      <c r="Q92" s="10"/>
    </row>
    <row r="93" spans="1:17" ht="49.95" customHeight="1">
      <c r="A93" s="17" t="s">
        <v>160</v>
      </c>
      <c r="B93" s="33">
        <v>93657</v>
      </c>
      <c r="C93" s="47" t="s">
        <v>477</v>
      </c>
      <c r="D93" s="30" t="s">
        <v>37</v>
      </c>
      <c r="E93" s="30" t="s">
        <v>66</v>
      </c>
      <c r="F93" s="31">
        <v>1</v>
      </c>
      <c r="G93" s="32">
        <v>16.21</v>
      </c>
      <c r="H93" s="32">
        <f t="shared" si="32"/>
        <v>16.21</v>
      </c>
      <c r="I93" s="10"/>
      <c r="J93" s="10"/>
      <c r="K93" s="10"/>
      <c r="L93" s="10"/>
      <c r="M93" s="222">
        <f t="shared" si="33"/>
        <v>1</v>
      </c>
      <c r="N93" s="131">
        <f t="shared" si="34"/>
        <v>1</v>
      </c>
      <c r="O93" s="221">
        <f t="shared" si="35"/>
        <v>1</v>
      </c>
      <c r="P93" s="132">
        <f t="shared" si="36"/>
        <v>16.21</v>
      </c>
      <c r="Q93" s="10"/>
    </row>
    <row r="94" spans="1:17" ht="49.95" customHeight="1">
      <c r="A94" s="17" t="s">
        <v>161</v>
      </c>
      <c r="B94" s="45">
        <v>91953</v>
      </c>
      <c r="C94" s="46" t="s">
        <v>478</v>
      </c>
      <c r="D94" s="28" t="s">
        <v>37</v>
      </c>
      <c r="E94" s="28" t="s">
        <v>66</v>
      </c>
      <c r="F94" s="27">
        <v>1</v>
      </c>
      <c r="G94" s="73">
        <v>32.159999999999997</v>
      </c>
      <c r="H94" s="32">
        <f t="shared" si="32"/>
        <v>32.159999999999997</v>
      </c>
      <c r="I94" s="10"/>
      <c r="J94" s="10"/>
      <c r="K94" s="10"/>
      <c r="L94" s="10"/>
      <c r="M94" s="222">
        <f t="shared" si="33"/>
        <v>1</v>
      </c>
      <c r="N94" s="131">
        <f t="shared" si="34"/>
        <v>1</v>
      </c>
      <c r="O94" s="221">
        <f t="shared" si="35"/>
        <v>1</v>
      </c>
      <c r="P94" s="132">
        <f t="shared" si="36"/>
        <v>32.159999999999997</v>
      </c>
      <c r="Q94" s="10"/>
    </row>
    <row r="95" spans="1:17" ht="49.95" customHeight="1">
      <c r="A95" s="17" t="s">
        <v>162</v>
      </c>
      <c r="B95" s="33">
        <v>91967</v>
      </c>
      <c r="C95" s="47" t="s">
        <v>479</v>
      </c>
      <c r="D95" s="30" t="s">
        <v>37</v>
      </c>
      <c r="E95" s="30" t="s">
        <v>66</v>
      </c>
      <c r="F95" s="31">
        <v>1</v>
      </c>
      <c r="G95" s="32">
        <v>65.77</v>
      </c>
      <c r="H95" s="32">
        <f t="shared" si="32"/>
        <v>65.77</v>
      </c>
      <c r="I95" s="10"/>
      <c r="J95" s="10"/>
      <c r="K95" s="10"/>
      <c r="L95" s="10"/>
      <c r="M95" s="222">
        <f t="shared" si="33"/>
        <v>1</v>
      </c>
      <c r="N95" s="131">
        <f t="shared" si="34"/>
        <v>1</v>
      </c>
      <c r="O95" s="221">
        <f t="shared" si="35"/>
        <v>1</v>
      </c>
      <c r="P95" s="132">
        <f t="shared" si="36"/>
        <v>65.77</v>
      </c>
      <c r="Q95" s="10"/>
    </row>
    <row r="96" spans="1:17" ht="49.95" customHeight="1">
      <c r="A96" s="17" t="s">
        <v>163</v>
      </c>
      <c r="B96" s="33">
        <v>101876</v>
      </c>
      <c r="C96" s="47" t="s">
        <v>493</v>
      </c>
      <c r="D96" s="30" t="s">
        <v>37</v>
      </c>
      <c r="E96" s="30" t="s">
        <v>66</v>
      </c>
      <c r="F96" s="31">
        <v>1</v>
      </c>
      <c r="G96" s="32">
        <v>119.29</v>
      </c>
      <c r="H96" s="32">
        <f t="shared" si="32"/>
        <v>119.29</v>
      </c>
      <c r="I96" s="10"/>
      <c r="J96" s="10"/>
      <c r="K96" s="10"/>
      <c r="L96" s="10"/>
      <c r="M96" s="222">
        <f t="shared" si="33"/>
        <v>1</v>
      </c>
      <c r="N96" s="131">
        <f t="shared" si="34"/>
        <v>1</v>
      </c>
      <c r="O96" s="221">
        <f t="shared" si="35"/>
        <v>1</v>
      </c>
      <c r="P96" s="132">
        <f t="shared" si="36"/>
        <v>119.29</v>
      </c>
      <c r="Q96" s="10"/>
    </row>
    <row r="97" spans="1:17" ht="49.95" customHeight="1">
      <c r="A97" s="17" t="s">
        <v>164</v>
      </c>
      <c r="B97" s="33">
        <v>97886</v>
      </c>
      <c r="C97" s="47" t="s">
        <v>480</v>
      </c>
      <c r="D97" s="30" t="s">
        <v>37</v>
      </c>
      <c r="E97" s="30" t="s">
        <v>66</v>
      </c>
      <c r="F97" s="31">
        <v>1</v>
      </c>
      <c r="G97" s="32">
        <v>182.85</v>
      </c>
      <c r="H97" s="32">
        <f t="shared" si="32"/>
        <v>182.85</v>
      </c>
      <c r="I97" s="10"/>
      <c r="J97" s="10"/>
      <c r="K97" s="10"/>
      <c r="L97" s="10"/>
      <c r="M97" s="222">
        <f t="shared" si="33"/>
        <v>1</v>
      </c>
      <c r="N97" s="131">
        <f t="shared" si="34"/>
        <v>1</v>
      </c>
      <c r="O97" s="221">
        <f t="shared" si="35"/>
        <v>1</v>
      </c>
      <c r="P97" s="132">
        <f t="shared" si="36"/>
        <v>182.85</v>
      </c>
      <c r="Q97" s="10"/>
    </row>
    <row r="98" spans="1:17" ht="49.95" customHeight="1">
      <c r="A98" s="17" t="s">
        <v>165</v>
      </c>
      <c r="B98" s="45">
        <v>96985</v>
      </c>
      <c r="C98" s="46" t="s">
        <v>481</v>
      </c>
      <c r="D98" s="28" t="s">
        <v>37</v>
      </c>
      <c r="E98" s="28" t="s">
        <v>66</v>
      </c>
      <c r="F98" s="27">
        <v>1</v>
      </c>
      <c r="G98" s="73">
        <v>99.89</v>
      </c>
      <c r="H98" s="32">
        <f t="shared" si="32"/>
        <v>99.89</v>
      </c>
      <c r="I98" s="10"/>
      <c r="J98" s="10"/>
      <c r="K98" s="10"/>
      <c r="L98" s="10"/>
      <c r="M98" s="222">
        <f t="shared" si="33"/>
        <v>1</v>
      </c>
      <c r="N98" s="131">
        <f t="shared" si="34"/>
        <v>1</v>
      </c>
      <c r="O98" s="221">
        <f t="shared" si="35"/>
        <v>1</v>
      </c>
      <c r="P98" s="132">
        <f t="shared" si="36"/>
        <v>99.89</v>
      </c>
      <c r="Q98" s="10"/>
    </row>
    <row r="99" spans="1:17" ht="49.95" customHeight="1">
      <c r="A99" s="17" t="s">
        <v>166</v>
      </c>
      <c r="B99" s="33">
        <v>17</v>
      </c>
      <c r="C99" s="47" t="s">
        <v>482</v>
      </c>
      <c r="D99" s="30" t="s">
        <v>64</v>
      </c>
      <c r="E99" s="30" t="s">
        <v>5</v>
      </c>
      <c r="F99" s="31">
        <v>1</v>
      </c>
      <c r="G99" s="32">
        <v>71.3</v>
      </c>
      <c r="H99" s="32">
        <f t="shared" si="32"/>
        <v>71.3</v>
      </c>
      <c r="I99" s="10"/>
      <c r="J99" s="10"/>
      <c r="K99" s="10"/>
      <c r="L99" s="10"/>
      <c r="M99" s="222">
        <f t="shared" si="33"/>
        <v>1</v>
      </c>
      <c r="N99" s="131">
        <f t="shared" si="34"/>
        <v>1</v>
      </c>
      <c r="O99" s="221">
        <f t="shared" si="35"/>
        <v>1</v>
      </c>
      <c r="P99" s="132">
        <f t="shared" si="36"/>
        <v>71.3</v>
      </c>
      <c r="Q99" s="10"/>
    </row>
    <row r="100" spans="1:17" ht="49.95" customHeight="1">
      <c r="A100" s="17" t="s">
        <v>167</v>
      </c>
      <c r="B100" s="33">
        <v>91998</v>
      </c>
      <c r="C100" s="47" t="s">
        <v>483</v>
      </c>
      <c r="D100" s="30" t="s">
        <v>37</v>
      </c>
      <c r="E100" s="30" t="s">
        <v>66</v>
      </c>
      <c r="F100" s="31">
        <v>3</v>
      </c>
      <c r="G100" s="32">
        <v>21.88</v>
      </c>
      <c r="H100" s="32">
        <f t="shared" si="32"/>
        <v>65.64</v>
      </c>
      <c r="I100" s="10"/>
      <c r="J100" s="10"/>
      <c r="K100" s="10"/>
      <c r="L100" s="10"/>
      <c r="M100" s="222">
        <f t="shared" si="33"/>
        <v>3</v>
      </c>
      <c r="N100" s="131">
        <f t="shared" si="34"/>
        <v>3</v>
      </c>
      <c r="O100" s="221">
        <f t="shared" si="35"/>
        <v>1</v>
      </c>
      <c r="P100" s="132">
        <f t="shared" si="36"/>
        <v>65.64</v>
      </c>
      <c r="Q100" s="10"/>
    </row>
    <row r="101" spans="1:17" ht="49.95" customHeight="1">
      <c r="A101" s="17" t="s">
        <v>168</v>
      </c>
      <c r="B101" s="33">
        <v>92004</v>
      </c>
      <c r="C101" s="47" t="s">
        <v>484</v>
      </c>
      <c r="D101" s="30" t="s">
        <v>37</v>
      </c>
      <c r="E101" s="30" t="s">
        <v>66</v>
      </c>
      <c r="F101" s="31">
        <v>1</v>
      </c>
      <c r="G101" s="32">
        <v>60.61</v>
      </c>
      <c r="H101" s="32">
        <f t="shared" si="32"/>
        <v>60.61</v>
      </c>
      <c r="I101" s="10"/>
      <c r="J101" s="10"/>
      <c r="K101" s="10"/>
      <c r="L101" s="10"/>
      <c r="M101" s="222">
        <f t="shared" si="33"/>
        <v>1</v>
      </c>
      <c r="N101" s="131">
        <f t="shared" si="34"/>
        <v>1</v>
      </c>
      <c r="O101" s="221">
        <f t="shared" si="35"/>
        <v>1</v>
      </c>
      <c r="P101" s="132">
        <f t="shared" si="36"/>
        <v>60.61</v>
      </c>
      <c r="Q101" s="10"/>
    </row>
    <row r="102" spans="1:17" ht="49.95" customHeight="1">
      <c r="A102" s="17" t="s">
        <v>169</v>
      </c>
      <c r="B102" s="45">
        <v>91931</v>
      </c>
      <c r="C102" s="46" t="s">
        <v>485</v>
      </c>
      <c r="D102" s="28" t="s">
        <v>37</v>
      </c>
      <c r="E102" s="28" t="s">
        <v>38</v>
      </c>
      <c r="F102" s="27">
        <v>127.8</v>
      </c>
      <c r="G102" s="73">
        <v>13.01</v>
      </c>
      <c r="H102" s="32">
        <f>F102*G102-0.01</f>
        <v>1662.6679999999999</v>
      </c>
      <c r="I102" s="10"/>
      <c r="J102" s="10"/>
      <c r="K102" s="10"/>
      <c r="L102" s="10"/>
      <c r="M102" s="222">
        <f t="shared" si="33"/>
        <v>127.8</v>
      </c>
      <c r="N102" s="131">
        <f t="shared" si="34"/>
        <v>127.8</v>
      </c>
      <c r="O102" s="221">
        <f t="shared" si="35"/>
        <v>1</v>
      </c>
      <c r="P102" s="132">
        <f t="shared" si="36"/>
        <v>1662.6779999999999</v>
      </c>
      <c r="Q102" s="10"/>
    </row>
    <row r="103" spans="1:17" ht="49.95" customHeight="1">
      <c r="A103" s="17" t="s">
        <v>170</v>
      </c>
      <c r="B103" s="33">
        <v>91924</v>
      </c>
      <c r="C103" s="47" t="s">
        <v>486</v>
      </c>
      <c r="D103" s="30" t="s">
        <v>37</v>
      </c>
      <c r="E103" s="30" t="s">
        <v>38</v>
      </c>
      <c r="F103" s="31">
        <v>111.6</v>
      </c>
      <c r="G103" s="32">
        <v>3.72</v>
      </c>
      <c r="H103" s="32">
        <f t="shared" si="32"/>
        <v>415.15199999999999</v>
      </c>
      <c r="I103" s="10"/>
      <c r="J103" s="10"/>
      <c r="K103" s="10"/>
      <c r="L103" s="10"/>
      <c r="M103" s="222">
        <f t="shared" si="33"/>
        <v>111.6</v>
      </c>
      <c r="N103" s="131">
        <f t="shared" si="34"/>
        <v>111.6</v>
      </c>
      <c r="O103" s="221">
        <f t="shared" si="35"/>
        <v>1</v>
      </c>
      <c r="P103" s="132">
        <f t="shared" si="36"/>
        <v>415.15199999999999</v>
      </c>
      <c r="Q103" s="10"/>
    </row>
    <row r="104" spans="1:17" ht="49.95" customHeight="1">
      <c r="A104" s="17" t="s">
        <v>171</v>
      </c>
      <c r="B104" s="33">
        <v>91926</v>
      </c>
      <c r="C104" s="47" t="s">
        <v>487</v>
      </c>
      <c r="D104" s="30" t="s">
        <v>37</v>
      </c>
      <c r="E104" s="30" t="s">
        <v>38</v>
      </c>
      <c r="F104" s="31">
        <v>27.2</v>
      </c>
      <c r="G104" s="32">
        <v>5.47</v>
      </c>
      <c r="H104" s="32">
        <f t="shared" si="32"/>
        <v>148.78399999999999</v>
      </c>
      <c r="I104" s="10"/>
      <c r="J104" s="10"/>
      <c r="K104" s="10"/>
      <c r="L104" s="10"/>
      <c r="M104" s="222">
        <f t="shared" si="33"/>
        <v>27.2</v>
      </c>
      <c r="N104" s="131">
        <f t="shared" si="34"/>
        <v>27.2</v>
      </c>
      <c r="O104" s="221">
        <f t="shared" si="35"/>
        <v>1</v>
      </c>
      <c r="P104" s="132">
        <f t="shared" si="36"/>
        <v>148.78399999999999</v>
      </c>
      <c r="Q104" s="10"/>
    </row>
    <row r="105" spans="1:17" ht="49.95" customHeight="1">
      <c r="A105" s="17" t="s">
        <v>172</v>
      </c>
      <c r="B105" s="33">
        <v>23</v>
      </c>
      <c r="C105" s="47" t="s">
        <v>488</v>
      </c>
      <c r="D105" s="30" t="s">
        <v>64</v>
      </c>
      <c r="E105" s="30" t="s">
        <v>38</v>
      </c>
      <c r="F105" s="31">
        <v>38.76</v>
      </c>
      <c r="G105" s="32">
        <v>26.17</v>
      </c>
      <c r="H105" s="32">
        <f>F105*G105-0.01</f>
        <v>1014.3392</v>
      </c>
      <c r="I105" s="10"/>
      <c r="J105" s="10"/>
      <c r="K105" s="10"/>
      <c r="L105" s="10"/>
      <c r="M105" s="222">
        <f t="shared" si="33"/>
        <v>38.76</v>
      </c>
      <c r="N105" s="131">
        <f t="shared" si="34"/>
        <v>38.76</v>
      </c>
      <c r="O105" s="221">
        <f t="shared" si="35"/>
        <v>1</v>
      </c>
      <c r="P105" s="132">
        <f t="shared" si="36"/>
        <v>1014.3492</v>
      </c>
      <c r="Q105" s="10"/>
    </row>
    <row r="106" spans="1:17" ht="49.95" customHeight="1">
      <c r="A106" s="17" t="s">
        <v>173</v>
      </c>
      <c r="B106" s="45">
        <v>95727</v>
      </c>
      <c r="C106" s="46" t="s">
        <v>489</v>
      </c>
      <c r="D106" s="28" t="s">
        <v>37</v>
      </c>
      <c r="E106" s="28" t="s">
        <v>38</v>
      </c>
      <c r="F106" s="27">
        <v>28.53</v>
      </c>
      <c r="G106" s="73">
        <v>22.3</v>
      </c>
      <c r="H106" s="32">
        <f>F106*G106-0.01</f>
        <v>636.20900000000006</v>
      </c>
      <c r="I106" s="10"/>
      <c r="J106" s="10"/>
      <c r="K106" s="10"/>
      <c r="L106" s="10"/>
      <c r="M106" s="222">
        <f t="shared" si="33"/>
        <v>28.53</v>
      </c>
      <c r="N106" s="131">
        <f t="shared" si="34"/>
        <v>28.53</v>
      </c>
      <c r="O106" s="221">
        <f t="shared" si="35"/>
        <v>1</v>
      </c>
      <c r="P106" s="132">
        <f t="shared" si="36"/>
        <v>636.21900000000005</v>
      </c>
      <c r="Q106" s="10"/>
    </row>
    <row r="107" spans="1:17" ht="49.95" customHeight="1">
      <c r="A107" s="17" t="s">
        <v>174</v>
      </c>
      <c r="B107" s="33">
        <v>91854</v>
      </c>
      <c r="C107" s="47" t="s">
        <v>490</v>
      </c>
      <c r="D107" s="30" t="s">
        <v>37</v>
      </c>
      <c r="E107" s="30" t="s">
        <v>38</v>
      </c>
      <c r="F107" s="31">
        <v>21.31</v>
      </c>
      <c r="G107" s="32">
        <v>10.81</v>
      </c>
      <c r="H107" s="32">
        <f t="shared" si="32"/>
        <v>230.36109999999999</v>
      </c>
      <c r="I107" s="10"/>
      <c r="J107" s="10"/>
      <c r="K107" s="10"/>
      <c r="L107" s="10"/>
      <c r="M107" s="222">
        <f t="shared" si="33"/>
        <v>21.31</v>
      </c>
      <c r="N107" s="131">
        <f t="shared" si="34"/>
        <v>21.31</v>
      </c>
      <c r="O107" s="221">
        <f t="shared" si="35"/>
        <v>1</v>
      </c>
      <c r="P107" s="132">
        <f t="shared" si="36"/>
        <v>230.36109999999999</v>
      </c>
      <c r="Q107" s="10"/>
    </row>
    <row r="108" spans="1:17" ht="20.100000000000001" customHeight="1">
      <c r="A108" s="5" t="s">
        <v>175</v>
      </c>
      <c r="B108" s="176" t="s">
        <v>176</v>
      </c>
      <c r="C108" s="177"/>
      <c r="D108" s="177"/>
      <c r="E108" s="177"/>
      <c r="F108" s="177"/>
      <c r="G108" s="178"/>
      <c r="H108" s="8">
        <f>SUM(H109:H129)</f>
        <v>5471.0644000000002</v>
      </c>
      <c r="I108" s="7"/>
      <c r="J108" s="7"/>
      <c r="K108" s="7"/>
      <c r="L108" s="7"/>
      <c r="M108" s="7"/>
      <c r="N108" s="7"/>
      <c r="O108" s="7"/>
      <c r="P108" s="7"/>
      <c r="Q108" s="7"/>
    </row>
    <row r="109" spans="1:17" ht="49.95" customHeight="1">
      <c r="A109" s="17" t="s">
        <v>177</v>
      </c>
      <c r="B109" s="48">
        <v>98062</v>
      </c>
      <c r="C109" s="44" t="s">
        <v>495</v>
      </c>
      <c r="D109" s="38" t="s">
        <v>37</v>
      </c>
      <c r="E109" s="38" t="s">
        <v>66</v>
      </c>
      <c r="F109" s="39">
        <v>1</v>
      </c>
      <c r="G109" s="60">
        <v>3778.29</v>
      </c>
      <c r="H109" s="32">
        <f>F109*G109</f>
        <v>3778.29</v>
      </c>
      <c r="I109" s="10"/>
      <c r="J109" s="10"/>
      <c r="K109" s="10"/>
      <c r="L109" s="10"/>
      <c r="M109" s="222">
        <f t="shared" si="33"/>
        <v>1</v>
      </c>
      <c r="N109" s="131">
        <f t="shared" si="34"/>
        <v>1</v>
      </c>
      <c r="O109" s="221">
        <f t="shared" si="35"/>
        <v>1</v>
      </c>
      <c r="P109" s="132">
        <f t="shared" si="36"/>
        <v>3778.29</v>
      </c>
      <c r="Q109" s="10"/>
    </row>
    <row r="110" spans="1:17" ht="49.95" customHeight="1">
      <c r="A110" s="17" t="s">
        <v>178</v>
      </c>
      <c r="B110" s="48">
        <v>104084</v>
      </c>
      <c r="C110" s="44" t="s">
        <v>511</v>
      </c>
      <c r="D110" s="38" t="s">
        <v>37</v>
      </c>
      <c r="E110" s="38" t="s">
        <v>66</v>
      </c>
      <c r="F110" s="39">
        <v>1</v>
      </c>
      <c r="G110" s="60">
        <v>91.1</v>
      </c>
      <c r="H110" s="32">
        <f t="shared" ref="H110:H129" si="37">F110*G110</f>
        <v>91.1</v>
      </c>
      <c r="I110" s="10"/>
      <c r="J110" s="10"/>
      <c r="K110" s="10"/>
      <c r="L110" s="10"/>
      <c r="M110" s="222">
        <f t="shared" ref="M110:M129" si="38">F110</f>
        <v>1</v>
      </c>
      <c r="N110" s="131">
        <f t="shared" ref="N110:N129" si="39">F110+0</f>
        <v>1</v>
      </c>
      <c r="O110" s="221">
        <f t="shared" ref="O110:O129" si="40">N110/F110</f>
        <v>1</v>
      </c>
      <c r="P110" s="132">
        <f t="shared" ref="P110:P129" si="41">N110*G110</f>
        <v>91.1</v>
      </c>
      <c r="Q110" s="10"/>
    </row>
    <row r="111" spans="1:17" ht="49.95" customHeight="1">
      <c r="A111" s="17" t="s">
        <v>179</v>
      </c>
      <c r="B111" s="48">
        <v>104065</v>
      </c>
      <c r="C111" s="44" t="s">
        <v>496</v>
      </c>
      <c r="D111" s="38" t="s">
        <v>37</v>
      </c>
      <c r="E111" s="38" t="s">
        <v>66</v>
      </c>
      <c r="F111" s="39">
        <v>1</v>
      </c>
      <c r="G111" s="60">
        <v>161.43</v>
      </c>
      <c r="H111" s="32">
        <f t="shared" si="37"/>
        <v>161.43</v>
      </c>
      <c r="I111" s="10"/>
      <c r="J111" s="10"/>
      <c r="K111" s="10"/>
      <c r="L111" s="10"/>
      <c r="M111" s="222">
        <f t="shared" si="38"/>
        <v>1</v>
      </c>
      <c r="N111" s="131">
        <f t="shared" si="39"/>
        <v>1</v>
      </c>
      <c r="O111" s="221">
        <f t="shared" si="40"/>
        <v>1</v>
      </c>
      <c r="P111" s="132">
        <f t="shared" si="41"/>
        <v>161.43</v>
      </c>
      <c r="Q111" s="10"/>
    </row>
    <row r="112" spans="1:17" ht="49.95" customHeight="1">
      <c r="A112" s="17" t="s">
        <v>180</v>
      </c>
      <c r="B112" s="48">
        <v>89733</v>
      </c>
      <c r="C112" s="44" t="s">
        <v>497</v>
      </c>
      <c r="D112" s="38" t="s">
        <v>37</v>
      </c>
      <c r="E112" s="38" t="s">
        <v>66</v>
      </c>
      <c r="F112" s="39">
        <v>2</v>
      </c>
      <c r="G112" s="60">
        <v>26.18</v>
      </c>
      <c r="H112" s="32">
        <f t="shared" si="37"/>
        <v>52.36</v>
      </c>
      <c r="I112" s="10"/>
      <c r="J112" s="10"/>
      <c r="K112" s="10"/>
      <c r="L112" s="10"/>
      <c r="M112" s="222">
        <f t="shared" si="38"/>
        <v>2</v>
      </c>
      <c r="N112" s="131">
        <f t="shared" si="39"/>
        <v>2</v>
      </c>
      <c r="O112" s="221">
        <f t="shared" si="40"/>
        <v>1</v>
      </c>
      <c r="P112" s="132">
        <f t="shared" si="41"/>
        <v>52.36</v>
      </c>
      <c r="Q112" s="10"/>
    </row>
    <row r="113" spans="1:17" ht="49.95" customHeight="1">
      <c r="A113" s="17" t="s">
        <v>181</v>
      </c>
      <c r="B113" s="48">
        <v>89726</v>
      </c>
      <c r="C113" s="44" t="s">
        <v>498</v>
      </c>
      <c r="D113" s="38" t="s">
        <v>37</v>
      </c>
      <c r="E113" s="38" t="s">
        <v>66</v>
      </c>
      <c r="F113" s="39">
        <v>3</v>
      </c>
      <c r="G113" s="60">
        <v>10.95</v>
      </c>
      <c r="H113" s="32">
        <f t="shared" si="37"/>
        <v>32.849999999999994</v>
      </c>
      <c r="I113" s="10"/>
      <c r="J113" s="10"/>
      <c r="K113" s="10"/>
      <c r="L113" s="10"/>
      <c r="M113" s="222">
        <f t="shared" si="38"/>
        <v>3</v>
      </c>
      <c r="N113" s="131">
        <f t="shared" si="39"/>
        <v>3</v>
      </c>
      <c r="O113" s="221">
        <f t="shared" si="40"/>
        <v>1</v>
      </c>
      <c r="P113" s="132">
        <f t="shared" si="41"/>
        <v>32.849999999999994</v>
      </c>
      <c r="Q113" s="10"/>
    </row>
    <row r="114" spans="1:17" ht="49.95" customHeight="1">
      <c r="A114" s="17" t="s">
        <v>182</v>
      </c>
      <c r="B114" s="48">
        <v>89732</v>
      </c>
      <c r="C114" s="44" t="s">
        <v>499</v>
      </c>
      <c r="D114" s="38" t="s">
        <v>37</v>
      </c>
      <c r="E114" s="38" t="s">
        <v>66</v>
      </c>
      <c r="F114" s="39">
        <v>5</v>
      </c>
      <c r="G114" s="60">
        <v>17.82</v>
      </c>
      <c r="H114" s="32">
        <f t="shared" si="37"/>
        <v>89.1</v>
      </c>
      <c r="I114" s="10"/>
      <c r="J114" s="10"/>
      <c r="K114" s="10"/>
      <c r="L114" s="10"/>
      <c r="M114" s="222">
        <f t="shared" si="38"/>
        <v>5</v>
      </c>
      <c r="N114" s="131">
        <f t="shared" si="39"/>
        <v>5</v>
      </c>
      <c r="O114" s="221">
        <f t="shared" si="40"/>
        <v>1</v>
      </c>
      <c r="P114" s="132">
        <f t="shared" si="41"/>
        <v>89.1</v>
      </c>
      <c r="Q114" s="10"/>
    </row>
    <row r="115" spans="1:17" ht="49.95" customHeight="1">
      <c r="A115" s="17" t="s">
        <v>183</v>
      </c>
      <c r="B115" s="48">
        <v>89724</v>
      </c>
      <c r="C115" s="44" t="s">
        <v>500</v>
      </c>
      <c r="D115" s="38" t="s">
        <v>37</v>
      </c>
      <c r="E115" s="38" t="s">
        <v>66</v>
      </c>
      <c r="F115" s="39">
        <v>2</v>
      </c>
      <c r="G115" s="60">
        <v>10.7</v>
      </c>
      <c r="H115" s="32">
        <f t="shared" si="37"/>
        <v>21.4</v>
      </c>
      <c r="I115" s="10"/>
      <c r="J115" s="10"/>
      <c r="K115" s="10"/>
      <c r="L115" s="10"/>
      <c r="M115" s="222">
        <f t="shared" si="38"/>
        <v>2</v>
      </c>
      <c r="N115" s="131">
        <f t="shared" si="39"/>
        <v>2</v>
      </c>
      <c r="O115" s="221">
        <f t="shared" si="40"/>
        <v>1</v>
      </c>
      <c r="P115" s="132">
        <f t="shared" si="41"/>
        <v>21.4</v>
      </c>
      <c r="Q115" s="10"/>
    </row>
    <row r="116" spans="1:17" ht="49.95" customHeight="1">
      <c r="A116" s="17" t="s">
        <v>184</v>
      </c>
      <c r="B116" s="48">
        <v>89731</v>
      </c>
      <c r="C116" s="44" t="s">
        <v>465</v>
      </c>
      <c r="D116" s="38" t="s">
        <v>37</v>
      </c>
      <c r="E116" s="38" t="s">
        <v>66</v>
      </c>
      <c r="F116" s="39">
        <v>8</v>
      </c>
      <c r="G116" s="60">
        <v>17.02</v>
      </c>
      <c r="H116" s="32">
        <f t="shared" si="37"/>
        <v>136.16</v>
      </c>
      <c r="I116" s="10"/>
      <c r="J116" s="10"/>
      <c r="K116" s="10"/>
      <c r="L116" s="10"/>
      <c r="M116" s="222">
        <f t="shared" si="38"/>
        <v>8</v>
      </c>
      <c r="N116" s="131">
        <f t="shared" si="39"/>
        <v>8</v>
      </c>
      <c r="O116" s="221">
        <f t="shared" si="40"/>
        <v>1</v>
      </c>
      <c r="P116" s="132">
        <f t="shared" si="41"/>
        <v>136.16</v>
      </c>
      <c r="Q116" s="10"/>
    </row>
    <row r="117" spans="1:17" ht="49.95" customHeight="1">
      <c r="A117" s="17" t="s">
        <v>185</v>
      </c>
      <c r="B117" s="48">
        <v>89744</v>
      </c>
      <c r="C117" s="44" t="s">
        <v>501</v>
      </c>
      <c r="D117" s="38" t="s">
        <v>37</v>
      </c>
      <c r="E117" s="38" t="s">
        <v>66</v>
      </c>
      <c r="F117" s="39">
        <v>1</v>
      </c>
      <c r="G117" s="60">
        <v>31.13</v>
      </c>
      <c r="H117" s="32">
        <f t="shared" si="37"/>
        <v>31.13</v>
      </c>
      <c r="I117" s="10"/>
      <c r="J117" s="10"/>
      <c r="K117" s="10"/>
      <c r="L117" s="10"/>
      <c r="M117" s="222">
        <f t="shared" si="38"/>
        <v>1</v>
      </c>
      <c r="N117" s="131">
        <f t="shared" si="39"/>
        <v>1</v>
      </c>
      <c r="O117" s="221">
        <f t="shared" si="40"/>
        <v>1</v>
      </c>
      <c r="P117" s="132">
        <f t="shared" si="41"/>
        <v>31.13</v>
      </c>
      <c r="Q117" s="10"/>
    </row>
    <row r="118" spans="1:17" ht="49.95" customHeight="1">
      <c r="A118" s="17" t="s">
        <v>186</v>
      </c>
      <c r="B118" s="48">
        <v>89785</v>
      </c>
      <c r="C118" s="44" t="s">
        <v>502</v>
      </c>
      <c r="D118" s="38" t="s">
        <v>37</v>
      </c>
      <c r="E118" s="38" t="s">
        <v>66</v>
      </c>
      <c r="F118" s="39">
        <v>1</v>
      </c>
      <c r="G118" s="60">
        <v>30.01</v>
      </c>
      <c r="H118" s="32">
        <f t="shared" si="37"/>
        <v>30.01</v>
      </c>
      <c r="I118" s="10"/>
      <c r="J118" s="10"/>
      <c r="K118" s="10"/>
      <c r="L118" s="10"/>
      <c r="M118" s="222">
        <f t="shared" si="38"/>
        <v>1</v>
      </c>
      <c r="N118" s="131">
        <f t="shared" si="39"/>
        <v>1</v>
      </c>
      <c r="O118" s="221">
        <f t="shared" si="40"/>
        <v>1</v>
      </c>
      <c r="P118" s="132">
        <f t="shared" si="41"/>
        <v>30.01</v>
      </c>
      <c r="Q118" s="10"/>
    </row>
    <row r="119" spans="1:17" ht="49.95" customHeight="1">
      <c r="A119" s="17" t="s">
        <v>187</v>
      </c>
      <c r="B119" s="48">
        <v>104353</v>
      </c>
      <c r="C119" s="44" t="s">
        <v>503</v>
      </c>
      <c r="D119" s="38" t="s">
        <v>37</v>
      </c>
      <c r="E119" s="38" t="s">
        <v>66</v>
      </c>
      <c r="F119" s="39">
        <v>1</v>
      </c>
      <c r="G119" s="60">
        <v>46.81</v>
      </c>
      <c r="H119" s="32">
        <f t="shared" si="37"/>
        <v>46.81</v>
      </c>
      <c r="I119" s="10"/>
      <c r="J119" s="10"/>
      <c r="K119" s="10"/>
      <c r="L119" s="10"/>
      <c r="M119" s="222">
        <f t="shared" si="38"/>
        <v>1</v>
      </c>
      <c r="N119" s="131">
        <f t="shared" si="39"/>
        <v>1</v>
      </c>
      <c r="O119" s="221">
        <f t="shared" si="40"/>
        <v>1</v>
      </c>
      <c r="P119" s="132">
        <f t="shared" si="41"/>
        <v>46.81</v>
      </c>
      <c r="Q119" s="10"/>
    </row>
    <row r="120" spans="1:17" ht="49.95" customHeight="1">
      <c r="A120" s="17" t="s">
        <v>188</v>
      </c>
      <c r="B120" s="48">
        <v>104348</v>
      </c>
      <c r="C120" s="44" t="s">
        <v>504</v>
      </c>
      <c r="D120" s="38" t="s">
        <v>37</v>
      </c>
      <c r="E120" s="38" t="s">
        <v>66</v>
      </c>
      <c r="F120" s="39">
        <v>1</v>
      </c>
      <c r="G120" s="60">
        <v>11.64</v>
      </c>
      <c r="H120" s="32">
        <f t="shared" si="37"/>
        <v>11.64</v>
      </c>
      <c r="I120" s="10"/>
      <c r="J120" s="10"/>
      <c r="K120" s="10"/>
      <c r="L120" s="10"/>
      <c r="M120" s="222">
        <f t="shared" si="38"/>
        <v>1</v>
      </c>
      <c r="N120" s="131">
        <f t="shared" si="39"/>
        <v>1</v>
      </c>
      <c r="O120" s="221">
        <f t="shared" si="40"/>
        <v>1</v>
      </c>
      <c r="P120" s="132">
        <f t="shared" si="41"/>
        <v>11.64</v>
      </c>
      <c r="Q120" s="10"/>
    </row>
    <row r="121" spans="1:17" ht="49.95" customHeight="1">
      <c r="A121" s="17" t="s">
        <v>189</v>
      </c>
      <c r="B121" s="48">
        <v>89796</v>
      </c>
      <c r="C121" s="44" t="s">
        <v>505</v>
      </c>
      <c r="D121" s="38" t="s">
        <v>37</v>
      </c>
      <c r="E121" s="38" t="s">
        <v>66</v>
      </c>
      <c r="F121" s="39">
        <v>2</v>
      </c>
      <c r="G121" s="60">
        <v>48.82</v>
      </c>
      <c r="H121" s="32">
        <f t="shared" si="37"/>
        <v>97.64</v>
      </c>
      <c r="I121" s="10"/>
      <c r="J121" s="10"/>
      <c r="K121" s="10"/>
      <c r="L121" s="10"/>
      <c r="M121" s="222">
        <f t="shared" si="38"/>
        <v>2</v>
      </c>
      <c r="N121" s="131">
        <f t="shared" si="39"/>
        <v>2</v>
      </c>
      <c r="O121" s="221">
        <f t="shared" si="40"/>
        <v>1</v>
      </c>
      <c r="P121" s="132">
        <f t="shared" si="41"/>
        <v>97.64</v>
      </c>
      <c r="Q121" s="10"/>
    </row>
    <row r="122" spans="1:17" ht="49.95" customHeight="1">
      <c r="A122" s="17" t="s">
        <v>190</v>
      </c>
      <c r="B122" s="114">
        <v>20181</v>
      </c>
      <c r="C122" s="44" t="s">
        <v>506</v>
      </c>
      <c r="D122" s="38" t="s">
        <v>37</v>
      </c>
      <c r="E122" s="38" t="s">
        <v>66</v>
      </c>
      <c r="F122" s="39">
        <v>1</v>
      </c>
      <c r="G122" s="60">
        <v>125.71</v>
      </c>
      <c r="H122" s="32">
        <f t="shared" si="37"/>
        <v>125.71</v>
      </c>
      <c r="I122" s="10"/>
      <c r="J122" s="10"/>
      <c r="K122" s="10"/>
      <c r="L122" s="10"/>
      <c r="M122" s="222">
        <f t="shared" si="38"/>
        <v>1</v>
      </c>
      <c r="N122" s="131">
        <f t="shared" si="39"/>
        <v>1</v>
      </c>
      <c r="O122" s="221">
        <f t="shared" si="40"/>
        <v>1</v>
      </c>
      <c r="P122" s="132">
        <f t="shared" si="41"/>
        <v>125.71</v>
      </c>
      <c r="Q122" s="10"/>
    </row>
    <row r="123" spans="1:17" ht="49.95" customHeight="1">
      <c r="A123" s="17" t="s">
        <v>191</v>
      </c>
      <c r="B123" s="48">
        <v>104329</v>
      </c>
      <c r="C123" s="44" t="s">
        <v>507</v>
      </c>
      <c r="D123" s="38" t="s">
        <v>37</v>
      </c>
      <c r="E123" s="38" t="s">
        <v>66</v>
      </c>
      <c r="F123" s="39">
        <v>1</v>
      </c>
      <c r="G123" s="60">
        <v>77.48</v>
      </c>
      <c r="H123" s="32">
        <f t="shared" si="37"/>
        <v>77.48</v>
      </c>
      <c r="I123" s="10"/>
      <c r="J123" s="10"/>
      <c r="K123" s="10"/>
      <c r="L123" s="10"/>
      <c r="M123" s="222">
        <f t="shared" si="38"/>
        <v>1</v>
      </c>
      <c r="N123" s="131">
        <f t="shared" si="39"/>
        <v>1</v>
      </c>
      <c r="O123" s="221">
        <f t="shared" si="40"/>
        <v>1</v>
      </c>
      <c r="P123" s="132">
        <f t="shared" si="41"/>
        <v>77.48</v>
      </c>
      <c r="Q123" s="10"/>
    </row>
    <row r="124" spans="1:17" ht="49.95" customHeight="1">
      <c r="A124" s="17" t="s">
        <v>192</v>
      </c>
      <c r="B124" s="114">
        <v>6138</v>
      </c>
      <c r="C124" s="44" t="s">
        <v>508</v>
      </c>
      <c r="D124" s="38" t="s">
        <v>37</v>
      </c>
      <c r="E124" s="38" t="s">
        <v>66</v>
      </c>
      <c r="F124" s="39">
        <v>2</v>
      </c>
      <c r="G124" s="60">
        <v>10.67</v>
      </c>
      <c r="H124" s="32">
        <f t="shared" si="37"/>
        <v>21.34</v>
      </c>
      <c r="I124" s="10"/>
      <c r="J124" s="10"/>
      <c r="K124" s="10"/>
      <c r="L124" s="10"/>
      <c r="M124" s="222">
        <f t="shared" si="38"/>
        <v>2</v>
      </c>
      <c r="N124" s="131">
        <f t="shared" si="39"/>
        <v>2</v>
      </c>
      <c r="O124" s="221">
        <f t="shared" si="40"/>
        <v>1</v>
      </c>
      <c r="P124" s="132">
        <f t="shared" si="41"/>
        <v>21.34</v>
      </c>
      <c r="Q124" s="10"/>
    </row>
    <row r="125" spans="1:17" ht="49.95" customHeight="1">
      <c r="A125" s="17" t="s">
        <v>193</v>
      </c>
      <c r="B125" s="48">
        <v>89711</v>
      </c>
      <c r="C125" s="44" t="s">
        <v>512</v>
      </c>
      <c r="D125" s="38" t="s">
        <v>37</v>
      </c>
      <c r="E125" s="38" t="s">
        <v>38</v>
      </c>
      <c r="F125" s="39">
        <v>1.97</v>
      </c>
      <c r="G125" s="60">
        <v>23.31</v>
      </c>
      <c r="H125" s="32">
        <f t="shared" si="37"/>
        <v>45.920699999999997</v>
      </c>
      <c r="I125" s="10"/>
      <c r="J125" s="10"/>
      <c r="K125" s="10"/>
      <c r="L125" s="10"/>
      <c r="M125" s="222">
        <f t="shared" si="38"/>
        <v>1.97</v>
      </c>
      <c r="N125" s="131">
        <f t="shared" si="39"/>
        <v>1.97</v>
      </c>
      <c r="O125" s="221">
        <f t="shared" si="40"/>
        <v>1</v>
      </c>
      <c r="P125" s="132">
        <f t="shared" si="41"/>
        <v>45.920699999999997</v>
      </c>
      <c r="Q125" s="10"/>
    </row>
    <row r="126" spans="1:17" ht="49.95" customHeight="1">
      <c r="A126" s="17" t="s">
        <v>194</v>
      </c>
      <c r="B126" s="48">
        <v>89712</v>
      </c>
      <c r="C126" s="44" t="s">
        <v>513</v>
      </c>
      <c r="D126" s="38" t="s">
        <v>37</v>
      </c>
      <c r="E126" s="38" t="s">
        <v>38</v>
      </c>
      <c r="F126" s="39">
        <v>7.86</v>
      </c>
      <c r="G126" s="60">
        <v>29.55</v>
      </c>
      <c r="H126" s="32">
        <f t="shared" si="37"/>
        <v>232.26300000000001</v>
      </c>
      <c r="I126" s="10"/>
      <c r="J126" s="10"/>
      <c r="K126" s="10"/>
      <c r="L126" s="10"/>
      <c r="M126" s="222">
        <f t="shared" si="38"/>
        <v>7.86</v>
      </c>
      <c r="N126" s="131">
        <f t="shared" si="39"/>
        <v>7.86</v>
      </c>
      <c r="O126" s="221">
        <f t="shared" si="40"/>
        <v>1</v>
      </c>
      <c r="P126" s="132">
        <f t="shared" si="41"/>
        <v>232.26300000000001</v>
      </c>
      <c r="Q126" s="10"/>
    </row>
    <row r="127" spans="1:17" ht="49.95" customHeight="1">
      <c r="A127" s="17" t="s">
        <v>195</v>
      </c>
      <c r="B127" s="48">
        <v>89713</v>
      </c>
      <c r="C127" s="44" t="s">
        <v>514</v>
      </c>
      <c r="D127" s="38" t="s">
        <v>37</v>
      </c>
      <c r="E127" s="38" t="s">
        <v>38</v>
      </c>
      <c r="F127" s="39">
        <v>0.47</v>
      </c>
      <c r="G127" s="60">
        <v>36.79</v>
      </c>
      <c r="H127" s="32">
        <f t="shared" si="37"/>
        <v>17.2913</v>
      </c>
      <c r="I127" s="10"/>
      <c r="J127" s="10"/>
      <c r="K127" s="10"/>
      <c r="L127" s="10"/>
      <c r="M127" s="222">
        <f t="shared" si="38"/>
        <v>0.47</v>
      </c>
      <c r="N127" s="131">
        <f t="shared" si="39"/>
        <v>0.47</v>
      </c>
      <c r="O127" s="221">
        <f t="shared" si="40"/>
        <v>1</v>
      </c>
      <c r="P127" s="132">
        <f t="shared" si="41"/>
        <v>17.2913</v>
      </c>
      <c r="Q127" s="10"/>
    </row>
    <row r="128" spans="1:17" ht="49.95" customHeight="1">
      <c r="A128" s="17" t="s">
        <v>196</v>
      </c>
      <c r="B128" s="48">
        <v>89714</v>
      </c>
      <c r="C128" s="44" t="s">
        <v>515</v>
      </c>
      <c r="D128" s="38" t="s">
        <v>37</v>
      </c>
      <c r="E128" s="38" t="s">
        <v>38</v>
      </c>
      <c r="F128" s="39">
        <v>1.83</v>
      </c>
      <c r="G128" s="60">
        <v>41.13</v>
      </c>
      <c r="H128" s="32">
        <f>F128*G128-0.01</f>
        <v>75.257900000000006</v>
      </c>
      <c r="I128" s="10"/>
      <c r="J128" s="10"/>
      <c r="K128" s="10"/>
      <c r="L128" s="10"/>
      <c r="M128" s="222">
        <f t="shared" si="38"/>
        <v>1.83</v>
      </c>
      <c r="N128" s="131">
        <f t="shared" si="39"/>
        <v>1.83</v>
      </c>
      <c r="O128" s="221">
        <f t="shared" si="40"/>
        <v>1</v>
      </c>
      <c r="P128" s="132">
        <f t="shared" si="41"/>
        <v>75.267900000000012</v>
      </c>
      <c r="Q128" s="10"/>
    </row>
    <row r="129" spans="1:17" ht="49.95" customHeight="1">
      <c r="A129" s="17" t="s">
        <v>197</v>
      </c>
      <c r="B129" s="48">
        <v>19</v>
      </c>
      <c r="C129" s="44" t="s">
        <v>516</v>
      </c>
      <c r="D129" s="38" t="s">
        <v>64</v>
      </c>
      <c r="E129" s="38" t="s">
        <v>38</v>
      </c>
      <c r="F129" s="39">
        <v>4.3099999999999996</v>
      </c>
      <c r="G129" s="60">
        <v>68.650000000000006</v>
      </c>
      <c r="H129" s="32">
        <f t="shared" si="37"/>
        <v>295.88150000000002</v>
      </c>
      <c r="I129" s="10"/>
      <c r="J129" s="10"/>
      <c r="K129" s="10"/>
      <c r="L129" s="10"/>
      <c r="M129" s="222">
        <f t="shared" si="38"/>
        <v>4.3099999999999996</v>
      </c>
      <c r="N129" s="131">
        <f t="shared" si="39"/>
        <v>4.3099999999999996</v>
      </c>
      <c r="O129" s="221">
        <f t="shared" si="40"/>
        <v>1</v>
      </c>
      <c r="P129" s="132">
        <f t="shared" si="41"/>
        <v>295.88150000000002</v>
      </c>
      <c r="Q129" s="10"/>
    </row>
    <row r="130" spans="1:17" ht="20.100000000000001" customHeight="1">
      <c r="A130" s="5" t="s">
        <v>198</v>
      </c>
      <c r="B130" s="179" t="s">
        <v>21</v>
      </c>
      <c r="C130" s="180"/>
      <c r="D130" s="180"/>
      <c r="E130" s="180"/>
      <c r="F130" s="180"/>
      <c r="G130" s="181"/>
      <c r="H130" s="8">
        <f>SUM(H131:H136)</f>
        <v>27189.414199999999</v>
      </c>
      <c r="I130" s="7"/>
      <c r="J130" s="7"/>
      <c r="K130" s="7"/>
      <c r="L130" s="7"/>
      <c r="M130" s="7"/>
      <c r="N130" s="7"/>
      <c r="O130" s="7"/>
      <c r="P130" s="7"/>
      <c r="Q130" s="7"/>
    </row>
    <row r="131" spans="1:17" ht="49.95" customHeight="1">
      <c r="A131" s="17" t="s">
        <v>199</v>
      </c>
      <c r="B131" s="48">
        <v>94204</v>
      </c>
      <c r="C131" s="44" t="s">
        <v>517</v>
      </c>
      <c r="D131" s="38" t="s">
        <v>37</v>
      </c>
      <c r="E131" s="38" t="s">
        <v>63</v>
      </c>
      <c r="F131" s="39">
        <v>98.46</v>
      </c>
      <c r="G131" s="60">
        <v>52.95</v>
      </c>
      <c r="H131" s="32">
        <f>F131*G131-0.01</f>
        <v>5213.4470000000001</v>
      </c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 ht="49.95" customHeight="1">
      <c r="A132" s="17" t="s">
        <v>200</v>
      </c>
      <c r="B132" s="48">
        <v>92540</v>
      </c>
      <c r="C132" s="44" t="s">
        <v>518</v>
      </c>
      <c r="D132" s="38" t="s">
        <v>37</v>
      </c>
      <c r="E132" s="38" t="s">
        <v>63</v>
      </c>
      <c r="F132" s="39">
        <v>98.46</v>
      </c>
      <c r="G132" s="60">
        <v>92.74</v>
      </c>
      <c r="H132" s="32">
        <f t="shared" ref="H132:H136" si="42">F132*G132</f>
        <v>9131.1803999999993</v>
      </c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 ht="49.95" customHeight="1">
      <c r="A133" s="17" t="s">
        <v>201</v>
      </c>
      <c r="B133" s="48">
        <v>100357</v>
      </c>
      <c r="C133" s="44" t="s">
        <v>519</v>
      </c>
      <c r="D133" s="38" t="s">
        <v>37</v>
      </c>
      <c r="E133" s="38" t="s">
        <v>66</v>
      </c>
      <c r="F133" s="39">
        <v>4</v>
      </c>
      <c r="G133" s="60">
        <v>1159.1500000000001</v>
      </c>
      <c r="H133" s="32">
        <f t="shared" si="42"/>
        <v>4636.6000000000004</v>
      </c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 ht="49.95" customHeight="1">
      <c r="A134" s="17" t="s">
        <v>202</v>
      </c>
      <c r="B134" s="48">
        <v>100358</v>
      </c>
      <c r="C134" s="44" t="s">
        <v>520</v>
      </c>
      <c r="D134" s="38" t="s">
        <v>37</v>
      </c>
      <c r="E134" s="38" t="s">
        <v>66</v>
      </c>
      <c r="F134" s="39">
        <v>4</v>
      </c>
      <c r="G134" s="60">
        <v>1568.57</v>
      </c>
      <c r="H134" s="32">
        <f t="shared" si="42"/>
        <v>6274.28</v>
      </c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 ht="49.95" customHeight="1">
      <c r="A135" s="17" t="s">
        <v>203</v>
      </c>
      <c r="B135" s="48">
        <v>102233</v>
      </c>
      <c r="C135" s="44" t="s">
        <v>521</v>
      </c>
      <c r="D135" s="38" t="s">
        <v>37</v>
      </c>
      <c r="E135" s="38" t="s">
        <v>63</v>
      </c>
      <c r="F135" s="39">
        <v>24.62</v>
      </c>
      <c r="G135" s="60">
        <v>13.54</v>
      </c>
      <c r="H135" s="32">
        <f t="shared" si="42"/>
        <v>333.35480000000001</v>
      </c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 ht="49.95" customHeight="1">
      <c r="A136" s="17" t="s">
        <v>204</v>
      </c>
      <c r="B136" s="48">
        <v>94219</v>
      </c>
      <c r="C136" s="44" t="s">
        <v>522</v>
      </c>
      <c r="D136" s="38" t="s">
        <v>37</v>
      </c>
      <c r="E136" s="38" t="s">
        <v>38</v>
      </c>
      <c r="F136" s="39">
        <v>47.2</v>
      </c>
      <c r="G136" s="60">
        <v>33.909999999999997</v>
      </c>
      <c r="H136" s="32">
        <f t="shared" si="42"/>
        <v>1600.5519999999999</v>
      </c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 ht="20.100000000000001" customHeight="1">
      <c r="A137" s="5" t="s">
        <v>205</v>
      </c>
      <c r="B137" s="185" t="s">
        <v>48</v>
      </c>
      <c r="C137" s="186"/>
      <c r="D137" s="186"/>
      <c r="E137" s="186"/>
      <c r="F137" s="186"/>
      <c r="G137" s="187"/>
      <c r="H137" s="8">
        <f>SUM(H138:H140)</f>
        <v>1292.7819999999999</v>
      </c>
      <c r="I137" s="7"/>
      <c r="J137" s="7"/>
      <c r="K137" s="7"/>
      <c r="L137" s="7"/>
      <c r="M137" s="7"/>
      <c r="N137" s="7"/>
      <c r="O137" s="7"/>
      <c r="P137" s="7"/>
      <c r="Q137" s="7"/>
    </row>
    <row r="138" spans="1:17" ht="49.95" customHeight="1">
      <c r="A138" s="17" t="s">
        <v>206</v>
      </c>
      <c r="B138" s="108">
        <v>90822</v>
      </c>
      <c r="C138" s="34" t="s">
        <v>523</v>
      </c>
      <c r="D138" s="30" t="s">
        <v>37</v>
      </c>
      <c r="E138" s="30" t="s">
        <v>66</v>
      </c>
      <c r="F138" s="31">
        <v>2</v>
      </c>
      <c r="G138" s="32">
        <v>443.77</v>
      </c>
      <c r="H138" s="32">
        <f>F138*G138</f>
        <v>887.54</v>
      </c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 ht="49.95" customHeight="1">
      <c r="A139" s="17" t="s">
        <v>207</v>
      </c>
      <c r="B139" s="108">
        <v>101162</v>
      </c>
      <c r="C139" s="34" t="s">
        <v>524</v>
      </c>
      <c r="D139" s="30" t="s">
        <v>37</v>
      </c>
      <c r="E139" s="30" t="s">
        <v>63</v>
      </c>
      <c r="F139" s="31">
        <v>0.2</v>
      </c>
      <c r="G139" s="32">
        <v>172.11</v>
      </c>
      <c r="H139" s="32">
        <f t="shared" ref="H139:H140" si="43">F139*G139</f>
        <v>34.422000000000004</v>
      </c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 ht="49.95" customHeight="1">
      <c r="A140" s="17" t="s">
        <v>208</v>
      </c>
      <c r="B140" s="108">
        <v>90830</v>
      </c>
      <c r="C140" s="34" t="s">
        <v>525</v>
      </c>
      <c r="D140" s="30" t="s">
        <v>37</v>
      </c>
      <c r="E140" s="30" t="s">
        <v>66</v>
      </c>
      <c r="F140" s="31">
        <v>2</v>
      </c>
      <c r="G140" s="32">
        <v>185.41</v>
      </c>
      <c r="H140" s="32">
        <f t="shared" si="43"/>
        <v>370.82</v>
      </c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 ht="19.5" customHeight="1">
      <c r="A141" s="5">
        <v>3</v>
      </c>
      <c r="B141" s="175" t="s">
        <v>209</v>
      </c>
      <c r="C141" s="175"/>
      <c r="D141" s="175"/>
      <c r="E141" s="175"/>
      <c r="F141" s="175"/>
      <c r="G141" s="175"/>
      <c r="H141" s="8">
        <f>SUM(H142,H144,H147,H158,H169,H173,H181,H186,H190,H256,H262)+0.02</f>
        <v>48294.647399999994</v>
      </c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19.5" customHeight="1">
      <c r="A142" s="5" t="s">
        <v>19</v>
      </c>
      <c r="B142" s="175" t="s">
        <v>12</v>
      </c>
      <c r="C142" s="175"/>
      <c r="D142" s="175"/>
      <c r="E142" s="175"/>
      <c r="F142" s="175"/>
      <c r="G142" s="175"/>
      <c r="H142" s="8">
        <f>SUM(H143)</f>
        <v>1054.568</v>
      </c>
      <c r="I142" s="7"/>
      <c r="J142" s="7"/>
      <c r="K142" s="7"/>
      <c r="L142" s="7"/>
      <c r="M142" s="7"/>
      <c r="N142" s="7"/>
      <c r="O142" s="7"/>
      <c r="P142" s="7"/>
      <c r="Q142" s="7"/>
    </row>
    <row r="143" spans="1:17" ht="49.95" customHeight="1">
      <c r="A143" s="17" t="s">
        <v>41</v>
      </c>
      <c r="B143" s="33">
        <v>99059</v>
      </c>
      <c r="C143" s="34" t="s">
        <v>78</v>
      </c>
      <c r="D143" s="30" t="s">
        <v>37</v>
      </c>
      <c r="E143" s="30" t="s">
        <v>38</v>
      </c>
      <c r="F143" s="31">
        <v>14.7</v>
      </c>
      <c r="G143" s="32">
        <v>71.739999999999995</v>
      </c>
      <c r="H143" s="32">
        <f>F143*G143-0.01</f>
        <v>1054.568</v>
      </c>
      <c r="I143" s="10"/>
      <c r="J143" s="130">
        <f t="shared" ref="J143:J168" si="44">K143/F143</f>
        <v>1</v>
      </c>
      <c r="K143" s="31">
        <v>14.7</v>
      </c>
      <c r="L143" s="134">
        <f t="shared" ref="L143" si="45">J143*H143</f>
        <v>1054.568</v>
      </c>
      <c r="M143" s="130"/>
      <c r="N143" s="131">
        <f t="shared" ref="N143:N168" si="46">F143+M143</f>
        <v>14.7</v>
      </c>
      <c r="O143" s="130">
        <f t="shared" ref="O143:O146" si="47">N143/F143</f>
        <v>1</v>
      </c>
      <c r="P143" s="130"/>
      <c r="Q143" s="219">
        <f t="shared" ref="Q143:Q172" si="48">L143+P143</f>
        <v>1054.568</v>
      </c>
    </row>
    <row r="144" spans="1:17" ht="19.2" customHeight="1">
      <c r="A144" s="5" t="s">
        <v>20</v>
      </c>
      <c r="B144" s="175" t="s">
        <v>33</v>
      </c>
      <c r="C144" s="175"/>
      <c r="D144" s="175"/>
      <c r="E144" s="175"/>
      <c r="F144" s="175"/>
      <c r="G144" s="175"/>
      <c r="H144" s="8">
        <f>SUM(H145:H146)</f>
        <v>438.90919999999994</v>
      </c>
      <c r="I144" s="7"/>
      <c r="J144" s="7"/>
      <c r="K144" s="7"/>
      <c r="L144" s="7"/>
      <c r="M144" s="7"/>
      <c r="N144" s="7"/>
      <c r="O144" s="7"/>
      <c r="P144" s="7"/>
      <c r="Q144" s="7"/>
    </row>
    <row r="145" spans="1:17" ht="49.95" customHeight="1">
      <c r="A145" s="17" t="s">
        <v>43</v>
      </c>
      <c r="B145" s="33">
        <v>93358</v>
      </c>
      <c r="C145" s="34" t="s">
        <v>410</v>
      </c>
      <c r="D145" s="30" t="s">
        <v>37</v>
      </c>
      <c r="E145" s="30" t="s">
        <v>65</v>
      </c>
      <c r="F145" s="31">
        <v>3.88</v>
      </c>
      <c r="G145" s="32">
        <v>96.82</v>
      </c>
      <c r="H145" s="32">
        <f>F145*G145</f>
        <v>375.66159999999996</v>
      </c>
      <c r="I145" s="10"/>
      <c r="J145" s="130">
        <f t="shared" si="44"/>
        <v>1</v>
      </c>
      <c r="K145" s="31">
        <v>3.88</v>
      </c>
      <c r="L145" s="134">
        <f t="shared" ref="L145:L146" si="49">J145*H145</f>
        <v>375.66159999999996</v>
      </c>
      <c r="M145" s="130"/>
      <c r="N145" s="131">
        <f t="shared" si="46"/>
        <v>3.88</v>
      </c>
      <c r="O145" s="130">
        <f t="shared" si="47"/>
        <v>1</v>
      </c>
      <c r="P145" s="130"/>
      <c r="Q145" s="219">
        <f t="shared" si="48"/>
        <v>375.66159999999996</v>
      </c>
    </row>
    <row r="146" spans="1:17" ht="49.95" customHeight="1">
      <c r="A146" s="17" t="s">
        <v>44</v>
      </c>
      <c r="B146" s="33">
        <v>104737</v>
      </c>
      <c r="C146" s="34" t="s">
        <v>411</v>
      </c>
      <c r="D146" s="30" t="s">
        <v>37</v>
      </c>
      <c r="E146" s="30" t="s">
        <v>65</v>
      </c>
      <c r="F146" s="31">
        <v>2.56</v>
      </c>
      <c r="G146" s="32">
        <v>24.71</v>
      </c>
      <c r="H146" s="32">
        <f>F146*G146-0.01</f>
        <v>63.247600000000006</v>
      </c>
      <c r="I146" s="10"/>
      <c r="J146" s="130">
        <f t="shared" si="44"/>
        <v>1</v>
      </c>
      <c r="K146" s="31">
        <v>2.56</v>
      </c>
      <c r="L146" s="134">
        <f t="shared" si="49"/>
        <v>63.247600000000006</v>
      </c>
      <c r="M146" s="130"/>
      <c r="N146" s="131">
        <f t="shared" si="46"/>
        <v>2.56</v>
      </c>
      <c r="O146" s="130">
        <f t="shared" si="47"/>
        <v>1</v>
      </c>
      <c r="P146" s="130"/>
      <c r="Q146" s="219">
        <f t="shared" si="48"/>
        <v>63.247600000000006</v>
      </c>
    </row>
    <row r="147" spans="1:17" ht="19.2" customHeight="1">
      <c r="A147" s="5" t="s">
        <v>210</v>
      </c>
      <c r="B147" s="175" t="s">
        <v>40</v>
      </c>
      <c r="C147" s="175"/>
      <c r="D147" s="175"/>
      <c r="E147" s="175"/>
      <c r="F147" s="175"/>
      <c r="G147" s="175"/>
      <c r="H147" s="8">
        <f>SUM(H148:H157)-0.01</f>
        <v>4537.0481</v>
      </c>
      <c r="I147" s="7"/>
      <c r="J147" s="7"/>
      <c r="K147" s="7"/>
      <c r="L147" s="7"/>
      <c r="M147" s="7"/>
      <c r="N147" s="7"/>
      <c r="O147" s="7"/>
      <c r="P147" s="7"/>
      <c r="Q147" s="7"/>
    </row>
    <row r="148" spans="1:17" ht="49.95" customHeight="1">
      <c r="A148" s="17" t="s">
        <v>211</v>
      </c>
      <c r="B148" s="33">
        <v>96619</v>
      </c>
      <c r="C148" s="34" t="s">
        <v>412</v>
      </c>
      <c r="D148" s="30" t="s">
        <v>37</v>
      </c>
      <c r="E148" s="30" t="s">
        <v>63</v>
      </c>
      <c r="F148" s="31">
        <v>2.38</v>
      </c>
      <c r="G148" s="32">
        <v>44.9</v>
      </c>
      <c r="H148" s="32">
        <f>F148*G148</f>
        <v>106.86199999999999</v>
      </c>
      <c r="I148" s="10"/>
      <c r="J148" s="130">
        <f t="shared" si="44"/>
        <v>1</v>
      </c>
      <c r="K148" s="31">
        <v>2.38</v>
      </c>
      <c r="L148" s="134">
        <f t="shared" ref="L148:L170" si="50">J148*H148</f>
        <v>106.86199999999999</v>
      </c>
      <c r="M148" s="130"/>
      <c r="N148" s="131">
        <f t="shared" si="46"/>
        <v>2.38</v>
      </c>
      <c r="O148" s="130">
        <f t="shared" ref="O148:O168" si="51">N148/F148</f>
        <v>1</v>
      </c>
      <c r="P148" s="130"/>
      <c r="Q148" s="219">
        <f t="shared" si="48"/>
        <v>106.86199999999999</v>
      </c>
    </row>
    <row r="149" spans="1:17" ht="49.95" customHeight="1">
      <c r="A149" s="17" t="s">
        <v>212</v>
      </c>
      <c r="B149" s="33">
        <v>101616</v>
      </c>
      <c r="C149" s="34" t="s">
        <v>413</v>
      </c>
      <c r="D149" s="30" t="s">
        <v>37</v>
      </c>
      <c r="E149" s="30" t="s">
        <v>63</v>
      </c>
      <c r="F149" s="31">
        <v>4.6100000000000003</v>
      </c>
      <c r="G149" s="32">
        <v>7.07</v>
      </c>
      <c r="H149" s="32">
        <f t="shared" ref="H149:H157" si="52">F149*G149</f>
        <v>32.592700000000001</v>
      </c>
      <c r="I149" s="10"/>
      <c r="J149" s="130">
        <f t="shared" si="44"/>
        <v>1</v>
      </c>
      <c r="K149" s="31">
        <v>4.6100000000000003</v>
      </c>
      <c r="L149" s="134">
        <f t="shared" si="50"/>
        <v>32.592700000000001</v>
      </c>
      <c r="M149" s="130"/>
      <c r="N149" s="131">
        <f t="shared" si="46"/>
        <v>4.6100000000000003</v>
      </c>
      <c r="O149" s="130">
        <f t="shared" si="51"/>
        <v>1</v>
      </c>
      <c r="P149" s="130"/>
      <c r="Q149" s="219">
        <f t="shared" si="48"/>
        <v>32.592700000000001</v>
      </c>
    </row>
    <row r="150" spans="1:17" ht="49.95" customHeight="1">
      <c r="A150" s="17" t="s">
        <v>213</v>
      </c>
      <c r="B150" s="33">
        <v>94971</v>
      </c>
      <c r="C150" s="34" t="s">
        <v>414</v>
      </c>
      <c r="D150" s="30" t="s">
        <v>37</v>
      </c>
      <c r="E150" s="30" t="s">
        <v>65</v>
      </c>
      <c r="F150" s="31">
        <v>1.32</v>
      </c>
      <c r="G150" s="32">
        <v>559.80999999999995</v>
      </c>
      <c r="H150" s="32">
        <f>F150*G150-0.01</f>
        <v>738.93920000000003</v>
      </c>
      <c r="I150" s="10"/>
      <c r="J150" s="130">
        <f t="shared" si="44"/>
        <v>1</v>
      </c>
      <c r="K150" s="31">
        <v>1.32</v>
      </c>
      <c r="L150" s="134">
        <f t="shared" si="50"/>
        <v>738.93920000000003</v>
      </c>
      <c r="M150" s="130"/>
      <c r="N150" s="131">
        <f t="shared" si="46"/>
        <v>1.32</v>
      </c>
      <c r="O150" s="130">
        <f t="shared" si="51"/>
        <v>1</v>
      </c>
      <c r="P150" s="130"/>
      <c r="Q150" s="219">
        <f t="shared" si="48"/>
        <v>738.93920000000003</v>
      </c>
    </row>
    <row r="151" spans="1:17" ht="49.95" customHeight="1">
      <c r="A151" s="17" t="s">
        <v>214</v>
      </c>
      <c r="B151" s="33">
        <v>103670</v>
      </c>
      <c r="C151" s="34" t="s">
        <v>415</v>
      </c>
      <c r="D151" s="30" t="s">
        <v>37</v>
      </c>
      <c r="E151" s="30" t="s">
        <v>65</v>
      </c>
      <c r="F151" s="31">
        <v>1.32</v>
      </c>
      <c r="G151" s="32">
        <v>331.13</v>
      </c>
      <c r="H151" s="32">
        <f t="shared" si="52"/>
        <v>437.09160000000003</v>
      </c>
      <c r="I151" s="10"/>
      <c r="J151" s="130">
        <f t="shared" si="44"/>
        <v>1</v>
      </c>
      <c r="K151" s="31">
        <v>1.32</v>
      </c>
      <c r="L151" s="134">
        <f t="shared" si="50"/>
        <v>437.09160000000003</v>
      </c>
      <c r="M151" s="130"/>
      <c r="N151" s="131">
        <f t="shared" si="46"/>
        <v>1.32</v>
      </c>
      <c r="O151" s="130">
        <f t="shared" si="51"/>
        <v>1</v>
      </c>
      <c r="P151" s="130"/>
      <c r="Q151" s="219">
        <f t="shared" si="48"/>
        <v>437.09160000000003</v>
      </c>
    </row>
    <row r="152" spans="1:17" ht="49.95" customHeight="1">
      <c r="A152" s="17" t="s">
        <v>215</v>
      </c>
      <c r="B152" s="33">
        <v>104927</v>
      </c>
      <c r="C152" s="34" t="s">
        <v>416</v>
      </c>
      <c r="D152" s="30" t="s">
        <v>37</v>
      </c>
      <c r="E152" s="30" t="s">
        <v>63</v>
      </c>
      <c r="F152" s="31">
        <v>3.1</v>
      </c>
      <c r="G152" s="32">
        <v>93.61</v>
      </c>
      <c r="H152" s="32">
        <f t="shared" si="52"/>
        <v>290.19100000000003</v>
      </c>
      <c r="I152" s="10"/>
      <c r="J152" s="130">
        <f t="shared" si="44"/>
        <v>1</v>
      </c>
      <c r="K152" s="31">
        <v>3.1</v>
      </c>
      <c r="L152" s="134">
        <f t="shared" si="50"/>
        <v>290.19100000000003</v>
      </c>
      <c r="M152" s="130"/>
      <c r="N152" s="131">
        <f t="shared" si="46"/>
        <v>3.1</v>
      </c>
      <c r="O152" s="130">
        <f t="shared" si="51"/>
        <v>1</v>
      </c>
      <c r="P152" s="130"/>
      <c r="Q152" s="219">
        <f t="shared" si="48"/>
        <v>290.19100000000003</v>
      </c>
    </row>
    <row r="153" spans="1:17" ht="49.95" customHeight="1">
      <c r="A153" s="17" t="s">
        <v>216</v>
      </c>
      <c r="B153" s="33">
        <v>96542</v>
      </c>
      <c r="C153" s="34" t="s">
        <v>526</v>
      </c>
      <c r="D153" s="30" t="s">
        <v>37</v>
      </c>
      <c r="E153" s="30" t="s">
        <v>63</v>
      </c>
      <c r="F153" s="31">
        <v>11.93</v>
      </c>
      <c r="G153" s="32">
        <v>102.97</v>
      </c>
      <c r="H153" s="32">
        <f t="shared" si="52"/>
        <v>1228.4321</v>
      </c>
      <c r="I153" s="10"/>
      <c r="J153" s="130">
        <f t="shared" si="44"/>
        <v>1</v>
      </c>
      <c r="K153" s="31">
        <v>11.93</v>
      </c>
      <c r="L153" s="134">
        <f t="shared" si="50"/>
        <v>1228.4321</v>
      </c>
      <c r="M153" s="130"/>
      <c r="N153" s="131">
        <f t="shared" si="46"/>
        <v>11.93</v>
      </c>
      <c r="O153" s="130">
        <f t="shared" si="51"/>
        <v>1</v>
      </c>
      <c r="P153" s="130"/>
      <c r="Q153" s="219">
        <f t="shared" si="48"/>
        <v>1228.4321</v>
      </c>
    </row>
    <row r="154" spans="1:17" ht="49.95" customHeight="1">
      <c r="A154" s="17" t="s">
        <v>217</v>
      </c>
      <c r="B154" s="33">
        <v>104917</v>
      </c>
      <c r="C154" s="34" t="s">
        <v>418</v>
      </c>
      <c r="D154" s="30" t="s">
        <v>37</v>
      </c>
      <c r="E154" s="30" t="s">
        <v>42</v>
      </c>
      <c r="F154" s="31">
        <v>17.600000000000001</v>
      </c>
      <c r="G154" s="32">
        <v>17.399999999999999</v>
      </c>
      <c r="H154" s="32">
        <f t="shared" si="52"/>
        <v>306.24</v>
      </c>
      <c r="I154" s="10"/>
      <c r="J154" s="130">
        <f t="shared" si="44"/>
        <v>1</v>
      </c>
      <c r="K154" s="31">
        <v>17.600000000000001</v>
      </c>
      <c r="L154" s="134">
        <f t="shared" si="50"/>
        <v>306.24</v>
      </c>
      <c r="M154" s="130"/>
      <c r="N154" s="131">
        <f t="shared" si="46"/>
        <v>17.600000000000001</v>
      </c>
      <c r="O154" s="130">
        <f t="shared" si="51"/>
        <v>1</v>
      </c>
      <c r="P154" s="130"/>
      <c r="Q154" s="219">
        <f t="shared" si="48"/>
        <v>306.24</v>
      </c>
    </row>
    <row r="155" spans="1:17" ht="49.95" customHeight="1">
      <c r="A155" s="17" t="s">
        <v>218</v>
      </c>
      <c r="B155" s="33">
        <v>104916</v>
      </c>
      <c r="C155" s="34" t="s">
        <v>419</v>
      </c>
      <c r="D155" s="30" t="s">
        <v>37</v>
      </c>
      <c r="E155" s="30" t="s">
        <v>42</v>
      </c>
      <c r="F155" s="31">
        <v>11.2</v>
      </c>
      <c r="G155" s="32">
        <v>18.75</v>
      </c>
      <c r="H155" s="32">
        <f t="shared" si="52"/>
        <v>210</v>
      </c>
      <c r="I155" s="10"/>
      <c r="J155" s="130">
        <f t="shared" si="44"/>
        <v>1</v>
      </c>
      <c r="K155" s="31">
        <v>11.2</v>
      </c>
      <c r="L155" s="134">
        <f t="shared" si="50"/>
        <v>210</v>
      </c>
      <c r="M155" s="130"/>
      <c r="N155" s="131">
        <f t="shared" si="46"/>
        <v>11.2</v>
      </c>
      <c r="O155" s="130">
        <f t="shared" si="51"/>
        <v>1</v>
      </c>
      <c r="P155" s="130"/>
      <c r="Q155" s="219">
        <f t="shared" si="48"/>
        <v>210</v>
      </c>
    </row>
    <row r="156" spans="1:17" ht="49.95" customHeight="1">
      <c r="A156" s="17" t="s">
        <v>219</v>
      </c>
      <c r="B156" s="33">
        <v>104918</v>
      </c>
      <c r="C156" s="34" t="s">
        <v>420</v>
      </c>
      <c r="D156" s="30" t="s">
        <v>37</v>
      </c>
      <c r="E156" s="30" t="s">
        <v>42</v>
      </c>
      <c r="F156" s="31">
        <v>28.8</v>
      </c>
      <c r="G156" s="32">
        <v>16.16</v>
      </c>
      <c r="H156" s="32">
        <f>F156*G156-0.01</f>
        <v>465.39800000000002</v>
      </c>
      <c r="I156" s="10"/>
      <c r="J156" s="130">
        <f t="shared" si="44"/>
        <v>1</v>
      </c>
      <c r="K156" s="31">
        <v>28.8</v>
      </c>
      <c r="L156" s="134">
        <f t="shared" si="50"/>
        <v>465.39800000000002</v>
      </c>
      <c r="M156" s="130"/>
      <c r="N156" s="131">
        <f t="shared" si="46"/>
        <v>28.8</v>
      </c>
      <c r="O156" s="130">
        <f t="shared" si="51"/>
        <v>1</v>
      </c>
      <c r="P156" s="130"/>
      <c r="Q156" s="219">
        <f t="shared" si="48"/>
        <v>465.39800000000002</v>
      </c>
    </row>
    <row r="157" spans="1:17" ht="49.95" customHeight="1">
      <c r="A157" s="17" t="s">
        <v>220</v>
      </c>
      <c r="B157" s="33">
        <v>98557</v>
      </c>
      <c r="C157" s="29" t="s">
        <v>421</v>
      </c>
      <c r="D157" s="30" t="s">
        <v>37</v>
      </c>
      <c r="E157" s="30" t="s">
        <v>63</v>
      </c>
      <c r="F157" s="31">
        <v>13.37</v>
      </c>
      <c r="G157" s="32">
        <v>53.95</v>
      </c>
      <c r="H157" s="32">
        <f t="shared" si="52"/>
        <v>721.31150000000002</v>
      </c>
      <c r="I157" s="10"/>
      <c r="J157" s="130">
        <f t="shared" si="44"/>
        <v>1</v>
      </c>
      <c r="K157" s="31">
        <v>13.37</v>
      </c>
      <c r="L157" s="134">
        <f t="shared" si="50"/>
        <v>721.31150000000002</v>
      </c>
      <c r="M157" s="130"/>
      <c r="N157" s="131">
        <f t="shared" si="46"/>
        <v>13.37</v>
      </c>
      <c r="O157" s="130">
        <f t="shared" si="51"/>
        <v>1</v>
      </c>
      <c r="P157" s="130"/>
      <c r="Q157" s="219">
        <f t="shared" si="48"/>
        <v>721.31150000000002</v>
      </c>
    </row>
    <row r="158" spans="1:17" ht="19.2" customHeight="1">
      <c r="A158" s="5" t="s">
        <v>221</v>
      </c>
      <c r="B158" s="175" t="s">
        <v>39</v>
      </c>
      <c r="C158" s="175"/>
      <c r="D158" s="175"/>
      <c r="E158" s="175"/>
      <c r="F158" s="175"/>
      <c r="G158" s="175"/>
      <c r="H158" s="8">
        <f>SUM(H159:H168)-0.01</f>
        <v>10077.3951</v>
      </c>
      <c r="I158" s="7"/>
      <c r="J158" s="7"/>
      <c r="K158" s="7"/>
      <c r="L158" s="7"/>
      <c r="M158" s="7"/>
      <c r="N158" s="7"/>
      <c r="O158" s="7"/>
      <c r="P158" s="7"/>
      <c r="Q158" s="7"/>
    </row>
    <row r="159" spans="1:17" ht="49.95" customHeight="1">
      <c r="A159" s="17" t="s">
        <v>222</v>
      </c>
      <c r="B159" s="33">
        <v>92429</v>
      </c>
      <c r="C159" s="34" t="s">
        <v>422</v>
      </c>
      <c r="D159" s="30" t="s">
        <v>37</v>
      </c>
      <c r="E159" s="30" t="s">
        <v>63</v>
      </c>
      <c r="F159" s="31">
        <v>18.72</v>
      </c>
      <c r="G159" s="32">
        <v>82.09</v>
      </c>
      <c r="H159" s="32">
        <f>F159*G159</f>
        <v>1536.7248</v>
      </c>
      <c r="I159" s="10"/>
      <c r="J159" s="130">
        <f t="shared" si="44"/>
        <v>1</v>
      </c>
      <c r="K159" s="31">
        <v>18.72</v>
      </c>
      <c r="L159" s="134">
        <f t="shared" si="50"/>
        <v>1536.7248</v>
      </c>
      <c r="M159" s="130"/>
      <c r="N159" s="131">
        <f t="shared" si="46"/>
        <v>18.72</v>
      </c>
      <c r="O159" s="130">
        <f t="shared" si="51"/>
        <v>1</v>
      </c>
      <c r="P159" s="130"/>
      <c r="Q159" s="219">
        <f t="shared" si="48"/>
        <v>1536.7248</v>
      </c>
    </row>
    <row r="160" spans="1:17" ht="49.95" customHeight="1">
      <c r="A160" s="17" t="s">
        <v>223</v>
      </c>
      <c r="B160" s="33">
        <v>92476</v>
      </c>
      <c r="C160" s="47" t="s">
        <v>423</v>
      </c>
      <c r="D160" s="30" t="s">
        <v>37</v>
      </c>
      <c r="E160" s="30" t="s">
        <v>63</v>
      </c>
      <c r="F160" s="31">
        <v>17.04</v>
      </c>
      <c r="G160" s="32">
        <v>101.44</v>
      </c>
      <c r="H160" s="32">
        <f>F160*G160-0.01</f>
        <v>1728.5275999999999</v>
      </c>
      <c r="I160" s="10"/>
      <c r="J160" s="130">
        <f t="shared" si="44"/>
        <v>1</v>
      </c>
      <c r="K160" s="31">
        <v>17.04</v>
      </c>
      <c r="L160" s="134">
        <f t="shared" si="50"/>
        <v>1728.5275999999999</v>
      </c>
      <c r="M160" s="130"/>
      <c r="N160" s="131">
        <f t="shared" si="46"/>
        <v>17.04</v>
      </c>
      <c r="O160" s="130">
        <f t="shared" si="51"/>
        <v>1</v>
      </c>
      <c r="P160" s="130"/>
      <c r="Q160" s="219">
        <f t="shared" si="48"/>
        <v>1728.5275999999999</v>
      </c>
    </row>
    <row r="161" spans="1:17" ht="49.95" customHeight="1">
      <c r="A161" s="17" t="s">
        <v>224</v>
      </c>
      <c r="B161" s="33">
        <v>92759</v>
      </c>
      <c r="C161" s="34" t="s">
        <v>425</v>
      </c>
      <c r="D161" s="30" t="s">
        <v>37</v>
      </c>
      <c r="E161" s="30" t="s">
        <v>42</v>
      </c>
      <c r="F161" s="31">
        <v>43.2</v>
      </c>
      <c r="G161" s="32">
        <v>15.87</v>
      </c>
      <c r="H161" s="32">
        <f t="shared" ref="H161:H167" si="53">F161*G161</f>
        <v>685.58400000000006</v>
      </c>
      <c r="I161" s="10"/>
      <c r="J161" s="130">
        <f t="shared" si="44"/>
        <v>1</v>
      </c>
      <c r="K161" s="31">
        <v>43.2</v>
      </c>
      <c r="L161" s="134">
        <f t="shared" si="50"/>
        <v>685.58400000000006</v>
      </c>
      <c r="M161" s="130"/>
      <c r="N161" s="131">
        <f t="shared" si="46"/>
        <v>43.2</v>
      </c>
      <c r="O161" s="130">
        <f t="shared" si="51"/>
        <v>1</v>
      </c>
      <c r="P161" s="130"/>
      <c r="Q161" s="219">
        <f t="shared" si="48"/>
        <v>685.58400000000006</v>
      </c>
    </row>
    <row r="162" spans="1:17" ht="49.95" customHeight="1">
      <c r="A162" s="17" t="s">
        <v>225</v>
      </c>
      <c r="B162" s="33">
        <v>104108</v>
      </c>
      <c r="C162" s="47" t="s">
        <v>426</v>
      </c>
      <c r="D162" s="30" t="s">
        <v>37</v>
      </c>
      <c r="E162" s="30" t="s">
        <v>42</v>
      </c>
      <c r="F162" s="31">
        <v>69.900000000000006</v>
      </c>
      <c r="G162" s="32">
        <v>14.5</v>
      </c>
      <c r="H162" s="32">
        <f t="shared" si="53"/>
        <v>1013.5500000000001</v>
      </c>
      <c r="I162" s="10"/>
      <c r="J162" s="130">
        <f t="shared" si="44"/>
        <v>1</v>
      </c>
      <c r="K162" s="31">
        <v>69.900000000000006</v>
      </c>
      <c r="L162" s="134">
        <f t="shared" si="50"/>
        <v>1013.5500000000001</v>
      </c>
      <c r="M162" s="130"/>
      <c r="N162" s="131">
        <f t="shared" si="46"/>
        <v>69.900000000000006</v>
      </c>
      <c r="O162" s="130">
        <f t="shared" si="51"/>
        <v>1</v>
      </c>
      <c r="P162" s="130"/>
      <c r="Q162" s="219">
        <f t="shared" si="48"/>
        <v>1013.5500000000001</v>
      </c>
    </row>
    <row r="163" spans="1:17" ht="49.95" customHeight="1">
      <c r="A163" s="17" t="s">
        <v>226</v>
      </c>
      <c r="B163" s="33">
        <v>92761</v>
      </c>
      <c r="C163" s="47" t="s">
        <v>427</v>
      </c>
      <c r="D163" s="30" t="s">
        <v>37</v>
      </c>
      <c r="E163" s="30" t="s">
        <v>42</v>
      </c>
      <c r="F163" s="31">
        <v>36.5</v>
      </c>
      <c r="G163" s="32">
        <v>14.08</v>
      </c>
      <c r="H163" s="32">
        <f t="shared" si="53"/>
        <v>513.91999999999996</v>
      </c>
      <c r="I163" s="10"/>
      <c r="J163" s="130">
        <f t="shared" si="44"/>
        <v>1</v>
      </c>
      <c r="K163" s="31">
        <v>36.5</v>
      </c>
      <c r="L163" s="134">
        <f t="shared" si="50"/>
        <v>513.91999999999996</v>
      </c>
      <c r="M163" s="130"/>
      <c r="N163" s="131">
        <f t="shared" si="46"/>
        <v>36.5</v>
      </c>
      <c r="O163" s="130">
        <f t="shared" si="51"/>
        <v>1</v>
      </c>
      <c r="P163" s="130"/>
      <c r="Q163" s="219">
        <f t="shared" si="48"/>
        <v>513.91999999999996</v>
      </c>
    </row>
    <row r="164" spans="1:17" ht="49.95" customHeight="1">
      <c r="A164" s="17" t="s">
        <v>227</v>
      </c>
      <c r="B164" s="33">
        <v>94971</v>
      </c>
      <c r="C164" s="34" t="s">
        <v>414</v>
      </c>
      <c r="D164" s="30" t="s">
        <v>37</v>
      </c>
      <c r="E164" s="30" t="s">
        <v>65</v>
      </c>
      <c r="F164" s="31">
        <v>2.61</v>
      </c>
      <c r="G164" s="32">
        <v>559.80999999999995</v>
      </c>
      <c r="H164" s="32">
        <f t="shared" si="53"/>
        <v>1461.1040999999998</v>
      </c>
      <c r="I164" s="10"/>
      <c r="J164" s="130">
        <f t="shared" si="44"/>
        <v>1</v>
      </c>
      <c r="K164" s="31">
        <v>2.61</v>
      </c>
      <c r="L164" s="134">
        <f t="shared" si="50"/>
        <v>1461.1040999999998</v>
      </c>
      <c r="M164" s="130"/>
      <c r="N164" s="131">
        <f t="shared" si="46"/>
        <v>2.61</v>
      </c>
      <c r="O164" s="130">
        <f t="shared" si="51"/>
        <v>1</v>
      </c>
      <c r="P164" s="130"/>
      <c r="Q164" s="219">
        <f t="shared" si="48"/>
        <v>1461.1040999999998</v>
      </c>
    </row>
    <row r="165" spans="1:17" ht="49.95" customHeight="1">
      <c r="A165" s="17" t="s">
        <v>228</v>
      </c>
      <c r="B165" s="33">
        <v>103670</v>
      </c>
      <c r="C165" s="47" t="s">
        <v>415</v>
      </c>
      <c r="D165" s="30" t="s">
        <v>37</v>
      </c>
      <c r="E165" s="30" t="s">
        <v>65</v>
      </c>
      <c r="F165" s="31">
        <v>2.61</v>
      </c>
      <c r="G165" s="32">
        <v>331.13</v>
      </c>
      <c r="H165" s="32">
        <f>F165*G165-0.01</f>
        <v>864.23929999999996</v>
      </c>
      <c r="I165" s="10"/>
      <c r="J165" s="130">
        <f t="shared" si="44"/>
        <v>1</v>
      </c>
      <c r="K165" s="31">
        <v>2.61</v>
      </c>
      <c r="L165" s="134">
        <f t="shared" si="50"/>
        <v>864.23929999999996</v>
      </c>
      <c r="M165" s="130"/>
      <c r="N165" s="131">
        <f t="shared" si="46"/>
        <v>2.61</v>
      </c>
      <c r="O165" s="130">
        <f t="shared" si="51"/>
        <v>1</v>
      </c>
      <c r="P165" s="130"/>
      <c r="Q165" s="219">
        <f t="shared" si="48"/>
        <v>864.23929999999996</v>
      </c>
    </row>
    <row r="166" spans="1:17" ht="49.95" customHeight="1">
      <c r="A166" s="17" t="s">
        <v>229</v>
      </c>
      <c r="B166" s="33">
        <v>92486</v>
      </c>
      <c r="C166" s="34" t="s">
        <v>424</v>
      </c>
      <c r="D166" s="30" t="s">
        <v>37</v>
      </c>
      <c r="E166" s="30" t="s">
        <v>63</v>
      </c>
      <c r="F166" s="31">
        <v>8.67</v>
      </c>
      <c r="G166" s="32">
        <v>181.19</v>
      </c>
      <c r="H166" s="32">
        <f>F166*G166-0.01</f>
        <v>1570.9073000000001</v>
      </c>
      <c r="I166" s="10"/>
      <c r="J166" s="130">
        <f t="shared" si="44"/>
        <v>1</v>
      </c>
      <c r="K166" s="31">
        <v>8.67</v>
      </c>
      <c r="L166" s="134">
        <f t="shared" si="50"/>
        <v>1570.9073000000001</v>
      </c>
      <c r="M166" s="130"/>
      <c r="N166" s="131">
        <f t="shared" si="46"/>
        <v>8.67</v>
      </c>
      <c r="O166" s="130">
        <f t="shared" si="51"/>
        <v>1</v>
      </c>
      <c r="P166" s="130"/>
      <c r="Q166" s="219">
        <f t="shared" si="48"/>
        <v>1570.9073000000001</v>
      </c>
    </row>
    <row r="167" spans="1:17" ht="49.95" customHeight="1">
      <c r="A167" s="17" t="s">
        <v>230</v>
      </c>
      <c r="B167" s="33">
        <v>92769</v>
      </c>
      <c r="C167" s="47" t="s">
        <v>430</v>
      </c>
      <c r="D167" s="30" t="s">
        <v>37</v>
      </c>
      <c r="E167" s="30" t="s">
        <v>42</v>
      </c>
      <c r="F167" s="31">
        <v>16.3</v>
      </c>
      <c r="G167" s="32">
        <v>14.4</v>
      </c>
      <c r="H167" s="32">
        <f t="shared" si="53"/>
        <v>234.72000000000003</v>
      </c>
      <c r="I167" s="10"/>
      <c r="J167" s="130">
        <f t="shared" si="44"/>
        <v>1</v>
      </c>
      <c r="K167" s="31">
        <v>16.3</v>
      </c>
      <c r="L167" s="134">
        <f t="shared" si="50"/>
        <v>234.72000000000003</v>
      </c>
      <c r="M167" s="130"/>
      <c r="N167" s="131">
        <f t="shared" si="46"/>
        <v>16.3</v>
      </c>
      <c r="O167" s="130">
        <f t="shared" si="51"/>
        <v>1</v>
      </c>
      <c r="P167" s="130"/>
      <c r="Q167" s="219">
        <f t="shared" si="48"/>
        <v>234.72000000000003</v>
      </c>
    </row>
    <row r="168" spans="1:17" ht="49.95" customHeight="1">
      <c r="A168" s="17" t="s">
        <v>231</v>
      </c>
      <c r="B168" s="33">
        <v>92770</v>
      </c>
      <c r="C168" s="47" t="s">
        <v>527</v>
      </c>
      <c r="D168" s="30" t="s">
        <v>37</v>
      </c>
      <c r="E168" s="30" t="s">
        <v>42</v>
      </c>
      <c r="F168" s="31">
        <v>34.6</v>
      </c>
      <c r="G168" s="32">
        <v>13.53</v>
      </c>
      <c r="H168" s="32">
        <f>F168*G168-0.01</f>
        <v>468.12799999999999</v>
      </c>
      <c r="I168" s="10"/>
      <c r="J168" s="130">
        <f t="shared" si="44"/>
        <v>1</v>
      </c>
      <c r="K168" s="31">
        <v>34.6</v>
      </c>
      <c r="L168" s="134">
        <f t="shared" si="50"/>
        <v>468.12799999999999</v>
      </c>
      <c r="M168" s="130"/>
      <c r="N168" s="131">
        <f t="shared" si="46"/>
        <v>34.6</v>
      </c>
      <c r="O168" s="130">
        <f t="shared" si="51"/>
        <v>1</v>
      </c>
      <c r="P168" s="130"/>
      <c r="Q168" s="219">
        <f t="shared" si="48"/>
        <v>468.12799999999999</v>
      </c>
    </row>
    <row r="169" spans="1:17" ht="20.100000000000001" customHeight="1">
      <c r="A169" s="5" t="s">
        <v>232</v>
      </c>
      <c r="B169" s="176" t="s">
        <v>105</v>
      </c>
      <c r="C169" s="177"/>
      <c r="D169" s="177"/>
      <c r="E169" s="177"/>
      <c r="F169" s="177"/>
      <c r="G169" s="178"/>
      <c r="H169" s="8">
        <f>SUM(H170:H172)</f>
        <v>3247.7518000000005</v>
      </c>
      <c r="I169" s="7"/>
      <c r="J169" s="7"/>
      <c r="K169" s="7"/>
      <c r="L169" s="7"/>
      <c r="M169" s="7"/>
      <c r="N169" s="7"/>
      <c r="O169" s="7"/>
      <c r="P169" s="7"/>
      <c r="Q169" s="7"/>
    </row>
    <row r="170" spans="1:17" ht="49.95" customHeight="1">
      <c r="A170" s="17" t="s">
        <v>233</v>
      </c>
      <c r="B170" s="48">
        <v>103356</v>
      </c>
      <c r="C170" s="44" t="s">
        <v>431</v>
      </c>
      <c r="D170" s="38" t="s">
        <v>37</v>
      </c>
      <c r="E170" s="38" t="s">
        <v>63</v>
      </c>
      <c r="F170" s="38">
        <v>36.76</v>
      </c>
      <c r="G170" s="126">
        <v>67.73</v>
      </c>
      <c r="H170" s="32">
        <f>F170*G170</f>
        <v>2489.7548000000002</v>
      </c>
      <c r="I170" s="10"/>
      <c r="J170" s="10"/>
      <c r="K170" s="10"/>
      <c r="L170" s="10"/>
      <c r="M170" s="222">
        <f t="shared" ref="M170:M172" si="54">F170</f>
        <v>36.76</v>
      </c>
      <c r="N170" s="131">
        <f t="shared" ref="N170:N172" si="55">F170+0</f>
        <v>36.76</v>
      </c>
      <c r="O170" s="221">
        <f t="shared" ref="O170:O172" si="56">N170/F170</f>
        <v>1</v>
      </c>
      <c r="P170" s="132">
        <f t="shared" ref="P170:P172" si="57">N170*G170</f>
        <v>2489.7548000000002</v>
      </c>
      <c r="Q170" s="219">
        <f t="shared" si="48"/>
        <v>2489.7548000000002</v>
      </c>
    </row>
    <row r="171" spans="1:17" ht="49.95" customHeight="1">
      <c r="A171" s="17" t="s">
        <v>234</v>
      </c>
      <c r="B171" s="48">
        <v>105023</v>
      </c>
      <c r="C171" s="44" t="s">
        <v>432</v>
      </c>
      <c r="D171" s="38" t="s">
        <v>37</v>
      </c>
      <c r="E171" s="38" t="s">
        <v>38</v>
      </c>
      <c r="F171" s="38">
        <v>7.2</v>
      </c>
      <c r="G171" s="126">
        <v>71.61</v>
      </c>
      <c r="H171" s="32">
        <f t="shared" ref="H171" si="58">F171*G171</f>
        <v>515.59199999999998</v>
      </c>
      <c r="I171" s="10"/>
      <c r="J171" s="10"/>
      <c r="K171" s="10"/>
      <c r="L171" s="10"/>
      <c r="M171" s="222">
        <f t="shared" si="54"/>
        <v>7.2</v>
      </c>
      <c r="N171" s="131">
        <f t="shared" si="55"/>
        <v>7.2</v>
      </c>
      <c r="O171" s="221">
        <f t="shared" si="56"/>
        <v>1</v>
      </c>
      <c r="P171" s="132">
        <f t="shared" si="57"/>
        <v>515.59199999999998</v>
      </c>
      <c r="Q171" s="219">
        <f t="shared" si="48"/>
        <v>515.59199999999998</v>
      </c>
    </row>
    <row r="172" spans="1:17" ht="49.95" customHeight="1">
      <c r="A172" s="17" t="s">
        <v>235</v>
      </c>
      <c r="B172" s="48">
        <v>105029</v>
      </c>
      <c r="C172" s="44" t="s">
        <v>433</v>
      </c>
      <c r="D172" s="38" t="s">
        <v>37</v>
      </c>
      <c r="E172" s="38" t="s">
        <v>38</v>
      </c>
      <c r="F172" s="38">
        <v>4.5</v>
      </c>
      <c r="G172" s="126">
        <v>53.87</v>
      </c>
      <c r="H172" s="32">
        <f>F172*G172-0.01</f>
        <v>242.405</v>
      </c>
      <c r="I172" s="10"/>
      <c r="J172" s="10"/>
      <c r="K172" s="10"/>
      <c r="L172" s="10"/>
      <c r="M172" s="222">
        <f t="shared" si="54"/>
        <v>4.5</v>
      </c>
      <c r="N172" s="131">
        <f t="shared" si="55"/>
        <v>4.5</v>
      </c>
      <c r="O172" s="221">
        <f t="shared" si="56"/>
        <v>1</v>
      </c>
      <c r="P172" s="132">
        <f t="shared" si="57"/>
        <v>242.41499999999999</v>
      </c>
      <c r="Q172" s="219">
        <f t="shared" si="48"/>
        <v>242.41499999999999</v>
      </c>
    </row>
    <row r="173" spans="1:17" ht="20.100000000000001" customHeight="1">
      <c r="A173" s="5" t="s">
        <v>236</v>
      </c>
      <c r="B173" s="176" t="s">
        <v>45</v>
      </c>
      <c r="C173" s="177"/>
      <c r="D173" s="177"/>
      <c r="E173" s="177"/>
      <c r="F173" s="177"/>
      <c r="G173" s="178"/>
      <c r="H173" s="8">
        <f>SUM(H174:H180)</f>
        <v>6790.4302999999991</v>
      </c>
      <c r="I173" s="7"/>
      <c r="J173" s="7"/>
      <c r="K173" s="7"/>
      <c r="L173" s="7"/>
      <c r="M173" s="7"/>
      <c r="N173" s="7"/>
      <c r="O173" s="7"/>
      <c r="P173" s="7"/>
      <c r="Q173" s="7"/>
    </row>
    <row r="174" spans="1:17" ht="49.95" customHeight="1">
      <c r="A174" s="17" t="s">
        <v>237</v>
      </c>
      <c r="B174" s="28">
        <v>87878</v>
      </c>
      <c r="C174" s="49" t="s">
        <v>434</v>
      </c>
      <c r="D174" s="28" t="s">
        <v>37</v>
      </c>
      <c r="E174" s="28" t="s">
        <v>63</v>
      </c>
      <c r="F174" s="38">
        <v>36.76</v>
      </c>
      <c r="G174" s="127">
        <v>5.51</v>
      </c>
      <c r="H174" s="32">
        <f>F174*G174-0.01</f>
        <v>202.5376</v>
      </c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ht="49.95" customHeight="1">
      <c r="A175" s="17" t="s">
        <v>238</v>
      </c>
      <c r="B175" s="28">
        <v>87545</v>
      </c>
      <c r="C175" s="49" t="s">
        <v>435</v>
      </c>
      <c r="D175" s="28" t="s">
        <v>37</v>
      </c>
      <c r="E175" s="28" t="s">
        <v>63</v>
      </c>
      <c r="F175" s="38">
        <v>33.94</v>
      </c>
      <c r="G175" s="127">
        <v>32.409999999999997</v>
      </c>
      <c r="H175" s="32">
        <f>F175*G175-0.01</f>
        <v>1099.9853999999998</v>
      </c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ht="49.95" customHeight="1">
      <c r="A176" s="17" t="s">
        <v>239</v>
      </c>
      <c r="B176" s="28">
        <v>87529</v>
      </c>
      <c r="C176" s="49" t="s">
        <v>436</v>
      </c>
      <c r="D176" s="28" t="s">
        <v>37</v>
      </c>
      <c r="E176" s="28" t="s">
        <v>63</v>
      </c>
      <c r="F176" s="38">
        <v>33.94</v>
      </c>
      <c r="G176" s="127">
        <v>40.299999999999997</v>
      </c>
      <c r="H176" s="32">
        <f t="shared" ref="H176:H180" si="59">F176*G176</f>
        <v>1367.7819999999999</v>
      </c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ht="49.95" customHeight="1">
      <c r="A177" s="17" t="s">
        <v>240</v>
      </c>
      <c r="B177" s="28">
        <v>87908</v>
      </c>
      <c r="C177" s="49" t="s">
        <v>438</v>
      </c>
      <c r="D177" s="28" t="s">
        <v>37</v>
      </c>
      <c r="E177" s="28" t="s">
        <v>63</v>
      </c>
      <c r="F177" s="38">
        <v>40.83</v>
      </c>
      <c r="G177" s="127">
        <v>6.83</v>
      </c>
      <c r="H177" s="32">
        <f>F177*G177-0.01</f>
        <v>278.85890000000001</v>
      </c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ht="49.95" customHeight="1">
      <c r="A178" s="17" t="s">
        <v>241</v>
      </c>
      <c r="B178" s="28">
        <v>104218</v>
      </c>
      <c r="C178" s="49" t="s">
        <v>439</v>
      </c>
      <c r="D178" s="28" t="s">
        <v>37</v>
      </c>
      <c r="E178" s="28" t="s">
        <v>63</v>
      </c>
      <c r="F178" s="38">
        <v>40.83</v>
      </c>
      <c r="G178" s="127">
        <v>61.59</v>
      </c>
      <c r="H178" s="32">
        <f>F178*G178-0.01</f>
        <v>2514.7096999999999</v>
      </c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ht="49.95" customHeight="1">
      <c r="A179" s="17" t="s">
        <v>242</v>
      </c>
      <c r="B179" s="28">
        <v>88497</v>
      </c>
      <c r="C179" s="49" t="s">
        <v>528</v>
      </c>
      <c r="D179" s="28" t="s">
        <v>37</v>
      </c>
      <c r="E179" s="28" t="s">
        <v>63</v>
      </c>
      <c r="F179" s="38">
        <v>40.83</v>
      </c>
      <c r="G179" s="127">
        <v>18.440000000000001</v>
      </c>
      <c r="H179" s="32">
        <f>F179*G179-0.01</f>
        <v>752.89520000000005</v>
      </c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ht="49.95" customHeight="1">
      <c r="A180" s="17" t="s">
        <v>243</v>
      </c>
      <c r="B180" s="28">
        <v>88489</v>
      </c>
      <c r="C180" s="49" t="s">
        <v>529</v>
      </c>
      <c r="D180" s="28" t="s">
        <v>37</v>
      </c>
      <c r="E180" s="28" t="s">
        <v>63</v>
      </c>
      <c r="F180" s="38">
        <v>40.83</v>
      </c>
      <c r="G180" s="127">
        <v>14.05</v>
      </c>
      <c r="H180" s="32">
        <f t="shared" si="59"/>
        <v>573.66150000000005</v>
      </c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ht="20.100000000000001" customHeight="1">
      <c r="A181" s="5" t="s">
        <v>244</v>
      </c>
      <c r="B181" s="175" t="s">
        <v>245</v>
      </c>
      <c r="C181" s="175"/>
      <c r="D181" s="175"/>
      <c r="E181" s="175"/>
      <c r="F181" s="175"/>
      <c r="G181" s="175"/>
      <c r="H181" s="8">
        <f>SUM(H182:H185)-0.01</f>
        <v>1850.6069</v>
      </c>
      <c r="I181" s="7"/>
      <c r="J181" s="7"/>
      <c r="K181" s="7"/>
      <c r="L181" s="7"/>
      <c r="M181" s="7"/>
      <c r="N181" s="7"/>
      <c r="O181" s="7"/>
      <c r="P181" s="7"/>
      <c r="Q181" s="7"/>
    </row>
    <row r="182" spans="1:17" ht="49.95" customHeight="1">
      <c r="A182" s="17" t="s">
        <v>246</v>
      </c>
      <c r="B182" s="50">
        <v>88485</v>
      </c>
      <c r="C182" s="51" t="s">
        <v>530</v>
      </c>
      <c r="D182" s="52" t="s">
        <v>37</v>
      </c>
      <c r="E182" s="52" t="s">
        <v>63</v>
      </c>
      <c r="F182" s="53">
        <v>33.94</v>
      </c>
      <c r="G182" s="128">
        <v>4.2699999999999996</v>
      </c>
      <c r="H182" s="32">
        <f>F182*G182</f>
        <v>144.92379999999997</v>
      </c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ht="49.95" customHeight="1">
      <c r="A183" s="17" t="s">
        <v>247</v>
      </c>
      <c r="B183" s="40">
        <v>88497</v>
      </c>
      <c r="C183" s="34" t="s">
        <v>528</v>
      </c>
      <c r="D183" s="30" t="s">
        <v>37</v>
      </c>
      <c r="E183" s="30" t="s">
        <v>63</v>
      </c>
      <c r="F183" s="31">
        <v>33.94</v>
      </c>
      <c r="G183" s="32">
        <v>18.440000000000001</v>
      </c>
      <c r="H183" s="32">
        <f t="shared" ref="H183:H185" si="60">F183*G183</f>
        <v>625.85360000000003</v>
      </c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ht="49.95" customHeight="1">
      <c r="A184" s="17" t="s">
        <v>248</v>
      </c>
      <c r="B184" s="40">
        <v>88489</v>
      </c>
      <c r="C184" s="34" t="s">
        <v>529</v>
      </c>
      <c r="D184" s="30" t="s">
        <v>37</v>
      </c>
      <c r="E184" s="30" t="s">
        <v>63</v>
      </c>
      <c r="F184" s="31">
        <v>33.94</v>
      </c>
      <c r="G184" s="32">
        <v>14.05</v>
      </c>
      <c r="H184" s="32">
        <f>F184*G184-0.01</f>
        <v>476.84699999999998</v>
      </c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ht="49.95" customHeight="1">
      <c r="A185" s="17" t="s">
        <v>249</v>
      </c>
      <c r="B185" s="40">
        <v>96486</v>
      </c>
      <c r="C185" s="34" t="s">
        <v>442</v>
      </c>
      <c r="D185" s="30" t="s">
        <v>37</v>
      </c>
      <c r="E185" s="30" t="s">
        <v>63</v>
      </c>
      <c r="F185" s="31">
        <v>8.25</v>
      </c>
      <c r="G185" s="32">
        <v>73.09</v>
      </c>
      <c r="H185" s="32">
        <f t="shared" si="60"/>
        <v>602.99250000000006</v>
      </c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ht="20.100000000000001" customHeight="1">
      <c r="A186" s="5" t="s">
        <v>250</v>
      </c>
      <c r="B186" s="175" t="s">
        <v>46</v>
      </c>
      <c r="C186" s="175"/>
      <c r="D186" s="175"/>
      <c r="E186" s="175"/>
      <c r="F186" s="175"/>
      <c r="G186" s="175"/>
      <c r="H186" s="8">
        <f>SUM(H187:H189)+0.01</f>
        <v>1293.9100000000001</v>
      </c>
      <c r="I186" s="7"/>
      <c r="J186" s="7"/>
      <c r="K186" s="7"/>
      <c r="L186" s="7"/>
      <c r="M186" s="7"/>
      <c r="N186" s="7"/>
      <c r="O186" s="7"/>
      <c r="P186" s="7"/>
      <c r="Q186" s="7"/>
    </row>
    <row r="187" spans="1:17" ht="49.95" customHeight="1">
      <c r="A187" s="17" t="s">
        <v>251</v>
      </c>
      <c r="B187" s="40">
        <v>95241</v>
      </c>
      <c r="C187" s="34" t="s">
        <v>444</v>
      </c>
      <c r="D187" s="30" t="s">
        <v>37</v>
      </c>
      <c r="E187" s="30" t="s">
        <v>63</v>
      </c>
      <c r="F187" s="31">
        <v>8.25</v>
      </c>
      <c r="G187" s="32">
        <v>41.55</v>
      </c>
      <c r="H187" s="32">
        <f>F187*G187-0.01</f>
        <v>342.77749999999997</v>
      </c>
      <c r="I187" s="10"/>
      <c r="J187" s="10"/>
      <c r="K187" s="10"/>
      <c r="L187" s="10"/>
      <c r="M187" s="222">
        <f t="shared" ref="M187:M189" si="61">F187</f>
        <v>8.25</v>
      </c>
      <c r="N187" s="131">
        <f t="shared" ref="N187:N188" si="62">F187+0</f>
        <v>8.25</v>
      </c>
      <c r="O187" s="221">
        <f t="shared" ref="O187:O188" si="63">N187/F187</f>
        <v>1</v>
      </c>
      <c r="P187" s="132">
        <f t="shared" ref="P187:P188" si="64">N187*G187</f>
        <v>342.78749999999997</v>
      </c>
      <c r="Q187" s="10"/>
    </row>
    <row r="188" spans="1:17" ht="49.95" customHeight="1">
      <c r="A188" s="17" t="s">
        <v>252</v>
      </c>
      <c r="B188" s="40">
        <v>87622</v>
      </c>
      <c r="C188" s="34" t="s">
        <v>445</v>
      </c>
      <c r="D188" s="30" t="s">
        <v>37</v>
      </c>
      <c r="E188" s="30" t="s">
        <v>63</v>
      </c>
      <c r="F188" s="31">
        <v>8.25</v>
      </c>
      <c r="G188" s="32">
        <v>40.39</v>
      </c>
      <c r="H188" s="32">
        <f>F188*G188-0.01</f>
        <v>333.20750000000004</v>
      </c>
      <c r="I188" s="10"/>
      <c r="J188" s="10"/>
      <c r="K188" s="10"/>
      <c r="L188" s="10"/>
      <c r="M188" s="222">
        <f t="shared" si="61"/>
        <v>8.25</v>
      </c>
      <c r="N188" s="131">
        <f t="shared" si="62"/>
        <v>8.25</v>
      </c>
      <c r="O188" s="221">
        <f t="shared" si="63"/>
        <v>1</v>
      </c>
      <c r="P188" s="132">
        <f t="shared" si="64"/>
        <v>333.21750000000003</v>
      </c>
      <c r="Q188" s="10"/>
    </row>
    <row r="189" spans="1:17" ht="49.95" customHeight="1">
      <c r="A189" s="17" t="s">
        <v>253</v>
      </c>
      <c r="B189" s="40" t="s">
        <v>409</v>
      </c>
      <c r="C189" s="34" t="s">
        <v>437</v>
      </c>
      <c r="D189" s="30" t="s">
        <v>64</v>
      </c>
      <c r="E189" s="30" t="s">
        <v>63</v>
      </c>
      <c r="F189" s="31">
        <v>8.25</v>
      </c>
      <c r="G189" s="32">
        <v>74.900000000000006</v>
      </c>
      <c r="H189" s="32">
        <f>F189*G189-0.01</f>
        <v>617.91500000000008</v>
      </c>
      <c r="I189" s="10"/>
      <c r="J189" s="10"/>
      <c r="K189" s="10"/>
      <c r="L189" s="10"/>
      <c r="M189" s="222"/>
      <c r="N189" s="10"/>
      <c r="O189" s="10"/>
      <c r="P189" s="10"/>
      <c r="Q189" s="10"/>
    </row>
    <row r="190" spans="1:17" ht="20.100000000000001" customHeight="1">
      <c r="A190" s="5" t="s">
        <v>254</v>
      </c>
      <c r="B190" s="175" t="s">
        <v>125</v>
      </c>
      <c r="C190" s="175"/>
      <c r="D190" s="175"/>
      <c r="E190" s="175"/>
      <c r="F190" s="175"/>
      <c r="G190" s="175"/>
      <c r="H190" s="8">
        <f>SUM(H191,H216,H237)</f>
        <v>13670.025799999999</v>
      </c>
      <c r="I190" s="7"/>
      <c r="J190" s="7"/>
      <c r="K190" s="7"/>
      <c r="L190" s="7"/>
      <c r="M190" s="7"/>
      <c r="N190" s="7"/>
      <c r="O190" s="7"/>
      <c r="P190" s="7"/>
      <c r="Q190" s="7"/>
    </row>
    <row r="191" spans="1:17" ht="20.100000000000001" customHeight="1">
      <c r="A191" s="5" t="s">
        <v>255</v>
      </c>
      <c r="B191" s="175" t="s">
        <v>47</v>
      </c>
      <c r="C191" s="175"/>
      <c r="D191" s="175"/>
      <c r="E191" s="175"/>
      <c r="F191" s="175"/>
      <c r="G191" s="175"/>
      <c r="H191" s="8">
        <f>SUM(H192:H215)-0.01</f>
        <v>3065.1956</v>
      </c>
      <c r="I191" s="7"/>
      <c r="J191" s="7"/>
      <c r="K191" s="7"/>
      <c r="L191" s="7"/>
      <c r="M191" s="7"/>
      <c r="N191" s="7"/>
      <c r="O191" s="7"/>
      <c r="P191" s="7"/>
      <c r="Q191" s="7"/>
    </row>
    <row r="192" spans="1:17" ht="49.95" customHeight="1">
      <c r="A192" s="17" t="s">
        <v>256</v>
      </c>
      <c r="B192" s="40">
        <v>102611</v>
      </c>
      <c r="C192" s="29" t="s">
        <v>531</v>
      </c>
      <c r="D192" s="30" t="s">
        <v>37</v>
      </c>
      <c r="E192" s="30" t="s">
        <v>66</v>
      </c>
      <c r="F192" s="31">
        <v>1</v>
      </c>
      <c r="G192" s="32">
        <v>554.88</v>
      </c>
      <c r="H192" s="32">
        <f>F192*G192</f>
        <v>554.88</v>
      </c>
      <c r="I192" s="10"/>
      <c r="J192" s="10"/>
      <c r="K192" s="10"/>
      <c r="L192" s="10"/>
      <c r="M192" s="222">
        <f t="shared" ref="M192:M217" si="65">F192</f>
        <v>1</v>
      </c>
      <c r="N192" s="131">
        <f t="shared" ref="N192:N217" si="66">F192+0</f>
        <v>1</v>
      </c>
      <c r="O192" s="221">
        <f t="shared" ref="O192:O217" si="67">N192/F192</f>
        <v>1</v>
      </c>
      <c r="P192" s="132">
        <f t="shared" ref="P192:P217" si="68">N192*G192</f>
        <v>554.88</v>
      </c>
      <c r="Q192" s="10"/>
    </row>
    <row r="193" spans="1:17" ht="49.95" customHeight="1">
      <c r="A193" s="17" t="s">
        <v>257</v>
      </c>
      <c r="B193" s="40">
        <v>11762</v>
      </c>
      <c r="C193" s="29" t="s">
        <v>532</v>
      </c>
      <c r="D193" s="30" t="s">
        <v>37</v>
      </c>
      <c r="E193" s="30" t="s">
        <v>66</v>
      </c>
      <c r="F193" s="31">
        <v>1</v>
      </c>
      <c r="G193" s="32">
        <v>75.849999999999994</v>
      </c>
      <c r="H193" s="32">
        <f t="shared" ref="H193:H215" si="69">F193*G193</f>
        <v>75.849999999999994</v>
      </c>
      <c r="I193" s="10"/>
      <c r="J193" s="10"/>
      <c r="K193" s="10"/>
      <c r="L193" s="10"/>
      <c r="M193" s="222">
        <f t="shared" si="65"/>
        <v>1</v>
      </c>
      <c r="N193" s="131">
        <f t="shared" si="66"/>
        <v>1</v>
      </c>
      <c r="O193" s="221">
        <f t="shared" si="67"/>
        <v>1</v>
      </c>
      <c r="P193" s="132">
        <f t="shared" si="68"/>
        <v>75.849999999999994</v>
      </c>
      <c r="Q193" s="10"/>
    </row>
    <row r="194" spans="1:17" ht="49.95" customHeight="1">
      <c r="A194" s="17" t="s">
        <v>258</v>
      </c>
      <c r="B194" s="40">
        <v>86888</v>
      </c>
      <c r="C194" s="29" t="s">
        <v>448</v>
      </c>
      <c r="D194" s="30" t="s">
        <v>37</v>
      </c>
      <c r="E194" s="30" t="s">
        <v>66</v>
      </c>
      <c r="F194" s="31">
        <v>1</v>
      </c>
      <c r="G194" s="32">
        <v>591.21</v>
      </c>
      <c r="H194" s="32">
        <f t="shared" si="69"/>
        <v>591.21</v>
      </c>
      <c r="I194" s="10"/>
      <c r="J194" s="10"/>
      <c r="K194" s="10"/>
      <c r="L194" s="10"/>
      <c r="M194" s="222">
        <f t="shared" si="65"/>
        <v>1</v>
      </c>
      <c r="N194" s="131">
        <f t="shared" si="66"/>
        <v>1</v>
      </c>
      <c r="O194" s="221">
        <f t="shared" si="67"/>
        <v>1</v>
      </c>
      <c r="P194" s="132">
        <f t="shared" si="68"/>
        <v>591.21</v>
      </c>
      <c r="Q194" s="10"/>
    </row>
    <row r="195" spans="1:17" ht="49.95" customHeight="1">
      <c r="A195" s="17" t="s">
        <v>259</v>
      </c>
      <c r="B195" s="40">
        <v>1370</v>
      </c>
      <c r="C195" s="29" t="s">
        <v>449</v>
      </c>
      <c r="D195" s="30" t="s">
        <v>37</v>
      </c>
      <c r="E195" s="30" t="s">
        <v>66</v>
      </c>
      <c r="F195" s="31">
        <v>1</v>
      </c>
      <c r="G195" s="32">
        <v>141.46</v>
      </c>
      <c r="H195" s="32">
        <f t="shared" si="69"/>
        <v>141.46</v>
      </c>
      <c r="I195" s="10"/>
      <c r="J195" s="10"/>
      <c r="K195" s="10"/>
      <c r="L195" s="10"/>
      <c r="M195" s="222">
        <f t="shared" si="65"/>
        <v>1</v>
      </c>
      <c r="N195" s="131">
        <f t="shared" si="66"/>
        <v>1</v>
      </c>
      <c r="O195" s="221">
        <f t="shared" si="67"/>
        <v>1</v>
      </c>
      <c r="P195" s="132">
        <f t="shared" si="68"/>
        <v>141.46</v>
      </c>
      <c r="Q195" s="10"/>
    </row>
    <row r="196" spans="1:17" ht="49.95" customHeight="1">
      <c r="A196" s="17" t="s">
        <v>260</v>
      </c>
      <c r="B196" s="40">
        <v>10427</v>
      </c>
      <c r="C196" s="29" t="s">
        <v>450</v>
      </c>
      <c r="D196" s="30" t="s">
        <v>37</v>
      </c>
      <c r="E196" s="30" t="s">
        <v>66</v>
      </c>
      <c r="F196" s="31">
        <v>1</v>
      </c>
      <c r="G196" s="32">
        <v>596.73</v>
      </c>
      <c r="H196" s="32">
        <f t="shared" si="69"/>
        <v>596.73</v>
      </c>
      <c r="I196" s="10"/>
      <c r="J196" s="10"/>
      <c r="K196" s="10"/>
      <c r="L196" s="10"/>
      <c r="M196" s="222">
        <f t="shared" si="65"/>
        <v>1</v>
      </c>
      <c r="N196" s="131">
        <f t="shared" si="66"/>
        <v>1</v>
      </c>
      <c r="O196" s="221">
        <f t="shared" si="67"/>
        <v>1</v>
      </c>
      <c r="P196" s="132">
        <f t="shared" si="68"/>
        <v>596.73</v>
      </c>
      <c r="Q196" s="10"/>
    </row>
    <row r="197" spans="1:17" ht="49.95" customHeight="1">
      <c r="A197" s="17" t="s">
        <v>261</v>
      </c>
      <c r="B197" s="40">
        <v>6136</v>
      </c>
      <c r="C197" s="29" t="s">
        <v>451</v>
      </c>
      <c r="D197" s="30" t="s">
        <v>37</v>
      </c>
      <c r="E197" s="30" t="s">
        <v>66</v>
      </c>
      <c r="F197" s="31">
        <v>1</v>
      </c>
      <c r="G197" s="32">
        <v>206.49</v>
      </c>
      <c r="H197" s="32">
        <f t="shared" si="69"/>
        <v>206.49</v>
      </c>
      <c r="I197" s="10"/>
      <c r="J197" s="10"/>
      <c r="K197" s="10"/>
      <c r="L197" s="10"/>
      <c r="M197" s="222">
        <f t="shared" si="65"/>
        <v>1</v>
      </c>
      <c r="N197" s="131">
        <f t="shared" si="66"/>
        <v>1</v>
      </c>
      <c r="O197" s="221">
        <f t="shared" si="67"/>
        <v>1</v>
      </c>
      <c r="P197" s="132">
        <f t="shared" si="68"/>
        <v>206.49</v>
      </c>
      <c r="Q197" s="10"/>
    </row>
    <row r="198" spans="1:17" ht="49.95" customHeight="1">
      <c r="A198" s="17" t="s">
        <v>262</v>
      </c>
      <c r="B198" s="40">
        <v>86886</v>
      </c>
      <c r="C198" s="29" t="s">
        <v>452</v>
      </c>
      <c r="D198" s="30" t="s">
        <v>37</v>
      </c>
      <c r="E198" s="30" t="s">
        <v>66</v>
      </c>
      <c r="F198" s="31">
        <v>1</v>
      </c>
      <c r="G198" s="32">
        <v>53.04</v>
      </c>
      <c r="H198" s="32">
        <f t="shared" si="69"/>
        <v>53.04</v>
      </c>
      <c r="I198" s="10"/>
      <c r="J198" s="10"/>
      <c r="K198" s="10"/>
      <c r="L198" s="10"/>
      <c r="M198" s="222">
        <f t="shared" si="65"/>
        <v>1</v>
      </c>
      <c r="N198" s="131">
        <f t="shared" si="66"/>
        <v>1</v>
      </c>
      <c r="O198" s="221">
        <f t="shared" si="67"/>
        <v>1</v>
      </c>
      <c r="P198" s="132">
        <f t="shared" si="68"/>
        <v>53.04</v>
      </c>
      <c r="Q198" s="10"/>
    </row>
    <row r="199" spans="1:17" ht="49.95" customHeight="1">
      <c r="A199" s="17" t="s">
        <v>263</v>
      </c>
      <c r="B199" s="40">
        <v>100860</v>
      </c>
      <c r="C199" s="29" t="s">
        <v>533</v>
      </c>
      <c r="D199" s="30" t="s">
        <v>37</v>
      </c>
      <c r="E199" s="30" t="s">
        <v>66</v>
      </c>
      <c r="F199" s="31">
        <v>1</v>
      </c>
      <c r="G199" s="32">
        <v>120.45</v>
      </c>
      <c r="H199" s="32">
        <f t="shared" si="69"/>
        <v>120.45</v>
      </c>
      <c r="I199" s="10"/>
      <c r="J199" s="10"/>
      <c r="K199" s="10"/>
      <c r="L199" s="10"/>
      <c r="M199" s="222">
        <f t="shared" si="65"/>
        <v>1</v>
      </c>
      <c r="N199" s="131">
        <f t="shared" si="66"/>
        <v>1</v>
      </c>
      <c r="O199" s="221">
        <f t="shared" si="67"/>
        <v>1</v>
      </c>
      <c r="P199" s="132">
        <f t="shared" si="68"/>
        <v>120.45</v>
      </c>
      <c r="Q199" s="10"/>
    </row>
    <row r="200" spans="1:17" ht="49.95" customHeight="1">
      <c r="A200" s="17" t="s">
        <v>264</v>
      </c>
      <c r="B200" s="40">
        <v>89987</v>
      </c>
      <c r="C200" s="29" t="s">
        <v>534</v>
      </c>
      <c r="D200" s="30" t="s">
        <v>37</v>
      </c>
      <c r="E200" s="30" t="s">
        <v>66</v>
      </c>
      <c r="F200" s="31">
        <v>1</v>
      </c>
      <c r="G200" s="32">
        <v>115.36</v>
      </c>
      <c r="H200" s="32">
        <f t="shared" si="69"/>
        <v>115.36</v>
      </c>
      <c r="I200" s="10"/>
      <c r="J200" s="10"/>
      <c r="K200" s="10"/>
      <c r="L200" s="10"/>
      <c r="M200" s="222">
        <f t="shared" si="65"/>
        <v>1</v>
      </c>
      <c r="N200" s="131">
        <f t="shared" si="66"/>
        <v>1</v>
      </c>
      <c r="O200" s="221">
        <f t="shared" si="67"/>
        <v>1</v>
      </c>
      <c r="P200" s="132">
        <f t="shared" si="68"/>
        <v>115.36</v>
      </c>
      <c r="Q200" s="10"/>
    </row>
    <row r="201" spans="1:17" ht="49.95" customHeight="1">
      <c r="A201" s="17" t="s">
        <v>265</v>
      </c>
      <c r="B201" s="40">
        <v>89351</v>
      </c>
      <c r="C201" s="29" t="s">
        <v>535</v>
      </c>
      <c r="D201" s="30" t="s">
        <v>37</v>
      </c>
      <c r="E201" s="30" t="s">
        <v>66</v>
      </c>
      <c r="F201" s="31">
        <v>1</v>
      </c>
      <c r="G201" s="32">
        <v>40.01</v>
      </c>
      <c r="H201" s="32">
        <f t="shared" si="69"/>
        <v>40.01</v>
      </c>
      <c r="I201" s="10"/>
      <c r="J201" s="10"/>
      <c r="K201" s="10"/>
      <c r="L201" s="10"/>
      <c r="M201" s="222">
        <f t="shared" si="65"/>
        <v>1</v>
      </c>
      <c r="N201" s="131">
        <f t="shared" si="66"/>
        <v>1</v>
      </c>
      <c r="O201" s="221">
        <f t="shared" si="67"/>
        <v>1</v>
      </c>
      <c r="P201" s="132">
        <f t="shared" si="68"/>
        <v>40.01</v>
      </c>
      <c r="Q201" s="10"/>
    </row>
    <row r="202" spans="1:17" ht="49.95" customHeight="1">
      <c r="A202" s="17" t="s">
        <v>266</v>
      </c>
      <c r="B202" s="40">
        <v>94489</v>
      </c>
      <c r="C202" s="29" t="s">
        <v>458</v>
      </c>
      <c r="D202" s="30" t="s">
        <v>37</v>
      </c>
      <c r="E202" s="30" t="s">
        <v>66</v>
      </c>
      <c r="F202" s="31">
        <v>1</v>
      </c>
      <c r="G202" s="32">
        <v>26.72</v>
      </c>
      <c r="H202" s="32">
        <f t="shared" si="69"/>
        <v>26.72</v>
      </c>
      <c r="I202" s="10"/>
      <c r="J202" s="10"/>
      <c r="K202" s="10"/>
      <c r="L202" s="10"/>
      <c r="M202" s="222">
        <f t="shared" si="65"/>
        <v>1</v>
      </c>
      <c r="N202" s="131">
        <f t="shared" si="66"/>
        <v>1</v>
      </c>
      <c r="O202" s="221">
        <f t="shared" si="67"/>
        <v>1</v>
      </c>
      <c r="P202" s="132">
        <f t="shared" si="68"/>
        <v>26.72</v>
      </c>
      <c r="Q202" s="10"/>
    </row>
    <row r="203" spans="1:17" ht="49.95" customHeight="1">
      <c r="A203" s="17" t="s">
        <v>267</v>
      </c>
      <c r="B203" s="40">
        <v>94490</v>
      </c>
      <c r="C203" s="29" t="s">
        <v>536</v>
      </c>
      <c r="D203" s="30" t="s">
        <v>37</v>
      </c>
      <c r="E203" s="30" t="s">
        <v>66</v>
      </c>
      <c r="F203" s="31">
        <v>1</v>
      </c>
      <c r="G203" s="32">
        <v>39.07</v>
      </c>
      <c r="H203" s="32">
        <f t="shared" si="69"/>
        <v>39.07</v>
      </c>
      <c r="I203" s="10"/>
      <c r="J203" s="10"/>
      <c r="K203" s="10"/>
      <c r="L203" s="10"/>
      <c r="M203" s="222">
        <f t="shared" si="65"/>
        <v>1</v>
      </c>
      <c r="N203" s="131">
        <f t="shared" si="66"/>
        <v>1</v>
      </c>
      <c r="O203" s="221">
        <f t="shared" si="67"/>
        <v>1</v>
      </c>
      <c r="P203" s="132">
        <f t="shared" si="68"/>
        <v>39.07</v>
      </c>
      <c r="Q203" s="10"/>
    </row>
    <row r="204" spans="1:17" ht="49.95" customHeight="1">
      <c r="A204" s="17" t="s">
        <v>268</v>
      </c>
      <c r="B204" s="40">
        <v>94656</v>
      </c>
      <c r="C204" s="29" t="s">
        <v>459</v>
      </c>
      <c r="D204" s="30" t="s">
        <v>37</v>
      </c>
      <c r="E204" s="30" t="s">
        <v>66</v>
      </c>
      <c r="F204" s="31">
        <v>1</v>
      </c>
      <c r="G204" s="32">
        <v>3.57</v>
      </c>
      <c r="H204" s="32">
        <f t="shared" si="69"/>
        <v>3.57</v>
      </c>
      <c r="I204" s="10"/>
      <c r="J204" s="10"/>
      <c r="K204" s="10"/>
      <c r="L204" s="10"/>
      <c r="M204" s="222">
        <f t="shared" si="65"/>
        <v>1</v>
      </c>
      <c r="N204" s="131">
        <f t="shared" si="66"/>
        <v>1</v>
      </c>
      <c r="O204" s="221">
        <f t="shared" si="67"/>
        <v>1</v>
      </c>
      <c r="P204" s="132">
        <f t="shared" si="68"/>
        <v>3.57</v>
      </c>
      <c r="Q204" s="10"/>
    </row>
    <row r="205" spans="1:17" ht="49.95" customHeight="1">
      <c r="A205" s="17" t="s">
        <v>269</v>
      </c>
      <c r="B205" s="40">
        <v>89364</v>
      </c>
      <c r="C205" s="29" t="s">
        <v>461</v>
      </c>
      <c r="D205" s="30" t="s">
        <v>37</v>
      </c>
      <c r="E205" s="30" t="s">
        <v>66</v>
      </c>
      <c r="F205" s="31">
        <v>7</v>
      </c>
      <c r="G205" s="32">
        <v>12.66</v>
      </c>
      <c r="H205" s="32">
        <f t="shared" si="69"/>
        <v>88.62</v>
      </c>
      <c r="I205" s="10"/>
      <c r="J205" s="10"/>
      <c r="K205" s="10"/>
      <c r="L205" s="10"/>
      <c r="M205" s="222">
        <f t="shared" si="65"/>
        <v>7</v>
      </c>
      <c r="N205" s="131">
        <f t="shared" si="66"/>
        <v>7</v>
      </c>
      <c r="O205" s="221">
        <f t="shared" si="67"/>
        <v>1</v>
      </c>
      <c r="P205" s="132">
        <f t="shared" si="68"/>
        <v>88.62</v>
      </c>
      <c r="Q205" s="10"/>
    </row>
    <row r="206" spans="1:17" ht="49.95" customHeight="1">
      <c r="A206" s="17" t="s">
        <v>270</v>
      </c>
      <c r="B206" s="40">
        <v>89365</v>
      </c>
      <c r="C206" s="29" t="s">
        <v>537</v>
      </c>
      <c r="D206" s="30" t="s">
        <v>37</v>
      </c>
      <c r="E206" s="30" t="s">
        <v>66</v>
      </c>
      <c r="F206" s="31">
        <v>2</v>
      </c>
      <c r="G206" s="32">
        <v>12.04</v>
      </c>
      <c r="H206" s="32">
        <f t="shared" si="69"/>
        <v>24.08</v>
      </c>
      <c r="I206" s="10"/>
      <c r="J206" s="10"/>
      <c r="K206" s="10"/>
      <c r="L206" s="10"/>
      <c r="M206" s="222">
        <f t="shared" si="65"/>
        <v>2</v>
      </c>
      <c r="N206" s="131">
        <f t="shared" si="66"/>
        <v>2</v>
      </c>
      <c r="O206" s="221">
        <f t="shared" si="67"/>
        <v>1</v>
      </c>
      <c r="P206" s="132">
        <f t="shared" si="68"/>
        <v>24.08</v>
      </c>
      <c r="Q206" s="10"/>
    </row>
    <row r="207" spans="1:17" ht="49.95" customHeight="1">
      <c r="A207" s="17" t="s">
        <v>271</v>
      </c>
      <c r="B207" s="40">
        <v>89363</v>
      </c>
      <c r="C207" s="29" t="s">
        <v>463</v>
      </c>
      <c r="D207" s="30" t="s">
        <v>37</v>
      </c>
      <c r="E207" s="30" t="s">
        <v>66</v>
      </c>
      <c r="F207" s="31">
        <v>2</v>
      </c>
      <c r="G207" s="32">
        <v>10.94</v>
      </c>
      <c r="H207" s="32">
        <f t="shared" si="69"/>
        <v>21.88</v>
      </c>
      <c r="I207" s="10"/>
      <c r="J207" s="10"/>
      <c r="K207" s="10"/>
      <c r="L207" s="10"/>
      <c r="M207" s="222">
        <f t="shared" si="65"/>
        <v>2</v>
      </c>
      <c r="N207" s="131">
        <f t="shared" si="66"/>
        <v>2</v>
      </c>
      <c r="O207" s="221">
        <f t="shared" si="67"/>
        <v>1</v>
      </c>
      <c r="P207" s="132">
        <f t="shared" si="68"/>
        <v>21.88</v>
      </c>
      <c r="Q207" s="10"/>
    </row>
    <row r="208" spans="1:17" ht="49.95" customHeight="1">
      <c r="A208" s="17" t="s">
        <v>272</v>
      </c>
      <c r="B208" s="40">
        <v>89408</v>
      </c>
      <c r="C208" s="29" t="s">
        <v>464</v>
      </c>
      <c r="D208" s="30" t="s">
        <v>37</v>
      </c>
      <c r="E208" s="30" t="s">
        <v>66</v>
      </c>
      <c r="F208" s="31">
        <v>6</v>
      </c>
      <c r="G208" s="32">
        <v>9.18</v>
      </c>
      <c r="H208" s="32">
        <f t="shared" si="69"/>
        <v>55.08</v>
      </c>
      <c r="I208" s="10"/>
      <c r="J208" s="10"/>
      <c r="K208" s="10"/>
      <c r="L208" s="10"/>
      <c r="M208" s="222">
        <f t="shared" si="65"/>
        <v>6</v>
      </c>
      <c r="N208" s="131">
        <f t="shared" si="66"/>
        <v>6</v>
      </c>
      <c r="O208" s="221">
        <f t="shared" si="67"/>
        <v>1</v>
      </c>
      <c r="P208" s="132">
        <f t="shared" si="68"/>
        <v>55.08</v>
      </c>
      <c r="Q208" s="10"/>
    </row>
    <row r="209" spans="1:17" ht="49.95" customHeight="1">
      <c r="A209" s="17" t="s">
        <v>273</v>
      </c>
      <c r="B209" s="40">
        <v>89367</v>
      </c>
      <c r="C209" s="29" t="s">
        <v>538</v>
      </c>
      <c r="D209" s="30" t="s">
        <v>37</v>
      </c>
      <c r="E209" s="30" t="s">
        <v>66</v>
      </c>
      <c r="F209" s="31">
        <v>3</v>
      </c>
      <c r="G209" s="32">
        <v>13.93</v>
      </c>
      <c r="H209" s="32">
        <f t="shared" si="69"/>
        <v>41.79</v>
      </c>
      <c r="I209" s="10"/>
      <c r="J209" s="10"/>
      <c r="K209" s="10"/>
      <c r="L209" s="10"/>
      <c r="M209" s="222">
        <f t="shared" si="65"/>
        <v>3</v>
      </c>
      <c r="N209" s="131">
        <f t="shared" si="66"/>
        <v>3</v>
      </c>
      <c r="O209" s="221">
        <f t="shared" si="67"/>
        <v>1</v>
      </c>
      <c r="P209" s="132">
        <f t="shared" si="68"/>
        <v>41.79</v>
      </c>
      <c r="Q209" s="10"/>
    </row>
    <row r="210" spans="1:17" ht="49.95" customHeight="1">
      <c r="A210" s="17" t="s">
        <v>274</v>
      </c>
      <c r="B210" s="40">
        <v>89528</v>
      </c>
      <c r="C210" s="29" t="s">
        <v>539</v>
      </c>
      <c r="D210" s="30" t="s">
        <v>37</v>
      </c>
      <c r="E210" s="30" t="s">
        <v>66</v>
      </c>
      <c r="F210" s="31">
        <v>1</v>
      </c>
      <c r="G210" s="32">
        <v>4.42</v>
      </c>
      <c r="H210" s="32">
        <f t="shared" si="69"/>
        <v>4.42</v>
      </c>
      <c r="I210" s="10"/>
      <c r="J210" s="10"/>
      <c r="K210" s="10"/>
      <c r="L210" s="10"/>
      <c r="M210" s="222">
        <f t="shared" si="65"/>
        <v>1</v>
      </c>
      <c r="N210" s="131">
        <f t="shared" si="66"/>
        <v>1</v>
      </c>
      <c r="O210" s="221">
        <f t="shared" si="67"/>
        <v>1</v>
      </c>
      <c r="P210" s="132">
        <f t="shared" si="68"/>
        <v>4.42</v>
      </c>
      <c r="Q210" s="10"/>
    </row>
    <row r="211" spans="1:17" ht="49.95" customHeight="1">
      <c r="A211" s="17" t="s">
        <v>275</v>
      </c>
      <c r="B211" s="40">
        <v>89381</v>
      </c>
      <c r="C211" s="29" t="s">
        <v>540</v>
      </c>
      <c r="D211" s="30" t="s">
        <v>37</v>
      </c>
      <c r="E211" s="30" t="s">
        <v>66</v>
      </c>
      <c r="F211" s="31">
        <v>1</v>
      </c>
      <c r="G211" s="32">
        <v>13.55</v>
      </c>
      <c r="H211" s="32">
        <f t="shared" si="69"/>
        <v>13.55</v>
      </c>
      <c r="I211" s="10"/>
      <c r="J211" s="10"/>
      <c r="K211" s="10"/>
      <c r="L211" s="10"/>
      <c r="M211" s="222">
        <f t="shared" si="65"/>
        <v>1</v>
      </c>
      <c r="N211" s="131">
        <f t="shared" si="66"/>
        <v>1</v>
      </c>
      <c r="O211" s="221">
        <f t="shared" si="67"/>
        <v>1</v>
      </c>
      <c r="P211" s="132">
        <f t="shared" si="68"/>
        <v>13.55</v>
      </c>
      <c r="Q211" s="10"/>
    </row>
    <row r="212" spans="1:17" ht="49.95" customHeight="1">
      <c r="A212" s="17" t="s">
        <v>276</v>
      </c>
      <c r="B212" s="40">
        <v>89617</v>
      </c>
      <c r="C212" s="29" t="s">
        <v>467</v>
      </c>
      <c r="D212" s="30" t="s">
        <v>37</v>
      </c>
      <c r="E212" s="30" t="s">
        <v>66</v>
      </c>
      <c r="F212" s="31">
        <v>6</v>
      </c>
      <c r="G212" s="32">
        <v>7.9</v>
      </c>
      <c r="H212" s="32">
        <f t="shared" si="69"/>
        <v>47.400000000000006</v>
      </c>
      <c r="I212" s="10"/>
      <c r="J212" s="10"/>
      <c r="K212" s="10"/>
      <c r="L212" s="10"/>
      <c r="M212" s="222">
        <f t="shared" si="65"/>
        <v>6</v>
      </c>
      <c r="N212" s="131">
        <f t="shared" si="66"/>
        <v>6</v>
      </c>
      <c r="O212" s="221">
        <f t="shared" si="67"/>
        <v>1</v>
      </c>
      <c r="P212" s="132">
        <f t="shared" si="68"/>
        <v>47.400000000000006</v>
      </c>
      <c r="Q212" s="10"/>
    </row>
    <row r="213" spans="1:17" ht="49.95" customHeight="1">
      <c r="A213" s="17" t="s">
        <v>277</v>
      </c>
      <c r="B213" s="40">
        <v>89620</v>
      </c>
      <c r="C213" s="29" t="s">
        <v>541</v>
      </c>
      <c r="D213" s="30" t="s">
        <v>37</v>
      </c>
      <c r="E213" s="30" t="s">
        <v>66</v>
      </c>
      <c r="F213" s="31">
        <v>1</v>
      </c>
      <c r="G213" s="32">
        <v>12.52</v>
      </c>
      <c r="H213" s="32">
        <f t="shared" si="69"/>
        <v>12.52</v>
      </c>
      <c r="I213" s="10"/>
      <c r="J213" s="10"/>
      <c r="K213" s="10"/>
      <c r="L213" s="10"/>
      <c r="M213" s="222">
        <f t="shared" si="65"/>
        <v>1</v>
      </c>
      <c r="N213" s="131">
        <f t="shared" si="66"/>
        <v>1</v>
      </c>
      <c r="O213" s="221">
        <f t="shared" si="67"/>
        <v>1</v>
      </c>
      <c r="P213" s="132">
        <f t="shared" si="68"/>
        <v>12.52</v>
      </c>
      <c r="Q213" s="10"/>
    </row>
    <row r="214" spans="1:17" ht="49.95" customHeight="1">
      <c r="A214" s="17" t="s">
        <v>278</v>
      </c>
      <c r="B214" s="40">
        <v>89446</v>
      </c>
      <c r="C214" s="29" t="s">
        <v>469</v>
      </c>
      <c r="D214" s="30" t="s">
        <v>37</v>
      </c>
      <c r="E214" s="30" t="s">
        <v>38</v>
      </c>
      <c r="F214" s="31">
        <v>26.14</v>
      </c>
      <c r="G214" s="32">
        <v>6.09</v>
      </c>
      <c r="H214" s="32">
        <f t="shared" si="69"/>
        <v>159.1926</v>
      </c>
      <c r="I214" s="10"/>
      <c r="J214" s="10"/>
      <c r="K214" s="10"/>
      <c r="L214" s="10"/>
      <c r="M214" s="222">
        <f t="shared" si="65"/>
        <v>26.14</v>
      </c>
      <c r="N214" s="131">
        <f t="shared" si="66"/>
        <v>26.14</v>
      </c>
      <c r="O214" s="221">
        <f t="shared" si="67"/>
        <v>1</v>
      </c>
      <c r="P214" s="132">
        <f t="shared" si="68"/>
        <v>159.1926</v>
      </c>
      <c r="Q214" s="10"/>
    </row>
    <row r="215" spans="1:17" ht="49.95" customHeight="1">
      <c r="A215" s="17" t="s">
        <v>279</v>
      </c>
      <c r="B215" s="54">
        <v>89447</v>
      </c>
      <c r="C215" s="34" t="s">
        <v>542</v>
      </c>
      <c r="D215" s="30" t="s">
        <v>37</v>
      </c>
      <c r="E215" s="30" t="s">
        <v>38</v>
      </c>
      <c r="F215" s="31">
        <v>2.62</v>
      </c>
      <c r="G215" s="32">
        <v>12.15</v>
      </c>
      <c r="H215" s="32">
        <f t="shared" si="69"/>
        <v>31.833000000000002</v>
      </c>
      <c r="I215" s="10"/>
      <c r="J215" s="10"/>
      <c r="K215" s="10"/>
      <c r="L215" s="10"/>
      <c r="M215" s="222">
        <f t="shared" si="65"/>
        <v>2.62</v>
      </c>
      <c r="N215" s="131">
        <f t="shared" si="66"/>
        <v>2.62</v>
      </c>
      <c r="O215" s="221">
        <f t="shared" si="67"/>
        <v>1</v>
      </c>
      <c r="P215" s="132">
        <f t="shared" si="68"/>
        <v>31.833000000000002</v>
      </c>
      <c r="Q215" s="10"/>
    </row>
    <row r="216" spans="1:17" ht="20.100000000000001" customHeight="1">
      <c r="A216" s="5" t="s">
        <v>280</v>
      </c>
      <c r="B216" s="175" t="s">
        <v>281</v>
      </c>
      <c r="C216" s="175"/>
      <c r="D216" s="175"/>
      <c r="E216" s="175"/>
      <c r="F216" s="175"/>
      <c r="G216" s="175"/>
      <c r="H216" s="8">
        <f>SUM(H217:H236)-0.01</f>
        <v>3565.1938999999993</v>
      </c>
      <c r="I216" s="7"/>
      <c r="J216" s="7"/>
      <c r="K216" s="7"/>
      <c r="L216" s="7"/>
      <c r="M216" s="7"/>
      <c r="N216" s="7"/>
      <c r="O216" s="7"/>
      <c r="P216" s="7"/>
      <c r="Q216" s="7"/>
    </row>
    <row r="217" spans="1:17" ht="49.95" customHeight="1">
      <c r="A217" s="17" t="s">
        <v>282</v>
      </c>
      <c r="B217" s="55">
        <v>91893</v>
      </c>
      <c r="C217" s="34" t="s">
        <v>543</v>
      </c>
      <c r="D217" s="56" t="s">
        <v>37</v>
      </c>
      <c r="E217" s="38" t="s">
        <v>66</v>
      </c>
      <c r="F217" s="39">
        <v>2</v>
      </c>
      <c r="G217" s="60">
        <v>16.37</v>
      </c>
      <c r="H217" s="32">
        <f>F217*G217</f>
        <v>32.74</v>
      </c>
      <c r="I217" s="10"/>
      <c r="J217" s="11"/>
      <c r="K217" s="12"/>
      <c r="L217" s="13"/>
      <c r="M217" s="222">
        <f t="shared" si="65"/>
        <v>2</v>
      </c>
      <c r="N217" s="131">
        <f t="shared" si="66"/>
        <v>2</v>
      </c>
      <c r="O217" s="221">
        <f t="shared" si="67"/>
        <v>1</v>
      </c>
      <c r="P217" s="132">
        <f t="shared" si="68"/>
        <v>32.74</v>
      </c>
      <c r="Q217" s="12"/>
    </row>
    <row r="218" spans="1:17" ht="49.95" customHeight="1">
      <c r="A218" s="17" t="s">
        <v>283</v>
      </c>
      <c r="B218" s="57">
        <v>95741</v>
      </c>
      <c r="C218" s="58" t="s">
        <v>544</v>
      </c>
      <c r="D218" s="59" t="s">
        <v>37</v>
      </c>
      <c r="E218" s="28" t="s">
        <v>66</v>
      </c>
      <c r="F218" s="27">
        <v>1</v>
      </c>
      <c r="G218" s="73">
        <v>16.03</v>
      </c>
      <c r="H218" s="32">
        <f t="shared" ref="H218:H236" si="70">F218*G218</f>
        <v>16.03</v>
      </c>
      <c r="I218" s="10"/>
      <c r="J218" s="10"/>
      <c r="K218" s="10"/>
      <c r="L218" s="10"/>
      <c r="M218" s="222">
        <f t="shared" ref="M218:M238" si="71">F218</f>
        <v>1</v>
      </c>
      <c r="N218" s="131">
        <f t="shared" ref="N218:N238" si="72">F218+0</f>
        <v>1</v>
      </c>
      <c r="O218" s="221">
        <f t="shared" ref="O218:O238" si="73">N218/F218</f>
        <v>1</v>
      </c>
      <c r="P218" s="132">
        <f t="shared" ref="P218:P238" si="74">N218*G218</f>
        <v>16.03</v>
      </c>
      <c r="Q218" s="10"/>
    </row>
    <row r="219" spans="1:17" ht="49.95" customHeight="1">
      <c r="A219" s="17" t="s">
        <v>284</v>
      </c>
      <c r="B219" s="33">
        <v>104447</v>
      </c>
      <c r="C219" s="34" t="s">
        <v>545</v>
      </c>
      <c r="D219" s="30" t="s">
        <v>37</v>
      </c>
      <c r="E219" s="30" t="s">
        <v>66</v>
      </c>
      <c r="F219" s="31">
        <v>4</v>
      </c>
      <c r="G219" s="32">
        <v>11.06</v>
      </c>
      <c r="H219" s="32">
        <f t="shared" si="70"/>
        <v>44.24</v>
      </c>
      <c r="I219" s="10"/>
      <c r="J219" s="10"/>
      <c r="K219" s="10"/>
      <c r="L219" s="10"/>
      <c r="M219" s="222">
        <f t="shared" si="71"/>
        <v>4</v>
      </c>
      <c r="N219" s="131">
        <f t="shared" si="72"/>
        <v>4</v>
      </c>
      <c r="O219" s="221">
        <f t="shared" si="73"/>
        <v>1</v>
      </c>
      <c r="P219" s="132">
        <f t="shared" si="74"/>
        <v>44.24</v>
      </c>
      <c r="Q219" s="10"/>
    </row>
    <row r="220" spans="1:17" ht="49.95" customHeight="1">
      <c r="A220" s="17" t="s">
        <v>285</v>
      </c>
      <c r="B220" s="33">
        <v>91953</v>
      </c>
      <c r="C220" s="34" t="s">
        <v>478</v>
      </c>
      <c r="D220" s="30" t="s">
        <v>37</v>
      </c>
      <c r="E220" s="30" t="s">
        <v>66</v>
      </c>
      <c r="F220" s="31">
        <v>1</v>
      </c>
      <c r="G220" s="32">
        <v>32.159999999999997</v>
      </c>
      <c r="H220" s="32">
        <f t="shared" si="70"/>
        <v>32.159999999999997</v>
      </c>
      <c r="I220" s="10"/>
      <c r="J220" s="10"/>
      <c r="K220" s="10"/>
      <c r="L220" s="10"/>
      <c r="M220" s="222">
        <f t="shared" si="71"/>
        <v>1</v>
      </c>
      <c r="N220" s="131">
        <f t="shared" si="72"/>
        <v>1</v>
      </c>
      <c r="O220" s="221">
        <f t="shared" si="73"/>
        <v>1</v>
      </c>
      <c r="P220" s="132">
        <f t="shared" si="74"/>
        <v>32.159999999999997</v>
      </c>
      <c r="Q220" s="10"/>
    </row>
    <row r="221" spans="1:17" ht="49.95" customHeight="1">
      <c r="A221" s="17" t="s">
        <v>286</v>
      </c>
      <c r="B221" s="33">
        <v>92023</v>
      </c>
      <c r="C221" s="34" t="s">
        <v>546</v>
      </c>
      <c r="D221" s="30" t="s">
        <v>37</v>
      </c>
      <c r="E221" s="30" t="s">
        <v>66</v>
      </c>
      <c r="F221" s="31">
        <v>1</v>
      </c>
      <c r="G221" s="32">
        <v>54.74</v>
      </c>
      <c r="H221" s="32">
        <f t="shared" si="70"/>
        <v>54.74</v>
      </c>
      <c r="I221" s="10"/>
      <c r="J221" s="10"/>
      <c r="K221" s="10"/>
      <c r="L221" s="10"/>
      <c r="M221" s="222">
        <f t="shared" si="71"/>
        <v>1</v>
      </c>
      <c r="N221" s="131">
        <f t="shared" si="72"/>
        <v>1</v>
      </c>
      <c r="O221" s="221">
        <f t="shared" si="73"/>
        <v>1</v>
      </c>
      <c r="P221" s="132">
        <f t="shared" si="74"/>
        <v>54.74</v>
      </c>
      <c r="Q221" s="10"/>
    </row>
    <row r="222" spans="1:17" ht="49.95" customHeight="1">
      <c r="A222" s="17" t="s">
        <v>287</v>
      </c>
      <c r="B222" s="33">
        <v>1872</v>
      </c>
      <c r="C222" s="34" t="s">
        <v>547</v>
      </c>
      <c r="D222" s="30" t="s">
        <v>37</v>
      </c>
      <c r="E222" s="30" t="s">
        <v>66</v>
      </c>
      <c r="F222" s="31">
        <v>1</v>
      </c>
      <c r="G222" s="32">
        <v>1.54</v>
      </c>
      <c r="H222" s="32">
        <f t="shared" si="70"/>
        <v>1.54</v>
      </c>
      <c r="I222" s="10"/>
      <c r="J222" s="10"/>
      <c r="K222" s="10"/>
      <c r="L222" s="10"/>
      <c r="M222" s="222">
        <f t="shared" si="71"/>
        <v>1</v>
      </c>
      <c r="N222" s="131">
        <f t="shared" si="72"/>
        <v>1</v>
      </c>
      <c r="O222" s="221">
        <f t="shared" si="73"/>
        <v>1</v>
      </c>
      <c r="P222" s="132">
        <f t="shared" si="74"/>
        <v>1.54</v>
      </c>
      <c r="Q222" s="10"/>
    </row>
    <row r="223" spans="1:17" ht="49.95" customHeight="1">
      <c r="A223" s="17" t="s">
        <v>288</v>
      </c>
      <c r="B223" s="33">
        <v>101876</v>
      </c>
      <c r="C223" s="34" t="s">
        <v>548</v>
      </c>
      <c r="D223" s="30" t="s">
        <v>37</v>
      </c>
      <c r="E223" s="30" t="s">
        <v>66</v>
      </c>
      <c r="F223" s="31">
        <v>1</v>
      </c>
      <c r="G223" s="32">
        <v>119.29</v>
      </c>
      <c r="H223" s="32">
        <f t="shared" si="70"/>
        <v>119.29</v>
      </c>
      <c r="I223" s="10"/>
      <c r="J223" s="10"/>
      <c r="K223" s="10"/>
      <c r="L223" s="10"/>
      <c r="M223" s="222">
        <f t="shared" si="71"/>
        <v>1</v>
      </c>
      <c r="N223" s="131">
        <f t="shared" si="72"/>
        <v>1</v>
      </c>
      <c r="O223" s="221">
        <f t="shared" si="73"/>
        <v>1</v>
      </c>
      <c r="P223" s="132">
        <f t="shared" si="74"/>
        <v>119.29</v>
      </c>
      <c r="Q223" s="10"/>
    </row>
    <row r="224" spans="1:17" ht="49.95" customHeight="1">
      <c r="A224" s="17" t="s">
        <v>289</v>
      </c>
      <c r="B224" s="33">
        <v>91996</v>
      </c>
      <c r="C224" s="34" t="s">
        <v>549</v>
      </c>
      <c r="D224" s="30" t="s">
        <v>37</v>
      </c>
      <c r="E224" s="30" t="s">
        <v>66</v>
      </c>
      <c r="F224" s="31">
        <v>1</v>
      </c>
      <c r="G224" s="32">
        <v>37.99</v>
      </c>
      <c r="H224" s="32">
        <f t="shared" si="70"/>
        <v>37.99</v>
      </c>
      <c r="I224" s="10"/>
      <c r="J224" s="10"/>
      <c r="K224" s="10"/>
      <c r="L224" s="10"/>
      <c r="M224" s="222">
        <f t="shared" si="71"/>
        <v>1</v>
      </c>
      <c r="N224" s="131">
        <f t="shared" si="72"/>
        <v>1</v>
      </c>
      <c r="O224" s="221">
        <f t="shared" si="73"/>
        <v>1</v>
      </c>
      <c r="P224" s="132">
        <f t="shared" si="74"/>
        <v>37.99</v>
      </c>
      <c r="Q224" s="10"/>
    </row>
    <row r="225" spans="1:17" ht="49.95" customHeight="1">
      <c r="A225" s="17" t="s">
        <v>290</v>
      </c>
      <c r="B225" s="55">
        <v>92004</v>
      </c>
      <c r="C225" s="34" t="s">
        <v>484</v>
      </c>
      <c r="D225" s="56" t="s">
        <v>37</v>
      </c>
      <c r="E225" s="38" t="s">
        <v>66</v>
      </c>
      <c r="F225" s="39">
        <v>1</v>
      </c>
      <c r="G225" s="60">
        <v>60.61</v>
      </c>
      <c r="H225" s="32">
        <f t="shared" si="70"/>
        <v>60.61</v>
      </c>
      <c r="I225" s="10"/>
      <c r="J225" s="11"/>
      <c r="K225" s="12"/>
      <c r="L225" s="13"/>
      <c r="M225" s="222">
        <f t="shared" si="71"/>
        <v>1</v>
      </c>
      <c r="N225" s="131">
        <f t="shared" si="72"/>
        <v>1</v>
      </c>
      <c r="O225" s="221">
        <f t="shared" si="73"/>
        <v>1</v>
      </c>
      <c r="P225" s="132">
        <f t="shared" si="74"/>
        <v>60.61</v>
      </c>
      <c r="Q225" s="12"/>
    </row>
    <row r="226" spans="1:17" ht="49.95" customHeight="1">
      <c r="A226" s="17" t="s">
        <v>291</v>
      </c>
      <c r="B226" s="57">
        <v>91924</v>
      </c>
      <c r="C226" s="58" t="s">
        <v>486</v>
      </c>
      <c r="D226" s="59" t="s">
        <v>37</v>
      </c>
      <c r="E226" s="28" t="s">
        <v>38</v>
      </c>
      <c r="F226" s="27">
        <v>16.600000000000001</v>
      </c>
      <c r="G226" s="73">
        <v>3.72</v>
      </c>
      <c r="H226" s="32">
        <f t="shared" si="70"/>
        <v>61.75200000000001</v>
      </c>
      <c r="I226" s="10"/>
      <c r="J226" s="10"/>
      <c r="K226" s="10"/>
      <c r="L226" s="10"/>
      <c r="M226" s="222">
        <f t="shared" si="71"/>
        <v>16.600000000000001</v>
      </c>
      <c r="N226" s="131">
        <f t="shared" si="72"/>
        <v>16.600000000000001</v>
      </c>
      <c r="O226" s="221">
        <f t="shared" si="73"/>
        <v>1</v>
      </c>
      <c r="P226" s="132">
        <f t="shared" si="74"/>
        <v>61.75200000000001</v>
      </c>
      <c r="Q226" s="10"/>
    </row>
    <row r="227" spans="1:17" ht="49.95" customHeight="1">
      <c r="A227" s="17" t="s">
        <v>292</v>
      </c>
      <c r="B227" s="33">
        <v>91926</v>
      </c>
      <c r="C227" s="34" t="s">
        <v>487</v>
      </c>
      <c r="D227" s="30" t="s">
        <v>37</v>
      </c>
      <c r="E227" s="30" t="s">
        <v>38</v>
      </c>
      <c r="F227" s="31">
        <v>52.2</v>
      </c>
      <c r="G227" s="32">
        <v>5.47</v>
      </c>
      <c r="H227" s="32">
        <f t="shared" si="70"/>
        <v>285.53399999999999</v>
      </c>
      <c r="I227" s="10"/>
      <c r="J227" s="10"/>
      <c r="K227" s="10"/>
      <c r="L227" s="10"/>
      <c r="M227" s="222">
        <f t="shared" si="71"/>
        <v>52.2</v>
      </c>
      <c r="N227" s="131">
        <f t="shared" si="72"/>
        <v>52.2</v>
      </c>
      <c r="O227" s="221">
        <f t="shared" si="73"/>
        <v>1</v>
      </c>
      <c r="P227" s="132">
        <f t="shared" si="74"/>
        <v>285.53399999999999</v>
      </c>
      <c r="Q227" s="10"/>
    </row>
    <row r="228" spans="1:17" ht="49.95" customHeight="1">
      <c r="A228" s="17" t="s">
        <v>293</v>
      </c>
      <c r="B228" s="33">
        <v>91931</v>
      </c>
      <c r="C228" s="34" t="s">
        <v>485</v>
      </c>
      <c r="D228" s="30" t="s">
        <v>37</v>
      </c>
      <c r="E228" s="30" t="s">
        <v>38</v>
      </c>
      <c r="F228" s="31">
        <v>112.2</v>
      </c>
      <c r="G228" s="32">
        <v>13.01</v>
      </c>
      <c r="H228" s="32">
        <f t="shared" si="70"/>
        <v>1459.722</v>
      </c>
      <c r="I228" s="10"/>
      <c r="J228" s="10"/>
      <c r="K228" s="10"/>
      <c r="L228" s="10"/>
      <c r="M228" s="222">
        <f t="shared" si="71"/>
        <v>112.2</v>
      </c>
      <c r="N228" s="131">
        <f t="shared" si="72"/>
        <v>112.2</v>
      </c>
      <c r="O228" s="221">
        <f t="shared" si="73"/>
        <v>1</v>
      </c>
      <c r="P228" s="132">
        <f t="shared" si="74"/>
        <v>1459.722</v>
      </c>
      <c r="Q228" s="10"/>
    </row>
    <row r="229" spans="1:17" ht="49.95" customHeight="1">
      <c r="A229" s="17" t="s">
        <v>294</v>
      </c>
      <c r="B229" s="33">
        <v>91869</v>
      </c>
      <c r="C229" s="34" t="s">
        <v>550</v>
      </c>
      <c r="D229" s="30" t="s">
        <v>37</v>
      </c>
      <c r="E229" s="30" t="s">
        <v>38</v>
      </c>
      <c r="F229" s="31">
        <v>33.450000000000003</v>
      </c>
      <c r="G229" s="32">
        <v>20.399999999999999</v>
      </c>
      <c r="H229" s="32">
        <f t="shared" si="70"/>
        <v>682.38</v>
      </c>
      <c r="I229" s="10"/>
      <c r="J229" s="10"/>
      <c r="K229" s="10"/>
      <c r="L229" s="10"/>
      <c r="M229" s="222">
        <f t="shared" si="71"/>
        <v>33.450000000000003</v>
      </c>
      <c r="N229" s="131">
        <f t="shared" si="72"/>
        <v>33.450000000000003</v>
      </c>
      <c r="O229" s="221">
        <f t="shared" si="73"/>
        <v>1</v>
      </c>
      <c r="P229" s="132">
        <f t="shared" si="74"/>
        <v>682.38</v>
      </c>
      <c r="Q229" s="10"/>
    </row>
    <row r="230" spans="1:17" ht="49.95" customHeight="1">
      <c r="A230" s="17" t="s">
        <v>295</v>
      </c>
      <c r="B230" s="33">
        <v>95728</v>
      </c>
      <c r="C230" s="34" t="s">
        <v>551</v>
      </c>
      <c r="D230" s="30" t="s">
        <v>37</v>
      </c>
      <c r="E230" s="30" t="s">
        <v>38</v>
      </c>
      <c r="F230" s="31">
        <v>2.2799999999999998</v>
      </c>
      <c r="G230" s="32">
        <v>28.91</v>
      </c>
      <c r="H230" s="32">
        <f t="shared" si="70"/>
        <v>65.9148</v>
      </c>
      <c r="I230" s="10"/>
      <c r="J230" s="10"/>
      <c r="K230" s="10"/>
      <c r="L230" s="10"/>
      <c r="M230" s="222">
        <f t="shared" si="71"/>
        <v>2.2799999999999998</v>
      </c>
      <c r="N230" s="131">
        <f t="shared" si="72"/>
        <v>2.2799999999999998</v>
      </c>
      <c r="O230" s="221">
        <f t="shared" si="73"/>
        <v>1</v>
      </c>
      <c r="P230" s="132">
        <f t="shared" si="74"/>
        <v>65.9148</v>
      </c>
      <c r="Q230" s="10"/>
    </row>
    <row r="231" spans="1:17" ht="49.95" customHeight="1">
      <c r="A231" s="17" t="s">
        <v>296</v>
      </c>
      <c r="B231" s="33">
        <v>91854</v>
      </c>
      <c r="C231" s="34" t="s">
        <v>490</v>
      </c>
      <c r="D231" s="30" t="s">
        <v>37</v>
      </c>
      <c r="E231" s="30" t="s">
        <v>38</v>
      </c>
      <c r="F231" s="31">
        <v>18.309999999999999</v>
      </c>
      <c r="G231" s="32">
        <v>10.81</v>
      </c>
      <c r="H231" s="32">
        <f t="shared" si="70"/>
        <v>197.93109999999999</v>
      </c>
      <c r="I231" s="10"/>
      <c r="J231" s="10"/>
      <c r="K231" s="10"/>
      <c r="L231" s="10"/>
      <c r="M231" s="222">
        <f t="shared" si="71"/>
        <v>18.309999999999999</v>
      </c>
      <c r="N231" s="131">
        <f t="shared" si="72"/>
        <v>18.309999999999999</v>
      </c>
      <c r="O231" s="221">
        <f t="shared" si="73"/>
        <v>1</v>
      </c>
      <c r="P231" s="132">
        <f t="shared" si="74"/>
        <v>197.93109999999999</v>
      </c>
      <c r="Q231" s="10"/>
    </row>
    <row r="232" spans="1:17" ht="49.95" customHeight="1">
      <c r="A232" s="17" t="s">
        <v>297</v>
      </c>
      <c r="B232" s="33">
        <v>39469</v>
      </c>
      <c r="C232" s="34" t="s">
        <v>552</v>
      </c>
      <c r="D232" s="30" t="s">
        <v>37</v>
      </c>
      <c r="E232" s="30" t="s">
        <v>66</v>
      </c>
      <c r="F232" s="31">
        <v>1</v>
      </c>
      <c r="G232" s="32">
        <v>72.95</v>
      </c>
      <c r="H232" s="32">
        <f t="shared" si="70"/>
        <v>72.95</v>
      </c>
      <c r="I232" s="10"/>
      <c r="J232" s="10"/>
      <c r="K232" s="10"/>
      <c r="L232" s="10"/>
      <c r="M232" s="222">
        <f t="shared" si="71"/>
        <v>1</v>
      </c>
      <c r="N232" s="131">
        <f t="shared" si="72"/>
        <v>1</v>
      </c>
      <c r="O232" s="221">
        <f t="shared" si="73"/>
        <v>1</v>
      </c>
      <c r="P232" s="132">
        <f t="shared" si="74"/>
        <v>72.95</v>
      </c>
      <c r="Q232" s="10"/>
    </row>
    <row r="233" spans="1:17" ht="49.95" customHeight="1">
      <c r="A233" s="17" t="s">
        <v>298</v>
      </c>
      <c r="B233" s="33">
        <v>39470</v>
      </c>
      <c r="C233" s="34" t="s">
        <v>473</v>
      </c>
      <c r="D233" s="30" t="s">
        <v>37</v>
      </c>
      <c r="E233" s="30" t="s">
        <v>66</v>
      </c>
      <c r="F233" s="31">
        <v>1</v>
      </c>
      <c r="G233" s="32">
        <v>89.64</v>
      </c>
      <c r="H233" s="32">
        <f t="shared" si="70"/>
        <v>89.64</v>
      </c>
      <c r="I233" s="10"/>
      <c r="J233" s="10"/>
      <c r="K233" s="10"/>
      <c r="L233" s="10"/>
      <c r="M233" s="222">
        <f t="shared" si="71"/>
        <v>1</v>
      </c>
      <c r="N233" s="131">
        <f t="shared" si="72"/>
        <v>1</v>
      </c>
      <c r="O233" s="221">
        <f t="shared" si="73"/>
        <v>1</v>
      </c>
      <c r="P233" s="132">
        <f t="shared" si="74"/>
        <v>89.64</v>
      </c>
      <c r="Q233" s="10"/>
    </row>
    <row r="234" spans="1:17" ht="49.95" customHeight="1">
      <c r="A234" s="17" t="s">
        <v>299</v>
      </c>
      <c r="B234" s="33">
        <v>16</v>
      </c>
      <c r="C234" s="34" t="s">
        <v>474</v>
      </c>
      <c r="D234" s="30" t="s">
        <v>64</v>
      </c>
      <c r="E234" s="30" t="s">
        <v>5</v>
      </c>
      <c r="F234" s="31">
        <v>1</v>
      </c>
      <c r="G234" s="32">
        <v>196.6</v>
      </c>
      <c r="H234" s="32">
        <f t="shared" si="70"/>
        <v>196.6</v>
      </c>
      <c r="I234" s="10"/>
      <c r="J234" s="10"/>
      <c r="K234" s="10"/>
      <c r="L234" s="10"/>
      <c r="M234" s="222">
        <f t="shared" si="71"/>
        <v>1</v>
      </c>
      <c r="N234" s="131">
        <f t="shared" si="72"/>
        <v>1</v>
      </c>
      <c r="O234" s="221">
        <f t="shared" si="73"/>
        <v>1</v>
      </c>
      <c r="P234" s="132">
        <f t="shared" si="74"/>
        <v>196.6</v>
      </c>
      <c r="Q234" s="10"/>
    </row>
    <row r="235" spans="1:17" ht="49.95" customHeight="1">
      <c r="A235" s="17" t="s">
        <v>300</v>
      </c>
      <c r="B235" s="33">
        <v>93653</v>
      </c>
      <c r="C235" s="34" t="s">
        <v>475</v>
      </c>
      <c r="D235" s="30" t="s">
        <v>37</v>
      </c>
      <c r="E235" s="30" t="s">
        <v>66</v>
      </c>
      <c r="F235" s="31">
        <v>3</v>
      </c>
      <c r="G235" s="32">
        <v>12.41</v>
      </c>
      <c r="H235" s="32">
        <f t="shared" si="70"/>
        <v>37.230000000000004</v>
      </c>
      <c r="I235" s="10"/>
      <c r="J235" s="10"/>
      <c r="K235" s="10"/>
      <c r="L235" s="10"/>
      <c r="M235" s="222">
        <f t="shared" si="71"/>
        <v>3</v>
      </c>
      <c r="N235" s="131">
        <f t="shared" si="72"/>
        <v>3</v>
      </c>
      <c r="O235" s="221">
        <f t="shared" si="73"/>
        <v>1</v>
      </c>
      <c r="P235" s="132">
        <f t="shared" si="74"/>
        <v>37.230000000000004</v>
      </c>
      <c r="Q235" s="10"/>
    </row>
    <row r="236" spans="1:17" ht="49.95" customHeight="1">
      <c r="A236" s="17" t="s">
        <v>301</v>
      </c>
      <c r="B236" s="33">
        <v>93657</v>
      </c>
      <c r="C236" s="34" t="s">
        <v>477</v>
      </c>
      <c r="D236" s="30" t="s">
        <v>37</v>
      </c>
      <c r="E236" s="30" t="s">
        <v>66</v>
      </c>
      <c r="F236" s="31">
        <v>1</v>
      </c>
      <c r="G236" s="32">
        <v>16.21</v>
      </c>
      <c r="H236" s="32">
        <f t="shared" si="70"/>
        <v>16.21</v>
      </c>
      <c r="I236" s="10"/>
      <c r="J236" s="10"/>
      <c r="K236" s="10"/>
      <c r="L236" s="10"/>
      <c r="M236" s="222">
        <f t="shared" si="71"/>
        <v>1</v>
      </c>
      <c r="N236" s="131">
        <f t="shared" si="72"/>
        <v>1</v>
      </c>
      <c r="O236" s="221">
        <f t="shared" si="73"/>
        <v>1</v>
      </c>
      <c r="P236" s="132">
        <f t="shared" si="74"/>
        <v>16.21</v>
      </c>
      <c r="Q236" s="10"/>
    </row>
    <row r="237" spans="1:17" ht="20.100000000000001" customHeight="1">
      <c r="A237" s="5" t="s">
        <v>302</v>
      </c>
      <c r="B237" s="176" t="s">
        <v>303</v>
      </c>
      <c r="C237" s="177"/>
      <c r="D237" s="177"/>
      <c r="E237" s="177"/>
      <c r="F237" s="177"/>
      <c r="G237" s="178"/>
      <c r="H237" s="8">
        <f>SUM(H238:H255)</f>
        <v>7039.6363000000001</v>
      </c>
      <c r="I237" s="7"/>
      <c r="J237" s="7"/>
      <c r="K237" s="7"/>
      <c r="L237" s="7"/>
      <c r="M237" s="7"/>
      <c r="N237" s="7"/>
      <c r="O237" s="7"/>
      <c r="P237" s="7"/>
      <c r="Q237" s="7"/>
    </row>
    <row r="238" spans="1:17" ht="49.95" customHeight="1">
      <c r="A238" s="17" t="s">
        <v>304</v>
      </c>
      <c r="B238" s="55">
        <v>98102</v>
      </c>
      <c r="C238" s="34" t="s">
        <v>553</v>
      </c>
      <c r="D238" s="56" t="s">
        <v>37</v>
      </c>
      <c r="E238" s="38" t="s">
        <v>66</v>
      </c>
      <c r="F238" s="39">
        <v>1</v>
      </c>
      <c r="G238" s="60">
        <v>232.2</v>
      </c>
      <c r="H238" s="32">
        <f>F238*G238</f>
        <v>232.2</v>
      </c>
      <c r="I238" s="10"/>
      <c r="J238" s="11"/>
      <c r="K238" s="12"/>
      <c r="L238" s="13"/>
      <c r="M238" s="222">
        <f t="shared" si="71"/>
        <v>1</v>
      </c>
      <c r="N238" s="131">
        <f t="shared" si="72"/>
        <v>1</v>
      </c>
      <c r="O238" s="221">
        <f t="shared" si="73"/>
        <v>1</v>
      </c>
      <c r="P238" s="132">
        <f t="shared" si="74"/>
        <v>232.2</v>
      </c>
      <c r="Q238" s="12"/>
    </row>
    <row r="239" spans="1:17" ht="49.95" customHeight="1">
      <c r="A239" s="17" t="s">
        <v>305</v>
      </c>
      <c r="B239" s="57">
        <v>104063</v>
      </c>
      <c r="C239" s="58" t="s">
        <v>554</v>
      </c>
      <c r="D239" s="59" t="s">
        <v>37</v>
      </c>
      <c r="E239" s="28" t="s">
        <v>66</v>
      </c>
      <c r="F239" s="27">
        <v>1</v>
      </c>
      <c r="G239" s="73">
        <v>72.98</v>
      </c>
      <c r="H239" s="32">
        <f t="shared" ref="H239:H255" si="75">F239*G239</f>
        <v>72.98</v>
      </c>
      <c r="I239" s="10"/>
      <c r="J239" s="10"/>
      <c r="K239" s="10"/>
      <c r="L239" s="10"/>
      <c r="M239" s="222">
        <f t="shared" ref="M239:M255" si="76">F239</f>
        <v>1</v>
      </c>
      <c r="N239" s="131">
        <f t="shared" ref="N239:N255" si="77">F239+0</f>
        <v>1</v>
      </c>
      <c r="O239" s="221">
        <f t="shared" ref="O239:O255" si="78">N239/F239</f>
        <v>1</v>
      </c>
      <c r="P239" s="132">
        <f t="shared" ref="P239:P255" si="79">N239*G239</f>
        <v>72.98</v>
      </c>
      <c r="Q239" s="10"/>
    </row>
    <row r="240" spans="1:17" ht="49.95" customHeight="1">
      <c r="A240" s="17" t="s">
        <v>306</v>
      </c>
      <c r="B240" s="33">
        <v>89726</v>
      </c>
      <c r="C240" s="34" t="s">
        <v>498</v>
      </c>
      <c r="D240" s="30" t="s">
        <v>37</v>
      </c>
      <c r="E240" s="30" t="s">
        <v>66</v>
      </c>
      <c r="F240" s="31">
        <v>3</v>
      </c>
      <c r="G240" s="32">
        <v>10.95</v>
      </c>
      <c r="H240" s="32">
        <f t="shared" si="75"/>
        <v>32.849999999999994</v>
      </c>
      <c r="I240" s="10"/>
      <c r="J240" s="10"/>
      <c r="K240" s="10"/>
      <c r="L240" s="10"/>
      <c r="M240" s="222">
        <f t="shared" si="76"/>
        <v>3</v>
      </c>
      <c r="N240" s="131">
        <f t="shared" si="77"/>
        <v>3</v>
      </c>
      <c r="O240" s="221">
        <f t="shared" si="78"/>
        <v>1</v>
      </c>
      <c r="P240" s="132">
        <f t="shared" si="79"/>
        <v>32.849999999999994</v>
      </c>
      <c r="Q240" s="10"/>
    </row>
    <row r="241" spans="1:17" ht="49.95" customHeight="1">
      <c r="A241" s="17" t="s">
        <v>307</v>
      </c>
      <c r="B241" s="33">
        <v>89732</v>
      </c>
      <c r="C241" s="34" t="s">
        <v>499</v>
      </c>
      <c r="D241" s="30" t="s">
        <v>37</v>
      </c>
      <c r="E241" s="30" t="s">
        <v>66</v>
      </c>
      <c r="F241" s="31">
        <v>3</v>
      </c>
      <c r="G241" s="32">
        <v>17.82</v>
      </c>
      <c r="H241" s="32">
        <f t="shared" si="75"/>
        <v>53.46</v>
      </c>
      <c r="I241" s="10"/>
      <c r="J241" s="10"/>
      <c r="K241" s="10"/>
      <c r="L241" s="10"/>
      <c r="M241" s="222">
        <f t="shared" si="76"/>
        <v>3</v>
      </c>
      <c r="N241" s="131">
        <f t="shared" si="77"/>
        <v>3</v>
      </c>
      <c r="O241" s="221">
        <f t="shared" si="78"/>
        <v>1</v>
      </c>
      <c r="P241" s="132">
        <f t="shared" si="79"/>
        <v>53.46</v>
      </c>
      <c r="Q241" s="10"/>
    </row>
    <row r="242" spans="1:17" ht="49.95" customHeight="1">
      <c r="A242" s="17" t="s">
        <v>308</v>
      </c>
      <c r="B242" s="33">
        <v>89724</v>
      </c>
      <c r="C242" s="34" t="s">
        <v>500</v>
      </c>
      <c r="D242" s="30" t="s">
        <v>37</v>
      </c>
      <c r="E242" s="30" t="s">
        <v>66</v>
      </c>
      <c r="F242" s="31">
        <v>4</v>
      </c>
      <c r="G242" s="32">
        <v>10.7</v>
      </c>
      <c r="H242" s="32">
        <f t="shared" si="75"/>
        <v>42.8</v>
      </c>
      <c r="I242" s="10"/>
      <c r="J242" s="10"/>
      <c r="K242" s="10"/>
      <c r="L242" s="10"/>
      <c r="M242" s="222">
        <f t="shared" si="76"/>
        <v>4</v>
      </c>
      <c r="N242" s="131">
        <f t="shared" si="77"/>
        <v>4</v>
      </c>
      <c r="O242" s="221">
        <f t="shared" si="78"/>
        <v>1</v>
      </c>
      <c r="P242" s="132">
        <f t="shared" si="79"/>
        <v>42.8</v>
      </c>
      <c r="Q242" s="10"/>
    </row>
    <row r="243" spans="1:17" ht="49.95" customHeight="1">
      <c r="A243" s="17" t="s">
        <v>309</v>
      </c>
      <c r="B243" s="33">
        <v>89731</v>
      </c>
      <c r="C243" s="34" t="s">
        <v>465</v>
      </c>
      <c r="D243" s="30" t="s">
        <v>37</v>
      </c>
      <c r="E243" s="30" t="s">
        <v>66</v>
      </c>
      <c r="F243" s="31">
        <v>3</v>
      </c>
      <c r="G243" s="32">
        <v>17.02</v>
      </c>
      <c r="H243" s="32">
        <f t="shared" si="75"/>
        <v>51.06</v>
      </c>
      <c r="I243" s="10"/>
      <c r="J243" s="10"/>
      <c r="K243" s="10"/>
      <c r="L243" s="10"/>
      <c r="M243" s="222">
        <f t="shared" si="76"/>
        <v>3</v>
      </c>
      <c r="N243" s="131">
        <f t="shared" si="77"/>
        <v>3</v>
      </c>
      <c r="O243" s="221">
        <f t="shared" si="78"/>
        <v>1</v>
      </c>
      <c r="P243" s="132">
        <f t="shared" si="79"/>
        <v>51.06</v>
      </c>
      <c r="Q243" s="10"/>
    </row>
    <row r="244" spans="1:17" ht="49.95" customHeight="1">
      <c r="A244" s="17" t="s">
        <v>310</v>
      </c>
      <c r="B244" s="33">
        <v>89744</v>
      </c>
      <c r="C244" s="34" t="s">
        <v>501</v>
      </c>
      <c r="D244" s="30" t="s">
        <v>37</v>
      </c>
      <c r="E244" s="30" t="s">
        <v>66</v>
      </c>
      <c r="F244" s="31">
        <v>1</v>
      </c>
      <c r="G244" s="32">
        <v>31.13</v>
      </c>
      <c r="H244" s="32">
        <f t="shared" si="75"/>
        <v>31.13</v>
      </c>
      <c r="I244" s="10"/>
      <c r="J244" s="10"/>
      <c r="K244" s="10"/>
      <c r="L244" s="10"/>
      <c r="M244" s="222">
        <f t="shared" si="76"/>
        <v>1</v>
      </c>
      <c r="N244" s="131">
        <f t="shared" si="77"/>
        <v>1</v>
      </c>
      <c r="O244" s="221">
        <f t="shared" si="78"/>
        <v>1</v>
      </c>
      <c r="P244" s="132">
        <f t="shared" si="79"/>
        <v>31.13</v>
      </c>
      <c r="Q244" s="10"/>
    </row>
    <row r="245" spans="1:17" ht="49.95" customHeight="1">
      <c r="A245" s="17" t="s">
        <v>311</v>
      </c>
      <c r="B245" s="33">
        <v>104353</v>
      </c>
      <c r="C245" s="34" t="s">
        <v>503</v>
      </c>
      <c r="D245" s="30" t="s">
        <v>37</v>
      </c>
      <c r="E245" s="30" t="s">
        <v>66</v>
      </c>
      <c r="F245" s="31">
        <v>1</v>
      </c>
      <c r="G245" s="32">
        <v>46.81</v>
      </c>
      <c r="H245" s="32">
        <f t="shared" si="75"/>
        <v>46.81</v>
      </c>
      <c r="I245" s="10"/>
      <c r="J245" s="10"/>
      <c r="K245" s="10"/>
      <c r="L245" s="10"/>
      <c r="M245" s="222">
        <f t="shared" si="76"/>
        <v>1</v>
      </c>
      <c r="N245" s="131">
        <f t="shared" si="77"/>
        <v>1</v>
      </c>
      <c r="O245" s="221">
        <f t="shared" si="78"/>
        <v>1</v>
      </c>
      <c r="P245" s="132">
        <f t="shared" si="79"/>
        <v>46.81</v>
      </c>
      <c r="Q245" s="10"/>
    </row>
    <row r="246" spans="1:17" ht="49.95" customHeight="1">
      <c r="A246" s="17" t="s">
        <v>312</v>
      </c>
      <c r="B246" s="55">
        <v>89779</v>
      </c>
      <c r="C246" s="34" t="s">
        <v>555</v>
      </c>
      <c r="D246" s="56" t="s">
        <v>37</v>
      </c>
      <c r="E246" s="38" t="s">
        <v>66</v>
      </c>
      <c r="F246" s="39">
        <v>1</v>
      </c>
      <c r="G246" s="60">
        <v>38.67</v>
      </c>
      <c r="H246" s="32">
        <f t="shared" si="75"/>
        <v>38.67</v>
      </c>
      <c r="I246" s="10"/>
      <c r="J246" s="11"/>
      <c r="K246" s="12"/>
      <c r="L246" s="13"/>
      <c r="M246" s="222">
        <f t="shared" si="76"/>
        <v>1</v>
      </c>
      <c r="N246" s="131">
        <f t="shared" si="77"/>
        <v>1</v>
      </c>
      <c r="O246" s="221">
        <f t="shared" si="78"/>
        <v>1</v>
      </c>
      <c r="P246" s="132">
        <f t="shared" si="79"/>
        <v>38.67</v>
      </c>
      <c r="Q246" s="12"/>
    </row>
    <row r="247" spans="1:17" ht="49.95" customHeight="1">
      <c r="A247" s="17" t="s">
        <v>313</v>
      </c>
      <c r="B247" s="57">
        <v>104348</v>
      </c>
      <c r="C247" s="58" t="s">
        <v>504</v>
      </c>
      <c r="D247" s="59" t="s">
        <v>37</v>
      </c>
      <c r="E247" s="28" t="s">
        <v>66</v>
      </c>
      <c r="F247" s="27">
        <v>1</v>
      </c>
      <c r="G247" s="73">
        <v>11.64</v>
      </c>
      <c r="H247" s="32">
        <f t="shared" si="75"/>
        <v>11.64</v>
      </c>
      <c r="I247" s="10"/>
      <c r="J247" s="10"/>
      <c r="K247" s="10"/>
      <c r="L247" s="10"/>
      <c r="M247" s="222">
        <f t="shared" si="76"/>
        <v>1</v>
      </c>
      <c r="N247" s="131">
        <f t="shared" si="77"/>
        <v>1</v>
      </c>
      <c r="O247" s="221">
        <f t="shared" si="78"/>
        <v>1</v>
      </c>
      <c r="P247" s="132">
        <f t="shared" si="79"/>
        <v>11.64</v>
      </c>
      <c r="Q247" s="10"/>
    </row>
    <row r="248" spans="1:17" ht="49.95" customHeight="1">
      <c r="A248" s="17" t="s">
        <v>314</v>
      </c>
      <c r="B248" s="33">
        <v>89696</v>
      </c>
      <c r="C248" s="34" t="s">
        <v>556</v>
      </c>
      <c r="D248" s="30" t="s">
        <v>37</v>
      </c>
      <c r="E248" s="30" t="s">
        <v>66</v>
      </c>
      <c r="F248" s="31">
        <v>1</v>
      </c>
      <c r="G248" s="32">
        <v>92.4</v>
      </c>
      <c r="H248" s="32">
        <f t="shared" si="75"/>
        <v>92.4</v>
      </c>
      <c r="I248" s="10"/>
      <c r="J248" s="10"/>
      <c r="K248" s="10"/>
      <c r="L248" s="10"/>
      <c r="M248" s="222">
        <f t="shared" si="76"/>
        <v>1</v>
      </c>
      <c r="N248" s="131">
        <f t="shared" si="77"/>
        <v>1</v>
      </c>
      <c r="O248" s="221">
        <f t="shared" si="78"/>
        <v>1</v>
      </c>
      <c r="P248" s="132">
        <f t="shared" si="79"/>
        <v>92.4</v>
      </c>
      <c r="Q248" s="10"/>
    </row>
    <row r="249" spans="1:17" ht="49.95" customHeight="1">
      <c r="A249" s="17" t="s">
        <v>315</v>
      </c>
      <c r="B249" s="55">
        <v>104329</v>
      </c>
      <c r="C249" s="34" t="s">
        <v>507</v>
      </c>
      <c r="D249" s="56" t="s">
        <v>37</v>
      </c>
      <c r="E249" s="38" t="s">
        <v>66</v>
      </c>
      <c r="F249" s="39">
        <v>1</v>
      </c>
      <c r="G249" s="60">
        <v>77.48</v>
      </c>
      <c r="H249" s="32">
        <f t="shared" si="75"/>
        <v>77.48</v>
      </c>
      <c r="I249" s="10"/>
      <c r="J249" s="11"/>
      <c r="K249" s="12"/>
      <c r="L249" s="13"/>
      <c r="M249" s="222">
        <f t="shared" si="76"/>
        <v>1</v>
      </c>
      <c r="N249" s="131">
        <f t="shared" si="77"/>
        <v>1</v>
      </c>
      <c r="O249" s="221">
        <f t="shared" si="78"/>
        <v>1</v>
      </c>
      <c r="P249" s="132">
        <f t="shared" si="79"/>
        <v>77.48</v>
      </c>
      <c r="Q249" s="12"/>
    </row>
    <row r="250" spans="1:17" ht="49.95" customHeight="1">
      <c r="A250" s="17" t="s">
        <v>316</v>
      </c>
      <c r="B250" s="57">
        <v>11745</v>
      </c>
      <c r="C250" s="58" t="s">
        <v>557</v>
      </c>
      <c r="D250" s="59" t="s">
        <v>37</v>
      </c>
      <c r="E250" s="28" t="s">
        <v>66</v>
      </c>
      <c r="F250" s="27">
        <v>1</v>
      </c>
      <c r="G250" s="73">
        <v>14.66</v>
      </c>
      <c r="H250" s="32">
        <f t="shared" si="75"/>
        <v>14.66</v>
      </c>
      <c r="I250" s="10"/>
      <c r="J250" s="10"/>
      <c r="K250" s="10"/>
      <c r="L250" s="10"/>
      <c r="M250" s="222">
        <f t="shared" si="76"/>
        <v>1</v>
      </c>
      <c r="N250" s="131">
        <f t="shared" si="77"/>
        <v>1</v>
      </c>
      <c r="O250" s="221">
        <f t="shared" si="78"/>
        <v>1</v>
      </c>
      <c r="P250" s="132">
        <f t="shared" si="79"/>
        <v>14.66</v>
      </c>
      <c r="Q250" s="10"/>
    </row>
    <row r="251" spans="1:17" ht="49.95" customHeight="1">
      <c r="A251" s="17" t="s">
        <v>317</v>
      </c>
      <c r="B251" s="33">
        <v>89711</v>
      </c>
      <c r="C251" s="34" t="s">
        <v>558</v>
      </c>
      <c r="D251" s="30" t="s">
        <v>37</v>
      </c>
      <c r="E251" s="30" t="s">
        <v>38</v>
      </c>
      <c r="F251" s="31">
        <v>2.54</v>
      </c>
      <c r="G251" s="32">
        <v>23.31</v>
      </c>
      <c r="H251" s="32">
        <f>F251*G251-0.01</f>
        <v>59.197400000000002</v>
      </c>
      <c r="I251" s="10"/>
      <c r="J251" s="10"/>
      <c r="K251" s="10"/>
      <c r="L251" s="10"/>
      <c r="M251" s="222">
        <f t="shared" si="76"/>
        <v>2.54</v>
      </c>
      <c r="N251" s="131">
        <f t="shared" si="77"/>
        <v>2.54</v>
      </c>
      <c r="O251" s="221">
        <f t="shared" si="78"/>
        <v>1</v>
      </c>
      <c r="P251" s="132">
        <f t="shared" si="79"/>
        <v>59.2074</v>
      </c>
      <c r="Q251" s="10"/>
    </row>
    <row r="252" spans="1:17" ht="49.95" customHeight="1">
      <c r="A252" s="17" t="s">
        <v>318</v>
      </c>
      <c r="B252" s="33">
        <v>89712</v>
      </c>
      <c r="C252" s="34" t="s">
        <v>509</v>
      </c>
      <c r="D252" s="30" t="s">
        <v>37</v>
      </c>
      <c r="E252" s="30" t="s">
        <v>38</v>
      </c>
      <c r="F252" s="31">
        <v>5.05</v>
      </c>
      <c r="G252" s="32">
        <v>29.55</v>
      </c>
      <c r="H252" s="32">
        <f>F252*G252-0.01</f>
        <v>149.2175</v>
      </c>
      <c r="I252" s="10"/>
      <c r="J252" s="10"/>
      <c r="K252" s="10"/>
      <c r="L252" s="10"/>
      <c r="M252" s="222">
        <f t="shared" si="76"/>
        <v>5.05</v>
      </c>
      <c r="N252" s="131">
        <f t="shared" si="77"/>
        <v>5.05</v>
      </c>
      <c r="O252" s="221">
        <f t="shared" si="78"/>
        <v>1</v>
      </c>
      <c r="P252" s="132">
        <f t="shared" si="79"/>
        <v>149.22749999999999</v>
      </c>
      <c r="Q252" s="10"/>
    </row>
    <row r="253" spans="1:17" ht="49.95" customHeight="1">
      <c r="A253" s="17" t="s">
        <v>319</v>
      </c>
      <c r="B253" s="33">
        <v>89714</v>
      </c>
      <c r="C253" s="34" t="s">
        <v>510</v>
      </c>
      <c r="D253" s="30" t="s">
        <v>37</v>
      </c>
      <c r="E253" s="30" t="s">
        <v>38</v>
      </c>
      <c r="F253" s="31">
        <v>13.78</v>
      </c>
      <c r="G253" s="32">
        <v>41.13</v>
      </c>
      <c r="H253" s="32">
        <f t="shared" si="75"/>
        <v>566.77139999999997</v>
      </c>
      <c r="I253" s="10"/>
      <c r="J253" s="10"/>
      <c r="K253" s="10"/>
      <c r="L253" s="10"/>
      <c r="M253" s="222">
        <f t="shared" si="76"/>
        <v>13.78</v>
      </c>
      <c r="N253" s="131">
        <f t="shared" si="77"/>
        <v>13.78</v>
      </c>
      <c r="O253" s="221">
        <f t="shared" si="78"/>
        <v>1</v>
      </c>
      <c r="P253" s="132">
        <f t="shared" si="79"/>
        <v>566.77139999999997</v>
      </c>
      <c r="Q253" s="10"/>
    </row>
    <row r="254" spans="1:17" ht="49.95" customHeight="1">
      <c r="A254" s="17" t="s">
        <v>320</v>
      </c>
      <c r="B254" s="33">
        <v>89696</v>
      </c>
      <c r="C254" s="34" t="s">
        <v>556</v>
      </c>
      <c r="D254" s="30" t="s">
        <v>37</v>
      </c>
      <c r="E254" s="30" t="s">
        <v>66</v>
      </c>
      <c r="F254" s="31">
        <v>1</v>
      </c>
      <c r="G254" s="32">
        <v>92.4</v>
      </c>
      <c r="H254" s="32">
        <f t="shared" si="75"/>
        <v>92.4</v>
      </c>
      <c r="I254" s="10"/>
      <c r="J254" s="10"/>
      <c r="K254" s="10"/>
      <c r="L254" s="10"/>
      <c r="M254" s="222">
        <f t="shared" si="76"/>
        <v>1</v>
      </c>
      <c r="N254" s="131">
        <f t="shared" si="77"/>
        <v>1</v>
      </c>
      <c r="O254" s="221">
        <f t="shared" si="78"/>
        <v>1</v>
      </c>
      <c r="P254" s="132">
        <f t="shared" si="79"/>
        <v>92.4</v>
      </c>
      <c r="Q254" s="10"/>
    </row>
    <row r="255" spans="1:17" ht="49.95" customHeight="1">
      <c r="A255" s="17" t="s">
        <v>321</v>
      </c>
      <c r="B255" s="33">
        <v>98083</v>
      </c>
      <c r="C255" s="34" t="s">
        <v>559</v>
      </c>
      <c r="D255" s="30" t="s">
        <v>37</v>
      </c>
      <c r="E255" s="30" t="s">
        <v>66</v>
      </c>
      <c r="F255" s="31">
        <v>1</v>
      </c>
      <c r="G255" s="32">
        <v>5373.91</v>
      </c>
      <c r="H255" s="32">
        <f t="shared" si="75"/>
        <v>5373.91</v>
      </c>
      <c r="I255" s="10"/>
      <c r="J255" s="10"/>
      <c r="K255" s="10"/>
      <c r="L255" s="10"/>
      <c r="M255" s="222">
        <f t="shared" si="76"/>
        <v>1</v>
      </c>
      <c r="N255" s="131">
        <f t="shared" si="77"/>
        <v>1</v>
      </c>
      <c r="O255" s="221">
        <f t="shared" si="78"/>
        <v>1</v>
      </c>
      <c r="P255" s="132">
        <f t="shared" si="79"/>
        <v>5373.91</v>
      </c>
      <c r="Q255" s="10"/>
    </row>
    <row r="256" spans="1:17" ht="20.100000000000001" customHeight="1">
      <c r="A256" s="5" t="s">
        <v>322</v>
      </c>
      <c r="B256" s="176" t="s">
        <v>21</v>
      </c>
      <c r="C256" s="177"/>
      <c r="D256" s="177"/>
      <c r="E256" s="177"/>
      <c r="F256" s="177"/>
      <c r="G256" s="178"/>
      <c r="H256" s="8">
        <f>SUM(H257:H261)+0.01</f>
        <v>4274.7034000000003</v>
      </c>
      <c r="I256" s="7"/>
      <c r="J256" s="7"/>
      <c r="K256" s="7"/>
      <c r="L256" s="7"/>
      <c r="M256" s="7"/>
      <c r="N256" s="7"/>
      <c r="O256" s="7"/>
      <c r="P256" s="7"/>
      <c r="Q256" s="7"/>
    </row>
    <row r="257" spans="1:17" ht="49.95" customHeight="1">
      <c r="A257" s="17" t="s">
        <v>323</v>
      </c>
      <c r="B257" s="55">
        <v>94204</v>
      </c>
      <c r="C257" s="34" t="s">
        <v>517</v>
      </c>
      <c r="D257" s="56" t="s">
        <v>37</v>
      </c>
      <c r="E257" s="38" t="s">
        <v>63</v>
      </c>
      <c r="F257" s="39">
        <v>13.28</v>
      </c>
      <c r="G257" s="60">
        <v>52.95</v>
      </c>
      <c r="H257" s="32">
        <f>F257*G257-0.01</f>
        <v>703.16600000000005</v>
      </c>
      <c r="I257" s="10"/>
      <c r="J257" s="11"/>
      <c r="K257" s="12"/>
      <c r="L257" s="13"/>
      <c r="M257" s="11"/>
      <c r="N257" s="12"/>
      <c r="O257" s="13"/>
      <c r="P257" s="11"/>
      <c r="Q257" s="12"/>
    </row>
    <row r="258" spans="1:17" ht="49.95" customHeight="1">
      <c r="A258" s="17" t="s">
        <v>324</v>
      </c>
      <c r="B258" s="57">
        <v>92540</v>
      </c>
      <c r="C258" s="58" t="s">
        <v>518</v>
      </c>
      <c r="D258" s="59" t="s">
        <v>37</v>
      </c>
      <c r="E258" s="28" t="s">
        <v>63</v>
      </c>
      <c r="F258" s="27">
        <v>13.28</v>
      </c>
      <c r="G258" s="73">
        <v>92.74</v>
      </c>
      <c r="H258" s="32">
        <f>F258*G258-0.01</f>
        <v>1231.5771999999999</v>
      </c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ht="49.95" customHeight="1">
      <c r="A259" s="17" t="s">
        <v>325</v>
      </c>
      <c r="B259" s="33">
        <v>92545</v>
      </c>
      <c r="C259" s="34" t="s">
        <v>560</v>
      </c>
      <c r="D259" s="30" t="s">
        <v>37</v>
      </c>
      <c r="E259" s="30" t="s">
        <v>66</v>
      </c>
      <c r="F259" s="31">
        <v>2</v>
      </c>
      <c r="G259" s="32">
        <v>1118.8800000000001</v>
      </c>
      <c r="H259" s="32">
        <f t="shared" ref="H259:H260" si="80">F259*G259</f>
        <v>2237.7600000000002</v>
      </c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49.95" customHeight="1">
      <c r="A260" s="17" t="s">
        <v>326</v>
      </c>
      <c r="B260" s="33">
        <v>94221</v>
      </c>
      <c r="C260" s="34" t="s">
        <v>561</v>
      </c>
      <c r="D260" s="30" t="s">
        <v>37</v>
      </c>
      <c r="E260" s="30" t="s">
        <v>38</v>
      </c>
      <c r="F260" s="31">
        <v>3.2</v>
      </c>
      <c r="G260" s="32">
        <v>26.31</v>
      </c>
      <c r="H260" s="32">
        <f t="shared" si="80"/>
        <v>84.192000000000007</v>
      </c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ht="49.95" customHeight="1">
      <c r="A261" s="17" t="s">
        <v>327</v>
      </c>
      <c r="B261" s="33">
        <v>102233</v>
      </c>
      <c r="C261" s="34" t="s">
        <v>521</v>
      </c>
      <c r="D261" s="30" t="s">
        <v>37</v>
      </c>
      <c r="E261" s="30" t="s">
        <v>63</v>
      </c>
      <c r="F261" s="31">
        <v>1.33</v>
      </c>
      <c r="G261" s="32">
        <v>13.54</v>
      </c>
      <c r="H261" s="32">
        <f>F261*G261-0.01</f>
        <v>17.998199999999997</v>
      </c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ht="19.2" customHeight="1">
      <c r="A262" s="5" t="s">
        <v>328</v>
      </c>
      <c r="B262" s="176" t="s">
        <v>48</v>
      </c>
      <c r="C262" s="177"/>
      <c r="D262" s="177"/>
      <c r="E262" s="177"/>
      <c r="F262" s="177"/>
      <c r="G262" s="178"/>
      <c r="H262" s="8">
        <f>SUM(H263:H265)</f>
        <v>1059.2788</v>
      </c>
      <c r="I262" s="7"/>
      <c r="J262" s="7"/>
      <c r="K262" s="7"/>
      <c r="L262" s="7"/>
      <c r="M262" s="7"/>
      <c r="N262" s="7"/>
      <c r="O262" s="7"/>
      <c r="P262" s="7"/>
      <c r="Q262" s="7"/>
    </row>
    <row r="263" spans="1:17" ht="49.95" customHeight="1">
      <c r="A263" s="17" t="s">
        <v>329</v>
      </c>
      <c r="B263" s="55">
        <v>90822</v>
      </c>
      <c r="C263" s="34" t="s">
        <v>562</v>
      </c>
      <c r="D263" s="56" t="s">
        <v>37</v>
      </c>
      <c r="E263" s="38" t="s">
        <v>66</v>
      </c>
      <c r="F263" s="39">
        <v>1</v>
      </c>
      <c r="G263" s="60">
        <v>443.77</v>
      </c>
      <c r="H263" s="32">
        <f>F263*G263</f>
        <v>443.77</v>
      </c>
      <c r="I263" s="10"/>
      <c r="J263" s="11"/>
      <c r="K263" s="12"/>
      <c r="L263" s="13"/>
      <c r="M263" s="11"/>
      <c r="N263" s="12"/>
      <c r="O263" s="13"/>
      <c r="P263" s="11"/>
      <c r="Q263" s="12"/>
    </row>
    <row r="264" spans="1:17" ht="49.95" customHeight="1">
      <c r="A264" s="17" t="s">
        <v>330</v>
      </c>
      <c r="B264" s="57">
        <v>91010</v>
      </c>
      <c r="C264" s="58" t="s">
        <v>563</v>
      </c>
      <c r="D264" s="59" t="s">
        <v>37</v>
      </c>
      <c r="E264" s="28" t="s">
        <v>66</v>
      </c>
      <c r="F264" s="27">
        <v>1</v>
      </c>
      <c r="G264" s="73">
        <v>429.64</v>
      </c>
      <c r="H264" s="32">
        <f t="shared" ref="H264" si="81">F264*G264</f>
        <v>429.64</v>
      </c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ht="49.95" customHeight="1">
      <c r="A265" s="17" t="s">
        <v>331</v>
      </c>
      <c r="B265" s="33">
        <v>101162</v>
      </c>
      <c r="C265" s="34" t="s">
        <v>564</v>
      </c>
      <c r="D265" s="30" t="s">
        <v>37</v>
      </c>
      <c r="E265" s="30" t="s">
        <v>63</v>
      </c>
      <c r="F265" s="31">
        <v>1.08</v>
      </c>
      <c r="G265" s="32">
        <v>172.11</v>
      </c>
      <c r="H265" s="32">
        <f>F265*G265-0.01</f>
        <v>185.86880000000005</v>
      </c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ht="20.100000000000001" customHeight="1">
      <c r="A266" s="5">
        <v>4</v>
      </c>
      <c r="B266" s="176" t="s">
        <v>332</v>
      </c>
      <c r="C266" s="177"/>
      <c r="D266" s="177"/>
      <c r="E266" s="177"/>
      <c r="F266" s="177"/>
      <c r="G266" s="178"/>
      <c r="H266" s="8">
        <f>SUM(H267,H270,H281,H289)</f>
        <v>92757.999499999991</v>
      </c>
      <c r="I266" s="7"/>
      <c r="J266" s="7"/>
      <c r="K266" s="7"/>
      <c r="L266" s="7"/>
      <c r="M266" s="7"/>
      <c r="N266" s="7"/>
      <c r="O266" s="7"/>
      <c r="P266" s="7"/>
      <c r="Q266" s="7"/>
    </row>
    <row r="267" spans="1:17" ht="20.100000000000001" customHeight="1">
      <c r="A267" s="5" t="s">
        <v>22</v>
      </c>
      <c r="B267" s="179" t="s">
        <v>33</v>
      </c>
      <c r="C267" s="180"/>
      <c r="D267" s="180"/>
      <c r="E267" s="180"/>
      <c r="F267" s="180"/>
      <c r="G267" s="181"/>
      <c r="H267" s="8">
        <f>SUM(H268:H269)+0.01</f>
        <v>3514.0226999999995</v>
      </c>
      <c r="I267" s="7"/>
      <c r="J267" s="7"/>
      <c r="K267" s="7"/>
      <c r="L267" s="7"/>
      <c r="M267" s="7"/>
      <c r="N267" s="7"/>
      <c r="O267" s="7"/>
      <c r="P267" s="7"/>
      <c r="Q267" s="7"/>
    </row>
    <row r="268" spans="1:17" ht="49.95" customHeight="1">
      <c r="A268" s="17" t="s">
        <v>335</v>
      </c>
      <c r="B268" s="55">
        <v>93358</v>
      </c>
      <c r="C268" s="34" t="s">
        <v>410</v>
      </c>
      <c r="D268" s="56" t="s">
        <v>37</v>
      </c>
      <c r="E268" s="38" t="s">
        <v>65</v>
      </c>
      <c r="F268" s="39">
        <v>30.57</v>
      </c>
      <c r="G268" s="60">
        <v>96.82</v>
      </c>
      <c r="H268" s="32">
        <f>F268*G268-0.01</f>
        <v>2959.7773999999995</v>
      </c>
      <c r="I268" s="10"/>
      <c r="J268" s="130">
        <f t="shared" ref="J268:J269" si="82">K268/F268</f>
        <v>1</v>
      </c>
      <c r="K268" s="39">
        <v>30.57</v>
      </c>
      <c r="L268" s="134">
        <f t="shared" ref="L268:L269" si="83">J268*H268</f>
        <v>2959.7773999999995</v>
      </c>
      <c r="M268" s="130"/>
      <c r="N268" s="131">
        <f t="shared" ref="N268:N269" si="84">F268</f>
        <v>30.57</v>
      </c>
      <c r="O268" s="130">
        <f t="shared" ref="O268:O292" si="85">N268/F268</f>
        <v>1</v>
      </c>
      <c r="P268" s="130"/>
      <c r="Q268" s="219">
        <f t="shared" ref="Q268:Q286" si="86">L268+P268</f>
        <v>2959.7773999999995</v>
      </c>
    </row>
    <row r="269" spans="1:17" ht="49.95" customHeight="1">
      <c r="A269" s="17" t="s">
        <v>336</v>
      </c>
      <c r="B269" s="57">
        <v>104737</v>
      </c>
      <c r="C269" s="58" t="s">
        <v>411</v>
      </c>
      <c r="D269" s="59" t="s">
        <v>37</v>
      </c>
      <c r="E269" s="28" t="s">
        <v>65</v>
      </c>
      <c r="F269" s="27">
        <v>22.43</v>
      </c>
      <c r="G269" s="73">
        <v>24.71</v>
      </c>
      <c r="H269" s="32">
        <f>F269*G269-0.01</f>
        <v>554.23530000000005</v>
      </c>
      <c r="I269" s="10"/>
      <c r="J269" s="130">
        <f t="shared" si="82"/>
        <v>1</v>
      </c>
      <c r="K269" s="27">
        <v>22.43</v>
      </c>
      <c r="L269" s="134">
        <f t="shared" si="83"/>
        <v>554.23530000000005</v>
      </c>
      <c r="M269" s="130"/>
      <c r="N269" s="131">
        <f t="shared" si="84"/>
        <v>22.43</v>
      </c>
      <c r="O269" s="130">
        <f t="shared" si="85"/>
        <v>1</v>
      </c>
      <c r="P269" s="130"/>
      <c r="Q269" s="219">
        <f t="shared" si="86"/>
        <v>554.23530000000005</v>
      </c>
    </row>
    <row r="270" spans="1:17" ht="20.100000000000001" customHeight="1">
      <c r="A270" s="5" t="s">
        <v>333</v>
      </c>
      <c r="B270" s="176" t="s">
        <v>40</v>
      </c>
      <c r="C270" s="177"/>
      <c r="D270" s="177"/>
      <c r="E270" s="177"/>
      <c r="F270" s="177"/>
      <c r="G270" s="178"/>
      <c r="H270" s="8">
        <f>SUM(H271:H280)</f>
        <v>24777.845299999997</v>
      </c>
      <c r="I270" s="7"/>
      <c r="J270" s="7"/>
      <c r="K270" s="7"/>
      <c r="L270" s="7"/>
      <c r="M270" s="7"/>
      <c r="N270" s="7"/>
      <c r="O270" s="7"/>
      <c r="P270" s="7"/>
      <c r="Q270" s="7"/>
    </row>
    <row r="271" spans="1:17" ht="49.95" customHeight="1">
      <c r="A271" s="17" t="s">
        <v>337</v>
      </c>
      <c r="B271" s="55">
        <v>96619</v>
      </c>
      <c r="C271" s="34" t="s">
        <v>412</v>
      </c>
      <c r="D271" s="56" t="s">
        <v>37</v>
      </c>
      <c r="E271" s="38" t="s">
        <v>63</v>
      </c>
      <c r="F271" s="39">
        <v>20.49</v>
      </c>
      <c r="G271" s="60">
        <v>44.9</v>
      </c>
      <c r="H271" s="32">
        <f>F271*G271</f>
        <v>920.00099999999986</v>
      </c>
      <c r="I271" s="10"/>
      <c r="J271" s="130">
        <f t="shared" ref="J271:J280" si="87">K271/F271</f>
        <v>1</v>
      </c>
      <c r="K271" s="39">
        <v>20.49</v>
      </c>
      <c r="L271" s="134">
        <f t="shared" ref="L271:L286" si="88">J271*H271</f>
        <v>920.00099999999986</v>
      </c>
      <c r="M271" s="130"/>
      <c r="N271" s="131">
        <f t="shared" ref="N271:N286" si="89">F271</f>
        <v>20.49</v>
      </c>
      <c r="O271" s="130">
        <f t="shared" si="85"/>
        <v>1</v>
      </c>
      <c r="P271" s="130"/>
      <c r="Q271" s="219">
        <f t="shared" si="86"/>
        <v>920.00099999999986</v>
      </c>
    </row>
    <row r="272" spans="1:17" ht="49.95" customHeight="1">
      <c r="A272" s="17" t="s">
        <v>338</v>
      </c>
      <c r="B272" s="57">
        <v>101616</v>
      </c>
      <c r="C272" s="58" t="s">
        <v>413</v>
      </c>
      <c r="D272" s="59" t="s">
        <v>37</v>
      </c>
      <c r="E272" s="28" t="s">
        <v>63</v>
      </c>
      <c r="F272" s="27">
        <v>35</v>
      </c>
      <c r="G272" s="73">
        <v>7.07</v>
      </c>
      <c r="H272" s="32">
        <f t="shared" ref="H272:H278" si="90">F272*G272</f>
        <v>247.45000000000002</v>
      </c>
      <c r="I272" s="10"/>
      <c r="J272" s="130">
        <f t="shared" si="87"/>
        <v>1</v>
      </c>
      <c r="K272" s="27">
        <v>35</v>
      </c>
      <c r="L272" s="134">
        <f t="shared" si="88"/>
        <v>247.45000000000002</v>
      </c>
      <c r="M272" s="130"/>
      <c r="N272" s="131">
        <f t="shared" si="89"/>
        <v>35</v>
      </c>
      <c r="O272" s="130">
        <f t="shared" si="85"/>
        <v>1</v>
      </c>
      <c r="P272" s="130"/>
      <c r="Q272" s="219">
        <f t="shared" si="86"/>
        <v>247.45000000000002</v>
      </c>
    </row>
    <row r="273" spans="1:17" ht="49.95" customHeight="1">
      <c r="A273" s="17" t="s">
        <v>339</v>
      </c>
      <c r="B273" s="33">
        <v>94971</v>
      </c>
      <c r="C273" s="34" t="s">
        <v>414</v>
      </c>
      <c r="D273" s="30" t="s">
        <v>37</v>
      </c>
      <c r="E273" s="30" t="s">
        <v>65</v>
      </c>
      <c r="F273" s="31">
        <v>8.14</v>
      </c>
      <c r="G273" s="32">
        <v>559.80999999999995</v>
      </c>
      <c r="H273" s="32">
        <f t="shared" si="90"/>
        <v>4556.8534</v>
      </c>
      <c r="I273" s="10"/>
      <c r="J273" s="130">
        <f t="shared" si="87"/>
        <v>1</v>
      </c>
      <c r="K273" s="31">
        <v>8.14</v>
      </c>
      <c r="L273" s="134">
        <f t="shared" si="88"/>
        <v>4556.8534</v>
      </c>
      <c r="M273" s="130"/>
      <c r="N273" s="131">
        <f t="shared" si="89"/>
        <v>8.14</v>
      </c>
      <c r="O273" s="130">
        <f t="shared" si="85"/>
        <v>1</v>
      </c>
      <c r="P273" s="130"/>
      <c r="Q273" s="219">
        <f t="shared" si="86"/>
        <v>4556.8534</v>
      </c>
    </row>
    <row r="274" spans="1:17" ht="49.95" customHeight="1">
      <c r="A274" s="17" t="s">
        <v>340</v>
      </c>
      <c r="B274" s="33">
        <v>103670</v>
      </c>
      <c r="C274" s="34" t="s">
        <v>415</v>
      </c>
      <c r="D274" s="30" t="s">
        <v>37</v>
      </c>
      <c r="E274" s="30" t="s">
        <v>65</v>
      </c>
      <c r="F274" s="31">
        <v>8.14</v>
      </c>
      <c r="G274" s="32">
        <v>331.13</v>
      </c>
      <c r="H274" s="32">
        <f>F274*G274-0.01</f>
        <v>2695.3881999999999</v>
      </c>
      <c r="I274" s="10"/>
      <c r="J274" s="130">
        <f t="shared" si="87"/>
        <v>1</v>
      </c>
      <c r="K274" s="31">
        <v>8.14</v>
      </c>
      <c r="L274" s="134">
        <f t="shared" si="88"/>
        <v>2695.3881999999999</v>
      </c>
      <c r="M274" s="130"/>
      <c r="N274" s="131">
        <f t="shared" si="89"/>
        <v>8.14</v>
      </c>
      <c r="O274" s="130">
        <f t="shared" si="85"/>
        <v>1</v>
      </c>
      <c r="P274" s="130"/>
      <c r="Q274" s="219">
        <f t="shared" si="86"/>
        <v>2695.3881999999999</v>
      </c>
    </row>
    <row r="275" spans="1:17" ht="49.95" customHeight="1">
      <c r="A275" s="17" t="s">
        <v>341</v>
      </c>
      <c r="B275" s="33">
        <v>104927</v>
      </c>
      <c r="C275" s="34" t="s">
        <v>416</v>
      </c>
      <c r="D275" s="30" t="s">
        <v>37</v>
      </c>
      <c r="E275" s="30" t="s">
        <v>63</v>
      </c>
      <c r="F275" s="31">
        <v>22.77</v>
      </c>
      <c r="G275" s="32">
        <v>93.61</v>
      </c>
      <c r="H275" s="32">
        <f>F275*G275-0.01</f>
        <v>2131.4896999999996</v>
      </c>
      <c r="I275" s="10"/>
      <c r="J275" s="130">
        <f t="shared" si="87"/>
        <v>1</v>
      </c>
      <c r="K275" s="31">
        <v>22.77</v>
      </c>
      <c r="L275" s="134">
        <f t="shared" si="88"/>
        <v>2131.4896999999996</v>
      </c>
      <c r="M275" s="130"/>
      <c r="N275" s="131">
        <f t="shared" si="89"/>
        <v>22.77</v>
      </c>
      <c r="O275" s="130">
        <f t="shared" si="85"/>
        <v>1</v>
      </c>
      <c r="P275" s="130"/>
      <c r="Q275" s="219">
        <f t="shared" si="86"/>
        <v>2131.4896999999996</v>
      </c>
    </row>
    <row r="276" spans="1:17" ht="49.95" customHeight="1">
      <c r="A276" s="17" t="s">
        <v>342</v>
      </c>
      <c r="B276" s="33">
        <v>96542</v>
      </c>
      <c r="C276" s="34" t="s">
        <v>417</v>
      </c>
      <c r="D276" s="30" t="s">
        <v>37</v>
      </c>
      <c r="E276" s="30" t="s">
        <v>63</v>
      </c>
      <c r="F276" s="31">
        <v>45.05</v>
      </c>
      <c r="G276" s="32">
        <v>102.97</v>
      </c>
      <c r="H276" s="32">
        <f>F276*G276-0.01</f>
        <v>4638.7884999999997</v>
      </c>
      <c r="I276" s="10"/>
      <c r="J276" s="130">
        <f t="shared" si="87"/>
        <v>1</v>
      </c>
      <c r="K276" s="31">
        <v>45.05</v>
      </c>
      <c r="L276" s="134">
        <f t="shared" si="88"/>
        <v>4638.7884999999997</v>
      </c>
      <c r="M276" s="130"/>
      <c r="N276" s="131">
        <f t="shared" si="89"/>
        <v>45.05</v>
      </c>
      <c r="O276" s="130">
        <f t="shared" si="85"/>
        <v>1</v>
      </c>
      <c r="P276" s="130"/>
      <c r="Q276" s="219">
        <f t="shared" si="86"/>
        <v>4638.7884999999997</v>
      </c>
    </row>
    <row r="277" spans="1:17" ht="49.95" customHeight="1">
      <c r="A277" s="17" t="s">
        <v>343</v>
      </c>
      <c r="B277" s="33">
        <v>104917</v>
      </c>
      <c r="C277" s="34" t="s">
        <v>418</v>
      </c>
      <c r="D277" s="30" t="s">
        <v>37</v>
      </c>
      <c r="E277" s="30" t="s">
        <v>42</v>
      </c>
      <c r="F277" s="31">
        <v>138.69999999999999</v>
      </c>
      <c r="G277" s="32">
        <v>17.399999999999999</v>
      </c>
      <c r="H277" s="32">
        <f t="shared" si="90"/>
        <v>2413.3799999999997</v>
      </c>
      <c r="I277" s="10"/>
      <c r="J277" s="130">
        <f t="shared" si="87"/>
        <v>1</v>
      </c>
      <c r="K277" s="31">
        <v>138.69999999999999</v>
      </c>
      <c r="L277" s="134">
        <f t="shared" si="88"/>
        <v>2413.3799999999997</v>
      </c>
      <c r="M277" s="130"/>
      <c r="N277" s="131">
        <f t="shared" si="89"/>
        <v>138.69999999999999</v>
      </c>
      <c r="O277" s="130">
        <f t="shared" si="85"/>
        <v>1</v>
      </c>
      <c r="P277" s="130"/>
      <c r="Q277" s="219">
        <f t="shared" si="86"/>
        <v>2413.3799999999997</v>
      </c>
    </row>
    <row r="278" spans="1:17" ht="49.95" customHeight="1">
      <c r="A278" s="17" t="s">
        <v>344</v>
      </c>
      <c r="B278" s="33">
        <v>104916</v>
      </c>
      <c r="C278" s="34" t="s">
        <v>419</v>
      </c>
      <c r="D278" s="30" t="s">
        <v>37</v>
      </c>
      <c r="E278" s="30" t="s">
        <v>42</v>
      </c>
      <c r="F278" s="31">
        <v>89</v>
      </c>
      <c r="G278" s="32">
        <v>18.75</v>
      </c>
      <c r="H278" s="32">
        <f t="shared" si="90"/>
        <v>1668.75</v>
      </c>
      <c r="I278" s="10"/>
      <c r="J278" s="130">
        <f t="shared" si="87"/>
        <v>1</v>
      </c>
      <c r="K278" s="31">
        <v>89</v>
      </c>
      <c r="L278" s="134">
        <f t="shared" si="88"/>
        <v>1668.75</v>
      </c>
      <c r="M278" s="130"/>
      <c r="N278" s="131">
        <f t="shared" si="89"/>
        <v>89</v>
      </c>
      <c r="O278" s="130">
        <f t="shared" si="85"/>
        <v>1</v>
      </c>
      <c r="P278" s="130"/>
      <c r="Q278" s="219">
        <f t="shared" si="86"/>
        <v>1668.75</v>
      </c>
    </row>
    <row r="279" spans="1:17" ht="49.95" customHeight="1">
      <c r="A279" s="17" t="s">
        <v>345</v>
      </c>
      <c r="B279" s="55">
        <v>104918</v>
      </c>
      <c r="C279" s="34" t="s">
        <v>420</v>
      </c>
      <c r="D279" s="56" t="s">
        <v>37</v>
      </c>
      <c r="E279" s="38" t="s">
        <v>42</v>
      </c>
      <c r="F279" s="39">
        <v>122.8</v>
      </c>
      <c r="G279" s="60">
        <v>16.16</v>
      </c>
      <c r="H279" s="32">
        <f>F279*G279-0.01</f>
        <v>1984.4379999999999</v>
      </c>
      <c r="I279" s="10"/>
      <c r="J279" s="130">
        <f t="shared" si="87"/>
        <v>1</v>
      </c>
      <c r="K279" s="39">
        <v>122.8</v>
      </c>
      <c r="L279" s="134">
        <f t="shared" si="88"/>
        <v>1984.4379999999999</v>
      </c>
      <c r="M279" s="130"/>
      <c r="N279" s="131">
        <f t="shared" si="89"/>
        <v>122.8</v>
      </c>
      <c r="O279" s="130">
        <f t="shared" si="85"/>
        <v>1</v>
      </c>
      <c r="P279" s="130"/>
      <c r="Q279" s="219">
        <f t="shared" si="86"/>
        <v>1984.4379999999999</v>
      </c>
    </row>
    <row r="280" spans="1:17" ht="49.95" customHeight="1">
      <c r="A280" s="17" t="s">
        <v>346</v>
      </c>
      <c r="B280" s="57">
        <v>98557</v>
      </c>
      <c r="C280" s="58" t="s">
        <v>421</v>
      </c>
      <c r="D280" s="59" t="s">
        <v>37</v>
      </c>
      <c r="E280" s="28" t="s">
        <v>63</v>
      </c>
      <c r="F280" s="27">
        <v>65.27</v>
      </c>
      <c r="G280" s="73">
        <v>53.95</v>
      </c>
      <c r="H280" s="32">
        <f>F280*G280-0.01</f>
        <v>3521.3064999999997</v>
      </c>
      <c r="I280" s="10"/>
      <c r="J280" s="130">
        <f t="shared" si="87"/>
        <v>1</v>
      </c>
      <c r="K280" s="27">
        <v>65.27</v>
      </c>
      <c r="L280" s="134">
        <f t="shared" si="88"/>
        <v>3521.3064999999997</v>
      </c>
      <c r="M280" s="130"/>
      <c r="N280" s="131">
        <f t="shared" si="89"/>
        <v>65.27</v>
      </c>
      <c r="O280" s="130">
        <f t="shared" si="85"/>
        <v>1</v>
      </c>
      <c r="P280" s="130"/>
      <c r="Q280" s="219">
        <f t="shared" si="86"/>
        <v>3521.3064999999997</v>
      </c>
    </row>
    <row r="281" spans="1:17" ht="20.100000000000001" customHeight="1">
      <c r="A281" s="5" t="s">
        <v>334</v>
      </c>
      <c r="B281" s="176" t="s">
        <v>347</v>
      </c>
      <c r="C281" s="177"/>
      <c r="D281" s="177"/>
      <c r="E281" s="177"/>
      <c r="F281" s="177"/>
      <c r="G281" s="178"/>
      <c r="H281" s="8">
        <f>SUM(H282:H288)</f>
        <v>25900.380399999998</v>
      </c>
      <c r="I281" s="7"/>
      <c r="J281" s="7"/>
      <c r="K281" s="7"/>
      <c r="L281" s="7"/>
      <c r="M281" s="7"/>
      <c r="N281" s="7"/>
      <c r="O281" s="7"/>
      <c r="P281" s="7"/>
      <c r="Q281" s="7"/>
    </row>
    <row r="282" spans="1:17" ht="49.95" customHeight="1">
      <c r="A282" s="17" t="s">
        <v>348</v>
      </c>
      <c r="B282" s="55">
        <v>92429</v>
      </c>
      <c r="C282" s="34" t="s">
        <v>422</v>
      </c>
      <c r="D282" s="56" t="s">
        <v>37</v>
      </c>
      <c r="E282" s="38" t="s">
        <v>63</v>
      </c>
      <c r="F282" s="39">
        <v>77.22</v>
      </c>
      <c r="G282" s="60">
        <v>82.09</v>
      </c>
      <c r="H282" s="32">
        <f>F282*G282-0.01</f>
        <v>6338.9798000000001</v>
      </c>
      <c r="I282" s="10"/>
      <c r="J282" s="130">
        <f t="shared" ref="J282:J286" si="91">K282/F282</f>
        <v>1</v>
      </c>
      <c r="K282" s="39">
        <v>77.22</v>
      </c>
      <c r="L282" s="134">
        <f t="shared" si="88"/>
        <v>6338.9798000000001</v>
      </c>
      <c r="M282" s="130"/>
      <c r="N282" s="131">
        <f t="shared" si="89"/>
        <v>77.22</v>
      </c>
      <c r="O282" s="130">
        <f t="shared" si="85"/>
        <v>1</v>
      </c>
      <c r="P282" s="130"/>
      <c r="Q282" s="219">
        <f t="shared" si="86"/>
        <v>6338.9798000000001</v>
      </c>
    </row>
    <row r="283" spans="1:17" ht="49.95" customHeight="1">
      <c r="A283" s="17" t="s">
        <v>349</v>
      </c>
      <c r="B283" s="57">
        <v>92476</v>
      </c>
      <c r="C283" s="58" t="s">
        <v>565</v>
      </c>
      <c r="D283" s="59" t="s">
        <v>37</v>
      </c>
      <c r="E283" s="28" t="s">
        <v>63</v>
      </c>
      <c r="F283" s="27">
        <v>45.51</v>
      </c>
      <c r="G283" s="73">
        <v>101.44</v>
      </c>
      <c r="H283" s="32">
        <f t="shared" ref="H283:H288" si="92">F283*G283</f>
        <v>4616.5343999999996</v>
      </c>
      <c r="I283" s="10"/>
      <c r="J283" s="130">
        <f t="shared" si="91"/>
        <v>1</v>
      </c>
      <c r="K283" s="27">
        <v>45.51</v>
      </c>
      <c r="L283" s="134">
        <f t="shared" si="88"/>
        <v>4616.5343999999996</v>
      </c>
      <c r="M283" s="130"/>
      <c r="N283" s="131">
        <f t="shared" si="89"/>
        <v>45.51</v>
      </c>
      <c r="O283" s="130">
        <f t="shared" si="85"/>
        <v>1</v>
      </c>
      <c r="P283" s="130"/>
      <c r="Q283" s="219">
        <f t="shared" si="86"/>
        <v>4616.5343999999996</v>
      </c>
    </row>
    <row r="284" spans="1:17" ht="49.95" customHeight="1">
      <c r="A284" s="17" t="s">
        <v>350</v>
      </c>
      <c r="B284" s="33">
        <v>92759</v>
      </c>
      <c r="C284" s="34" t="s">
        <v>566</v>
      </c>
      <c r="D284" s="30" t="s">
        <v>37</v>
      </c>
      <c r="E284" s="30" t="s">
        <v>42</v>
      </c>
      <c r="F284" s="31">
        <v>143.80000000000001</v>
      </c>
      <c r="G284" s="32">
        <v>15.87</v>
      </c>
      <c r="H284" s="32">
        <f>F284*G284-0.01</f>
        <v>2282.096</v>
      </c>
      <c r="I284" s="10"/>
      <c r="J284" s="130">
        <f t="shared" si="91"/>
        <v>1</v>
      </c>
      <c r="K284" s="31">
        <v>143.80000000000001</v>
      </c>
      <c r="L284" s="134">
        <f t="shared" si="88"/>
        <v>2282.096</v>
      </c>
      <c r="M284" s="130"/>
      <c r="N284" s="131">
        <f t="shared" si="89"/>
        <v>143.80000000000001</v>
      </c>
      <c r="O284" s="130">
        <f t="shared" si="85"/>
        <v>1</v>
      </c>
      <c r="P284" s="130"/>
      <c r="Q284" s="219">
        <f t="shared" si="86"/>
        <v>2282.096</v>
      </c>
    </row>
    <row r="285" spans="1:17" ht="49.95" customHeight="1">
      <c r="A285" s="17" t="s">
        <v>351</v>
      </c>
      <c r="B285" s="33">
        <v>104108</v>
      </c>
      <c r="C285" s="34" t="s">
        <v>426</v>
      </c>
      <c r="D285" s="30" t="s">
        <v>37</v>
      </c>
      <c r="E285" s="30" t="s">
        <v>42</v>
      </c>
      <c r="F285" s="31">
        <v>305.89999999999998</v>
      </c>
      <c r="G285" s="32">
        <v>14.5</v>
      </c>
      <c r="H285" s="32">
        <f t="shared" si="92"/>
        <v>4435.5499999999993</v>
      </c>
      <c r="I285" s="10"/>
      <c r="J285" s="130">
        <f t="shared" si="91"/>
        <v>1</v>
      </c>
      <c r="K285" s="31">
        <v>305.89999999999998</v>
      </c>
      <c r="L285" s="134">
        <f t="shared" si="88"/>
        <v>4435.5499999999993</v>
      </c>
      <c r="M285" s="130"/>
      <c r="N285" s="131">
        <f t="shared" si="89"/>
        <v>305.89999999999998</v>
      </c>
      <c r="O285" s="130">
        <f t="shared" si="85"/>
        <v>1</v>
      </c>
      <c r="P285" s="130"/>
      <c r="Q285" s="219">
        <f t="shared" si="86"/>
        <v>4435.5499999999993</v>
      </c>
    </row>
    <row r="286" spans="1:17" ht="49.95" customHeight="1">
      <c r="A286" s="17" t="s">
        <v>352</v>
      </c>
      <c r="B286" s="33">
        <v>92761</v>
      </c>
      <c r="C286" s="34" t="s">
        <v>567</v>
      </c>
      <c r="D286" s="30" t="s">
        <v>37</v>
      </c>
      <c r="E286" s="30" t="s">
        <v>42</v>
      </c>
      <c r="F286" s="31">
        <v>120.5</v>
      </c>
      <c r="G286" s="32">
        <v>14.08</v>
      </c>
      <c r="H286" s="32">
        <f t="shared" si="92"/>
        <v>1696.64</v>
      </c>
      <c r="I286" s="10"/>
      <c r="J286" s="130">
        <f t="shared" si="91"/>
        <v>1</v>
      </c>
      <c r="K286" s="31">
        <v>120.5</v>
      </c>
      <c r="L286" s="134">
        <f t="shared" si="88"/>
        <v>1696.64</v>
      </c>
      <c r="M286" s="130"/>
      <c r="N286" s="131">
        <f t="shared" si="89"/>
        <v>120.5</v>
      </c>
      <c r="O286" s="130">
        <f t="shared" si="85"/>
        <v>1</v>
      </c>
      <c r="P286" s="130"/>
      <c r="Q286" s="219">
        <f t="shared" si="86"/>
        <v>1696.64</v>
      </c>
    </row>
    <row r="287" spans="1:17" ht="49.95" customHeight="1">
      <c r="A287" s="17" t="s">
        <v>353</v>
      </c>
      <c r="B287" s="33">
        <v>94971</v>
      </c>
      <c r="C287" s="34" t="s">
        <v>414</v>
      </c>
      <c r="D287" s="30" t="s">
        <v>37</v>
      </c>
      <c r="E287" s="30" t="s">
        <v>65</v>
      </c>
      <c r="F287" s="31">
        <v>7.33</v>
      </c>
      <c r="G287" s="32">
        <v>559.80999999999995</v>
      </c>
      <c r="H287" s="32">
        <f>F287*G287-0.01</f>
        <v>4103.3972999999996</v>
      </c>
      <c r="I287" s="10"/>
      <c r="J287" s="10"/>
      <c r="K287" s="10"/>
      <c r="L287" s="10"/>
      <c r="M287" s="222">
        <f t="shared" ref="M287:M292" si="93">F287</f>
        <v>7.33</v>
      </c>
      <c r="N287" s="131">
        <f t="shared" ref="N287:N292" si="94">F287+0</f>
        <v>7.33</v>
      </c>
      <c r="O287" s="221">
        <f t="shared" si="85"/>
        <v>1</v>
      </c>
      <c r="P287" s="132">
        <f t="shared" ref="P287:P292" si="95">N287*G287</f>
        <v>4103.4072999999999</v>
      </c>
      <c r="Q287" s="10"/>
    </row>
    <row r="288" spans="1:17" ht="49.95" customHeight="1">
      <c r="A288" s="17" t="s">
        <v>354</v>
      </c>
      <c r="B288" s="33">
        <v>103670</v>
      </c>
      <c r="C288" s="34" t="s">
        <v>415</v>
      </c>
      <c r="D288" s="30" t="s">
        <v>37</v>
      </c>
      <c r="E288" s="30" t="s">
        <v>65</v>
      </c>
      <c r="F288" s="31">
        <v>7.33</v>
      </c>
      <c r="G288" s="32">
        <v>331.13</v>
      </c>
      <c r="H288" s="32">
        <f t="shared" si="92"/>
        <v>2427.1828999999998</v>
      </c>
      <c r="I288" s="10"/>
      <c r="J288" s="10"/>
      <c r="K288" s="10"/>
      <c r="L288" s="10"/>
      <c r="M288" s="222">
        <f t="shared" si="93"/>
        <v>7.33</v>
      </c>
      <c r="N288" s="131">
        <f t="shared" si="94"/>
        <v>7.33</v>
      </c>
      <c r="O288" s="221">
        <f t="shared" si="85"/>
        <v>1</v>
      </c>
      <c r="P288" s="132">
        <f t="shared" si="95"/>
        <v>2427.1828999999998</v>
      </c>
      <c r="Q288" s="10"/>
    </row>
    <row r="289" spans="1:17" ht="20.100000000000001" customHeight="1">
      <c r="A289" s="5" t="s">
        <v>355</v>
      </c>
      <c r="B289" s="179" t="s">
        <v>356</v>
      </c>
      <c r="C289" s="180"/>
      <c r="D289" s="180"/>
      <c r="E289" s="180"/>
      <c r="F289" s="180"/>
      <c r="G289" s="181"/>
      <c r="H289" s="8">
        <f>SUM(H290:H297)+0.01</f>
        <v>38565.751099999994</v>
      </c>
      <c r="I289" s="7"/>
      <c r="J289" s="7"/>
      <c r="K289" s="7"/>
      <c r="L289" s="7"/>
      <c r="M289" s="7"/>
      <c r="N289" s="7"/>
      <c r="O289" s="7"/>
      <c r="P289" s="7"/>
      <c r="Q289" s="7"/>
    </row>
    <row r="290" spans="1:17" ht="49.95" customHeight="1">
      <c r="A290" s="17" t="s">
        <v>357</v>
      </c>
      <c r="B290" s="55">
        <v>103356</v>
      </c>
      <c r="C290" s="34" t="s">
        <v>431</v>
      </c>
      <c r="D290" s="56" t="s">
        <v>37</v>
      </c>
      <c r="E290" s="38" t="s">
        <v>63</v>
      </c>
      <c r="F290" s="39">
        <v>126.59</v>
      </c>
      <c r="G290" s="60">
        <v>67.73</v>
      </c>
      <c r="H290" s="32">
        <f>F290*G290</f>
        <v>8573.940700000001</v>
      </c>
      <c r="I290" s="10"/>
      <c r="J290" s="11"/>
      <c r="K290" s="12"/>
      <c r="L290" s="13"/>
      <c r="M290" s="222">
        <f t="shared" si="93"/>
        <v>126.59</v>
      </c>
      <c r="N290" s="131">
        <f t="shared" si="94"/>
        <v>126.59</v>
      </c>
      <c r="O290" s="221">
        <f t="shared" si="85"/>
        <v>1</v>
      </c>
      <c r="P290" s="132">
        <f t="shared" si="95"/>
        <v>8573.940700000001</v>
      </c>
      <c r="Q290" s="12"/>
    </row>
    <row r="291" spans="1:17" ht="49.95" customHeight="1">
      <c r="A291" s="17" t="s">
        <v>358</v>
      </c>
      <c r="B291" s="57">
        <v>87894</v>
      </c>
      <c r="C291" s="58" t="s">
        <v>568</v>
      </c>
      <c r="D291" s="59" t="s">
        <v>37</v>
      </c>
      <c r="E291" s="28" t="s">
        <v>63</v>
      </c>
      <c r="F291" s="27">
        <v>253.19</v>
      </c>
      <c r="G291" s="73">
        <v>7.56</v>
      </c>
      <c r="H291" s="32">
        <f>F291*G291-0.01</f>
        <v>1914.1063999999999</v>
      </c>
      <c r="I291" s="10"/>
      <c r="J291" s="10"/>
      <c r="K291" s="10"/>
      <c r="L291" s="10"/>
      <c r="M291" s="222">
        <f t="shared" si="93"/>
        <v>253.19</v>
      </c>
      <c r="N291" s="131">
        <f t="shared" si="94"/>
        <v>253.19</v>
      </c>
      <c r="O291" s="221">
        <f t="shared" si="85"/>
        <v>1</v>
      </c>
      <c r="P291" s="132">
        <f t="shared" si="95"/>
        <v>1914.1163999999999</v>
      </c>
      <c r="Q291" s="10"/>
    </row>
    <row r="292" spans="1:17" ht="49.95" customHeight="1">
      <c r="A292" s="17" t="s">
        <v>359</v>
      </c>
      <c r="B292" s="33">
        <v>87792</v>
      </c>
      <c r="C292" s="34" t="s">
        <v>569</v>
      </c>
      <c r="D292" s="30" t="s">
        <v>37</v>
      </c>
      <c r="E292" s="30" t="s">
        <v>63</v>
      </c>
      <c r="F292" s="31">
        <v>253.19</v>
      </c>
      <c r="G292" s="32">
        <v>44.72</v>
      </c>
      <c r="H292" s="32">
        <f>F292*G292-0.01</f>
        <v>11322.646799999999</v>
      </c>
      <c r="I292" s="10"/>
      <c r="J292" s="10"/>
      <c r="K292" s="10"/>
      <c r="L292" s="10"/>
      <c r="M292" s="222">
        <f t="shared" si="93"/>
        <v>253.19</v>
      </c>
      <c r="N292" s="131">
        <f t="shared" si="94"/>
        <v>253.19</v>
      </c>
      <c r="O292" s="221">
        <f t="shared" si="85"/>
        <v>1</v>
      </c>
      <c r="P292" s="132">
        <f t="shared" si="95"/>
        <v>11322.656799999999</v>
      </c>
      <c r="Q292" s="10"/>
    </row>
    <row r="293" spans="1:17" ht="49.95" customHeight="1">
      <c r="A293" s="17" t="s">
        <v>360</v>
      </c>
      <c r="B293" s="33">
        <v>88485</v>
      </c>
      <c r="C293" s="34" t="s">
        <v>530</v>
      </c>
      <c r="D293" s="30" t="s">
        <v>37</v>
      </c>
      <c r="E293" s="30" t="s">
        <v>63</v>
      </c>
      <c r="F293" s="31">
        <v>102.07</v>
      </c>
      <c r="G293" s="32">
        <v>4.2699999999999996</v>
      </c>
      <c r="H293" s="32">
        <f>F293*G293-0.01</f>
        <v>435.82889999999992</v>
      </c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ht="49.95" customHeight="1">
      <c r="A294" s="17" t="s">
        <v>361</v>
      </c>
      <c r="B294" s="33">
        <v>88497</v>
      </c>
      <c r="C294" s="34" t="s">
        <v>528</v>
      </c>
      <c r="D294" s="30" t="s">
        <v>37</v>
      </c>
      <c r="E294" s="30" t="s">
        <v>63</v>
      </c>
      <c r="F294" s="31">
        <v>253.19</v>
      </c>
      <c r="G294" s="32">
        <v>18.440000000000001</v>
      </c>
      <c r="H294" s="32">
        <f t="shared" ref="H294:H296" si="96">F294*G294</f>
        <v>4668.8236000000006</v>
      </c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ht="49.95" customHeight="1">
      <c r="A295" s="17" t="s">
        <v>362</v>
      </c>
      <c r="B295" s="33">
        <v>88489</v>
      </c>
      <c r="C295" s="34" t="s">
        <v>529</v>
      </c>
      <c r="D295" s="30" t="s">
        <v>37</v>
      </c>
      <c r="E295" s="30" t="s">
        <v>63</v>
      </c>
      <c r="F295" s="31">
        <v>253.19</v>
      </c>
      <c r="G295" s="32">
        <v>14.05</v>
      </c>
      <c r="H295" s="32">
        <f>F295*G295-0.01</f>
        <v>3557.3094999999998</v>
      </c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49.95" customHeight="1">
      <c r="A296" s="17" t="s">
        <v>363</v>
      </c>
      <c r="B296" s="33">
        <v>10</v>
      </c>
      <c r="C296" s="34" t="s">
        <v>570</v>
      </c>
      <c r="D296" s="30" t="s">
        <v>64</v>
      </c>
      <c r="E296" s="30" t="s">
        <v>63</v>
      </c>
      <c r="F296" s="31">
        <v>30</v>
      </c>
      <c r="G296" s="32">
        <v>189.69</v>
      </c>
      <c r="H296" s="32">
        <f t="shared" si="96"/>
        <v>5690.7</v>
      </c>
      <c r="I296" s="10"/>
      <c r="J296" s="10"/>
      <c r="K296" s="10"/>
      <c r="L296" s="10"/>
      <c r="M296" s="222">
        <f t="shared" ref="M296:M297" si="97">F296</f>
        <v>30</v>
      </c>
      <c r="N296" s="131">
        <f t="shared" ref="N296:N297" si="98">F296+0</f>
        <v>30</v>
      </c>
      <c r="O296" s="221">
        <f t="shared" ref="O296:O297" si="99">N296/F296</f>
        <v>1</v>
      </c>
      <c r="P296" s="132">
        <f t="shared" ref="P296:P297" si="100">N296*G296</f>
        <v>5690.7</v>
      </c>
      <c r="Q296" s="10"/>
    </row>
    <row r="297" spans="1:17" ht="49.95" customHeight="1">
      <c r="A297" s="17" t="s">
        <v>364</v>
      </c>
      <c r="B297" s="33">
        <v>24</v>
      </c>
      <c r="C297" s="34" t="s">
        <v>571</v>
      </c>
      <c r="D297" s="30" t="s">
        <v>64</v>
      </c>
      <c r="E297" s="30" t="s">
        <v>38</v>
      </c>
      <c r="F297" s="31">
        <v>39.96</v>
      </c>
      <c r="G297" s="32">
        <v>60.12</v>
      </c>
      <c r="H297" s="32">
        <f>F297*G297-0.01</f>
        <v>2402.3851999999997</v>
      </c>
      <c r="I297" s="10"/>
      <c r="J297" s="10"/>
      <c r="K297" s="10"/>
      <c r="L297" s="10"/>
      <c r="M297" s="222">
        <f t="shared" si="97"/>
        <v>39.96</v>
      </c>
      <c r="N297" s="131">
        <f t="shared" si="98"/>
        <v>39.96</v>
      </c>
      <c r="O297" s="221">
        <f t="shared" si="99"/>
        <v>1</v>
      </c>
      <c r="P297" s="132">
        <f t="shared" si="100"/>
        <v>2402.3951999999999</v>
      </c>
      <c r="Q297" s="10"/>
    </row>
    <row r="298" spans="1:17" ht="20.100000000000001" customHeight="1">
      <c r="A298" s="5">
        <v>5</v>
      </c>
      <c r="B298" s="176" t="s">
        <v>365</v>
      </c>
      <c r="C298" s="177"/>
      <c r="D298" s="177"/>
      <c r="E298" s="177"/>
      <c r="F298" s="177"/>
      <c r="G298" s="178"/>
      <c r="H298" s="8">
        <f>SUM(H299,H310,H314)+0.01</f>
        <v>82217.371799999994</v>
      </c>
      <c r="I298" s="7"/>
      <c r="J298" s="7"/>
      <c r="K298" s="7"/>
      <c r="L298" s="7"/>
      <c r="M298" s="7"/>
      <c r="N298" s="7"/>
      <c r="O298" s="7"/>
      <c r="P298" s="7"/>
      <c r="Q298" s="7"/>
    </row>
    <row r="299" spans="1:17" ht="20.100000000000001" customHeight="1">
      <c r="A299" s="5" t="s">
        <v>23</v>
      </c>
      <c r="B299" s="176" t="s">
        <v>366</v>
      </c>
      <c r="C299" s="177"/>
      <c r="D299" s="177"/>
      <c r="E299" s="177"/>
      <c r="F299" s="177"/>
      <c r="G299" s="178"/>
      <c r="H299" s="8">
        <f>SUM(H300:H309)</f>
        <v>71588.159299999999</v>
      </c>
      <c r="I299" s="7"/>
      <c r="J299" s="7"/>
      <c r="K299" s="7"/>
      <c r="L299" s="7"/>
      <c r="M299" s="7"/>
      <c r="N299" s="7"/>
      <c r="O299" s="7"/>
      <c r="P299" s="7"/>
      <c r="Q299" s="7"/>
    </row>
    <row r="300" spans="1:17" ht="49.95" customHeight="1">
      <c r="A300" s="17" t="s">
        <v>367</v>
      </c>
      <c r="B300" s="33">
        <v>93679</v>
      </c>
      <c r="C300" s="34" t="s">
        <v>572</v>
      </c>
      <c r="D300" s="56" t="s">
        <v>37</v>
      </c>
      <c r="E300" s="38" t="s">
        <v>63</v>
      </c>
      <c r="F300" s="39">
        <v>192</v>
      </c>
      <c r="G300" s="60">
        <v>93.84</v>
      </c>
      <c r="H300" s="32">
        <f>F300*G300</f>
        <v>18017.28</v>
      </c>
      <c r="I300" s="10"/>
      <c r="J300" s="11"/>
      <c r="K300" s="12"/>
      <c r="L300" s="13"/>
      <c r="M300" s="11"/>
      <c r="N300" s="12"/>
      <c r="O300" s="13"/>
      <c r="P300" s="11"/>
      <c r="Q300" s="12"/>
    </row>
    <row r="301" spans="1:17" ht="49.95" customHeight="1">
      <c r="A301" s="17" t="s">
        <v>368</v>
      </c>
      <c r="B301" s="57">
        <v>94275</v>
      </c>
      <c r="C301" s="58" t="s">
        <v>573</v>
      </c>
      <c r="D301" s="59" t="s">
        <v>37</v>
      </c>
      <c r="E301" s="28" t="s">
        <v>38</v>
      </c>
      <c r="F301" s="27">
        <v>132.02000000000001</v>
      </c>
      <c r="G301" s="73">
        <v>39.94</v>
      </c>
      <c r="H301" s="32">
        <f>F301*G301-0.01</f>
        <v>5272.8688000000002</v>
      </c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ht="49.95" customHeight="1">
      <c r="A302" s="17" t="s">
        <v>369</v>
      </c>
      <c r="B302" s="33">
        <v>94276</v>
      </c>
      <c r="C302" s="34" t="s">
        <v>574</v>
      </c>
      <c r="D302" s="30" t="s">
        <v>37</v>
      </c>
      <c r="E302" s="30" t="s">
        <v>38</v>
      </c>
      <c r="F302" s="31">
        <v>121.37</v>
      </c>
      <c r="G302" s="32">
        <v>43.06</v>
      </c>
      <c r="H302" s="32">
        <f t="shared" ref="H302:H309" si="101">F302*G302</f>
        <v>5226.1922000000004</v>
      </c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ht="49.95" customHeight="1">
      <c r="A303" s="17" t="s">
        <v>370</v>
      </c>
      <c r="B303" s="33">
        <v>92397</v>
      </c>
      <c r="C303" s="34" t="s">
        <v>575</v>
      </c>
      <c r="D303" s="30" t="s">
        <v>37</v>
      </c>
      <c r="E303" s="30" t="s">
        <v>63</v>
      </c>
      <c r="F303" s="31">
        <v>400</v>
      </c>
      <c r="G303" s="32">
        <v>73.92</v>
      </c>
      <c r="H303" s="32">
        <f t="shared" si="101"/>
        <v>29568</v>
      </c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49.95" customHeight="1">
      <c r="A304" s="17" t="s">
        <v>371</v>
      </c>
      <c r="B304" s="33">
        <v>105004</v>
      </c>
      <c r="C304" s="34" t="s">
        <v>576</v>
      </c>
      <c r="D304" s="30" t="s">
        <v>37</v>
      </c>
      <c r="E304" s="30" t="s">
        <v>63</v>
      </c>
      <c r="F304" s="31">
        <v>5.0999999999999996</v>
      </c>
      <c r="G304" s="32">
        <v>134.66999999999999</v>
      </c>
      <c r="H304" s="32">
        <f>F304*G304-0.01</f>
        <v>686.8069999999999</v>
      </c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49.95" customHeight="1">
      <c r="A305" s="17" t="s">
        <v>372</v>
      </c>
      <c r="B305" s="33">
        <v>102498</v>
      </c>
      <c r="C305" s="34" t="s">
        <v>577</v>
      </c>
      <c r="D305" s="30" t="s">
        <v>37</v>
      </c>
      <c r="E305" s="30" t="s">
        <v>38</v>
      </c>
      <c r="F305" s="31">
        <v>253.39</v>
      </c>
      <c r="G305" s="32">
        <v>1.77</v>
      </c>
      <c r="H305" s="32">
        <f t="shared" si="101"/>
        <v>448.50029999999998</v>
      </c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49.95" customHeight="1">
      <c r="A306" s="17" t="s">
        <v>373</v>
      </c>
      <c r="B306" s="33">
        <v>104658</v>
      </c>
      <c r="C306" s="34" t="s">
        <v>578</v>
      </c>
      <c r="D306" s="30" t="s">
        <v>37</v>
      </c>
      <c r="E306" s="30" t="s">
        <v>63</v>
      </c>
      <c r="F306" s="31">
        <v>38</v>
      </c>
      <c r="G306" s="32">
        <v>156.38999999999999</v>
      </c>
      <c r="H306" s="32">
        <f t="shared" si="101"/>
        <v>5942.82</v>
      </c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49.95" customHeight="1">
      <c r="A307" s="17" t="s">
        <v>374</v>
      </c>
      <c r="B307" s="33">
        <v>104658</v>
      </c>
      <c r="C307" s="34" t="s">
        <v>578</v>
      </c>
      <c r="D307" s="30" t="s">
        <v>37</v>
      </c>
      <c r="E307" s="30" t="s">
        <v>63</v>
      </c>
      <c r="F307" s="31">
        <v>1</v>
      </c>
      <c r="G307" s="32">
        <v>156.38999999999999</v>
      </c>
      <c r="H307" s="32">
        <f t="shared" si="101"/>
        <v>156.38999999999999</v>
      </c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49.95" customHeight="1">
      <c r="A308" s="17" t="s">
        <v>375</v>
      </c>
      <c r="B308" s="55">
        <v>102494</v>
      </c>
      <c r="C308" s="34" t="s">
        <v>579</v>
      </c>
      <c r="D308" s="56" t="s">
        <v>37</v>
      </c>
      <c r="E308" s="38" t="s">
        <v>63</v>
      </c>
      <c r="F308" s="39">
        <v>5.0999999999999996</v>
      </c>
      <c r="G308" s="60">
        <v>67.510000000000005</v>
      </c>
      <c r="H308" s="32">
        <f t="shared" si="101"/>
        <v>344.30099999999999</v>
      </c>
      <c r="I308" s="10"/>
      <c r="J308" s="11"/>
      <c r="K308" s="12"/>
      <c r="L308" s="13"/>
      <c r="M308" s="11"/>
      <c r="N308" s="12"/>
      <c r="O308" s="13"/>
      <c r="P308" s="11"/>
      <c r="Q308" s="12"/>
    </row>
    <row r="309" spans="1:17" ht="49.95" customHeight="1">
      <c r="A309" s="17" t="s">
        <v>376</v>
      </c>
      <c r="B309" s="57">
        <v>103946</v>
      </c>
      <c r="C309" s="58" t="s">
        <v>580</v>
      </c>
      <c r="D309" s="59" t="s">
        <v>37</v>
      </c>
      <c r="E309" s="28" t="s">
        <v>63</v>
      </c>
      <c r="F309" s="27">
        <v>250</v>
      </c>
      <c r="G309" s="73">
        <v>23.7</v>
      </c>
      <c r="H309" s="32">
        <f t="shared" si="101"/>
        <v>5925</v>
      </c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ht="20.100000000000001" customHeight="1">
      <c r="A310" s="5" t="s">
        <v>34</v>
      </c>
      <c r="B310" s="179" t="s">
        <v>377</v>
      </c>
      <c r="C310" s="180"/>
      <c r="D310" s="180"/>
      <c r="E310" s="180"/>
      <c r="F310" s="180"/>
      <c r="G310" s="181"/>
      <c r="H310" s="8">
        <f>SUM(H311:H313)-0.01</f>
        <v>2906.4566999999997</v>
      </c>
      <c r="I310" s="7"/>
      <c r="J310" s="7"/>
      <c r="K310" s="7"/>
      <c r="L310" s="7"/>
      <c r="M310" s="7"/>
      <c r="N310" s="7"/>
      <c r="O310" s="7"/>
      <c r="P310" s="7"/>
      <c r="Q310" s="7"/>
    </row>
    <row r="311" spans="1:17" ht="49.95" customHeight="1">
      <c r="A311" s="17" t="s">
        <v>378</v>
      </c>
      <c r="B311" s="55">
        <v>103946</v>
      </c>
      <c r="C311" s="34" t="s">
        <v>580</v>
      </c>
      <c r="D311" s="56" t="s">
        <v>37</v>
      </c>
      <c r="E311" s="38" t="s">
        <v>63</v>
      </c>
      <c r="F311" s="39">
        <v>25.69</v>
      </c>
      <c r="G311" s="60">
        <v>23.7</v>
      </c>
      <c r="H311" s="32">
        <f>F311*G311</f>
        <v>608.85300000000007</v>
      </c>
      <c r="I311" s="10"/>
      <c r="J311" s="11"/>
      <c r="K311" s="12"/>
      <c r="L311" s="13"/>
      <c r="M311" s="11"/>
      <c r="N311" s="12"/>
      <c r="O311" s="13"/>
      <c r="P311" s="11"/>
      <c r="Q311" s="12"/>
    </row>
    <row r="312" spans="1:17" ht="49.95" customHeight="1">
      <c r="A312" s="17" t="s">
        <v>379</v>
      </c>
      <c r="B312" s="57">
        <v>105521</v>
      </c>
      <c r="C312" s="58" t="s">
        <v>581</v>
      </c>
      <c r="D312" s="59" t="s">
        <v>37</v>
      </c>
      <c r="E312" s="28" t="s">
        <v>63</v>
      </c>
      <c r="F312" s="27">
        <v>25.69</v>
      </c>
      <c r="G312" s="73">
        <v>3.73</v>
      </c>
      <c r="H312" s="32">
        <f t="shared" ref="H312:H313" si="102">F312*G312</f>
        <v>95.823700000000002</v>
      </c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ht="49.95" customHeight="1">
      <c r="A313" s="17" t="s">
        <v>380</v>
      </c>
      <c r="B313" s="33">
        <v>25</v>
      </c>
      <c r="C313" s="34" t="s">
        <v>582</v>
      </c>
      <c r="D313" s="30" t="s">
        <v>64</v>
      </c>
      <c r="E313" s="30" t="s">
        <v>5</v>
      </c>
      <c r="F313" s="31">
        <v>3</v>
      </c>
      <c r="G313" s="32">
        <v>733.93</v>
      </c>
      <c r="H313" s="32">
        <f t="shared" si="102"/>
        <v>2201.79</v>
      </c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20.100000000000001" customHeight="1">
      <c r="A314" s="5" t="s">
        <v>35</v>
      </c>
      <c r="B314" s="176" t="s">
        <v>381</v>
      </c>
      <c r="C314" s="177"/>
      <c r="D314" s="177"/>
      <c r="E314" s="177"/>
      <c r="F314" s="177"/>
      <c r="G314" s="178"/>
      <c r="H314" s="8">
        <f>SUM(H315:H323)</f>
        <v>7722.7457999999997</v>
      </c>
      <c r="I314" s="7"/>
      <c r="J314" s="7"/>
      <c r="K314" s="7"/>
      <c r="L314" s="7"/>
      <c r="M314" s="7"/>
      <c r="N314" s="7"/>
      <c r="O314" s="7"/>
      <c r="P314" s="7"/>
      <c r="Q314" s="7"/>
    </row>
    <row r="315" spans="1:17" ht="49.95" customHeight="1">
      <c r="A315" s="17" t="s">
        <v>382</v>
      </c>
      <c r="B315" s="55">
        <v>93358</v>
      </c>
      <c r="C315" s="34" t="s">
        <v>410</v>
      </c>
      <c r="D315" s="56" t="s">
        <v>37</v>
      </c>
      <c r="E315" s="38" t="s">
        <v>65</v>
      </c>
      <c r="F315" s="39">
        <v>1.92</v>
      </c>
      <c r="G315" s="60">
        <v>96.82</v>
      </c>
      <c r="H315" s="32">
        <f>F315*G315</f>
        <v>185.89439999999999</v>
      </c>
      <c r="I315" s="10"/>
      <c r="J315" s="11"/>
      <c r="K315" s="12"/>
      <c r="L315" s="13"/>
      <c r="M315" s="222">
        <f t="shared" ref="M315" si="103">F315</f>
        <v>1.92</v>
      </c>
      <c r="N315" s="131">
        <f t="shared" ref="N315" si="104">F315+0</f>
        <v>1.92</v>
      </c>
      <c r="O315" s="221">
        <f t="shared" ref="O315" si="105">N315/F315</f>
        <v>1</v>
      </c>
      <c r="P315" s="132">
        <f t="shared" ref="P315" si="106">N315*G315</f>
        <v>185.89439999999999</v>
      </c>
      <c r="Q315" s="12"/>
    </row>
    <row r="316" spans="1:17" ht="49.95" customHeight="1">
      <c r="A316" s="17" t="s">
        <v>383</v>
      </c>
      <c r="B316" s="57">
        <v>101616</v>
      </c>
      <c r="C316" s="58" t="s">
        <v>413</v>
      </c>
      <c r="D316" s="59" t="s">
        <v>37</v>
      </c>
      <c r="E316" s="28" t="s">
        <v>63</v>
      </c>
      <c r="F316" s="27">
        <v>6.4</v>
      </c>
      <c r="G316" s="73">
        <v>7.07</v>
      </c>
      <c r="H316" s="32">
        <f>F316*G316-0.01</f>
        <v>45.238000000000007</v>
      </c>
      <c r="I316" s="10"/>
      <c r="J316" s="10"/>
      <c r="K316" s="10"/>
      <c r="L316" s="10"/>
      <c r="M316" s="222">
        <f t="shared" ref="M316:M318" si="107">F316</f>
        <v>6.4</v>
      </c>
      <c r="N316" s="131">
        <f t="shared" ref="N316:N318" si="108">F316+0</f>
        <v>6.4</v>
      </c>
      <c r="O316" s="221">
        <f t="shared" ref="O316:O318" si="109">N316/F316</f>
        <v>1</v>
      </c>
      <c r="P316" s="132">
        <f t="shared" ref="P316:P318" si="110">N316*G316</f>
        <v>45.248000000000005</v>
      </c>
      <c r="Q316" s="10"/>
    </row>
    <row r="317" spans="1:17" ht="49.95" customHeight="1">
      <c r="A317" s="17" t="s">
        <v>384</v>
      </c>
      <c r="B317" s="33">
        <v>96619</v>
      </c>
      <c r="C317" s="34" t="s">
        <v>412</v>
      </c>
      <c r="D317" s="30" t="s">
        <v>37</v>
      </c>
      <c r="E317" s="30" t="s">
        <v>63</v>
      </c>
      <c r="F317" s="31">
        <v>6.4</v>
      </c>
      <c r="G317" s="32">
        <v>44.9</v>
      </c>
      <c r="H317" s="32">
        <f t="shared" ref="H317:H321" si="111">F317*G317</f>
        <v>287.36</v>
      </c>
      <c r="I317" s="10"/>
      <c r="J317" s="10"/>
      <c r="K317" s="10"/>
      <c r="L317" s="10"/>
      <c r="M317" s="222">
        <f t="shared" si="107"/>
        <v>6.4</v>
      </c>
      <c r="N317" s="131">
        <f t="shared" si="108"/>
        <v>6.4</v>
      </c>
      <c r="O317" s="221">
        <f t="shared" si="109"/>
        <v>1</v>
      </c>
      <c r="P317" s="132">
        <f t="shared" si="110"/>
        <v>287.36</v>
      </c>
      <c r="Q317" s="10"/>
    </row>
    <row r="318" spans="1:17" ht="49.95" customHeight="1">
      <c r="A318" s="17" t="s">
        <v>385</v>
      </c>
      <c r="B318" s="33">
        <v>8</v>
      </c>
      <c r="C318" s="34" t="s">
        <v>583</v>
      </c>
      <c r="D318" s="30" t="s">
        <v>64</v>
      </c>
      <c r="E318" s="30" t="s">
        <v>63</v>
      </c>
      <c r="F318" s="31">
        <v>1.92</v>
      </c>
      <c r="G318" s="32">
        <v>120.42</v>
      </c>
      <c r="H318" s="32">
        <f>F318*G318-0.01</f>
        <v>231.19640000000001</v>
      </c>
      <c r="I318" s="10"/>
      <c r="J318" s="10"/>
      <c r="K318" s="10"/>
      <c r="L318" s="10"/>
      <c r="M318" s="222">
        <f t="shared" si="107"/>
        <v>1.92</v>
      </c>
      <c r="N318" s="131">
        <f t="shared" si="108"/>
        <v>1.92</v>
      </c>
      <c r="O318" s="221">
        <f t="shared" si="109"/>
        <v>1</v>
      </c>
      <c r="P318" s="132">
        <f t="shared" si="110"/>
        <v>231.2064</v>
      </c>
      <c r="Q318" s="10"/>
    </row>
    <row r="319" spans="1:17" ht="49.95" customHeight="1">
      <c r="A319" s="17" t="s">
        <v>386</v>
      </c>
      <c r="B319" s="33">
        <v>87878</v>
      </c>
      <c r="C319" s="34" t="s">
        <v>584</v>
      </c>
      <c r="D319" s="30" t="s">
        <v>37</v>
      </c>
      <c r="E319" s="30" t="s">
        <v>63</v>
      </c>
      <c r="F319" s="31">
        <v>14.4</v>
      </c>
      <c r="G319" s="32">
        <v>5.51</v>
      </c>
      <c r="H319" s="32">
        <f t="shared" si="111"/>
        <v>79.343999999999994</v>
      </c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49.95" customHeight="1">
      <c r="A320" s="17" t="s">
        <v>387</v>
      </c>
      <c r="B320" s="33">
        <v>87528</v>
      </c>
      <c r="C320" s="34" t="s">
        <v>585</v>
      </c>
      <c r="D320" s="30" t="s">
        <v>37</v>
      </c>
      <c r="E320" s="30" t="s">
        <v>63</v>
      </c>
      <c r="F320" s="31">
        <v>14.4</v>
      </c>
      <c r="G320" s="32">
        <v>48.77</v>
      </c>
      <c r="H320" s="32">
        <f>F320*G320-0.01</f>
        <v>702.27800000000002</v>
      </c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49.95" customHeight="1">
      <c r="A321" s="17" t="s">
        <v>388</v>
      </c>
      <c r="B321" s="33">
        <v>95305</v>
      </c>
      <c r="C321" s="34" t="s">
        <v>586</v>
      </c>
      <c r="D321" s="30" t="s">
        <v>37</v>
      </c>
      <c r="E321" s="30" t="s">
        <v>63</v>
      </c>
      <c r="F321" s="31">
        <v>14.4</v>
      </c>
      <c r="G321" s="32">
        <v>14.88</v>
      </c>
      <c r="H321" s="32">
        <f t="shared" si="111"/>
        <v>214.27200000000002</v>
      </c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49.95" customHeight="1">
      <c r="A322" s="17" t="s">
        <v>389</v>
      </c>
      <c r="B322" s="33">
        <v>8</v>
      </c>
      <c r="C322" s="34" t="s">
        <v>583</v>
      </c>
      <c r="D322" s="30" t="s">
        <v>64</v>
      </c>
      <c r="E322" s="30" t="s">
        <v>63</v>
      </c>
      <c r="F322" s="31">
        <v>14.4</v>
      </c>
      <c r="G322" s="32">
        <v>120.42</v>
      </c>
      <c r="H322" s="32">
        <f>F322*G322-0.01</f>
        <v>1734.038</v>
      </c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49.95" customHeight="1">
      <c r="A323" s="17" t="s">
        <v>390</v>
      </c>
      <c r="B323" s="55">
        <v>7</v>
      </c>
      <c r="C323" s="34" t="s">
        <v>587</v>
      </c>
      <c r="D323" s="56" t="s">
        <v>64</v>
      </c>
      <c r="E323" s="38" t="s">
        <v>63</v>
      </c>
      <c r="F323" s="39">
        <v>6.5</v>
      </c>
      <c r="G323" s="60">
        <v>652.79</v>
      </c>
      <c r="H323" s="32">
        <f>F323*G323-0.01</f>
        <v>4243.125</v>
      </c>
      <c r="I323" s="10"/>
      <c r="J323" s="11"/>
      <c r="K323" s="12"/>
      <c r="L323" s="13"/>
      <c r="M323" s="11"/>
      <c r="N323" s="12"/>
      <c r="O323" s="13"/>
      <c r="P323" s="11"/>
      <c r="Q323" s="12"/>
    </row>
    <row r="324" spans="1:17" ht="20.100000000000001" customHeight="1">
      <c r="A324" s="5">
        <v>6</v>
      </c>
      <c r="B324" s="176" t="s">
        <v>391</v>
      </c>
      <c r="C324" s="177"/>
      <c r="D324" s="177"/>
      <c r="E324" s="177"/>
      <c r="F324" s="177"/>
      <c r="G324" s="178"/>
      <c r="H324" s="8">
        <f>SUM(H325:H343)</f>
        <v>46833.661200000002</v>
      </c>
      <c r="I324" s="7"/>
      <c r="J324" s="7"/>
      <c r="K324" s="7"/>
      <c r="L324" s="7"/>
      <c r="M324" s="7"/>
      <c r="N324" s="7"/>
      <c r="O324" s="7"/>
      <c r="P324" s="7"/>
      <c r="Q324" s="7"/>
    </row>
    <row r="325" spans="1:17" ht="49.95" customHeight="1">
      <c r="A325" s="17" t="s">
        <v>24</v>
      </c>
      <c r="B325" s="55">
        <v>93358</v>
      </c>
      <c r="C325" s="34" t="s">
        <v>410</v>
      </c>
      <c r="D325" s="56" t="s">
        <v>37</v>
      </c>
      <c r="E325" s="38" t="s">
        <v>65</v>
      </c>
      <c r="F325" s="39">
        <v>13.41</v>
      </c>
      <c r="G325" s="60">
        <v>96.82</v>
      </c>
      <c r="H325" s="32">
        <f>F325*G325-0.01</f>
        <v>1298.3462</v>
      </c>
      <c r="I325" s="10"/>
      <c r="J325" s="11"/>
      <c r="K325" s="12"/>
      <c r="L325" s="13"/>
      <c r="M325" s="222">
        <f t="shared" ref="M325" si="112">F325</f>
        <v>13.41</v>
      </c>
      <c r="N325" s="131">
        <f t="shared" ref="N325" si="113">F325+0</f>
        <v>13.41</v>
      </c>
      <c r="O325" s="221">
        <f t="shared" ref="O325" si="114">N325/F325</f>
        <v>1</v>
      </c>
      <c r="P325" s="132">
        <f t="shared" ref="P325" si="115">N325*G325</f>
        <v>1298.3561999999999</v>
      </c>
      <c r="Q325" s="12"/>
    </row>
    <row r="326" spans="1:17" ht="49.95" customHeight="1">
      <c r="A326" s="17" t="s">
        <v>36</v>
      </c>
      <c r="B326" s="57">
        <v>97882</v>
      </c>
      <c r="C326" s="58" t="s">
        <v>588</v>
      </c>
      <c r="D326" s="59" t="s">
        <v>37</v>
      </c>
      <c r="E326" s="28" t="s">
        <v>66</v>
      </c>
      <c r="F326" s="27">
        <v>15</v>
      </c>
      <c r="G326" s="73">
        <v>270.14999999999998</v>
      </c>
      <c r="H326" s="32">
        <f t="shared" ref="H326:H343" si="116">F326*G326</f>
        <v>4052.2499999999995</v>
      </c>
      <c r="I326" s="10"/>
      <c r="J326" s="10"/>
      <c r="K326" s="10"/>
      <c r="L326" s="10"/>
      <c r="M326" s="222">
        <f t="shared" ref="M326:M342" si="117">F326</f>
        <v>15</v>
      </c>
      <c r="N326" s="131">
        <f t="shared" ref="N326:N342" si="118">F326+0</f>
        <v>15</v>
      </c>
      <c r="O326" s="221">
        <f t="shared" ref="O326:O342" si="119">N326/F326</f>
        <v>1</v>
      </c>
      <c r="P326" s="132">
        <f t="shared" ref="P326:P342" si="120">N326*G326</f>
        <v>4052.2499999999995</v>
      </c>
      <c r="Q326" s="10"/>
    </row>
    <row r="327" spans="1:17" ht="49.95" customHeight="1">
      <c r="A327" s="17" t="s">
        <v>392</v>
      </c>
      <c r="B327" s="33">
        <v>20</v>
      </c>
      <c r="C327" s="34" t="s">
        <v>589</v>
      </c>
      <c r="D327" s="30" t="s">
        <v>64</v>
      </c>
      <c r="E327" s="30" t="s">
        <v>5</v>
      </c>
      <c r="F327" s="31">
        <v>1</v>
      </c>
      <c r="G327" s="32">
        <v>8.85</v>
      </c>
      <c r="H327" s="32">
        <f t="shared" si="116"/>
        <v>8.85</v>
      </c>
      <c r="I327" s="10"/>
      <c r="J327" s="10"/>
      <c r="K327" s="10"/>
      <c r="L327" s="10"/>
      <c r="M327" s="222">
        <f t="shared" si="117"/>
        <v>1</v>
      </c>
      <c r="N327" s="131">
        <f t="shared" si="118"/>
        <v>1</v>
      </c>
      <c r="O327" s="221">
        <f t="shared" si="119"/>
        <v>1</v>
      </c>
      <c r="P327" s="132">
        <f t="shared" si="120"/>
        <v>8.85</v>
      </c>
      <c r="Q327" s="10"/>
    </row>
    <row r="328" spans="1:17" ht="49.95" customHeight="1">
      <c r="A328" s="17" t="s">
        <v>393</v>
      </c>
      <c r="B328" s="33">
        <v>91914</v>
      </c>
      <c r="C328" s="34" t="s">
        <v>471</v>
      </c>
      <c r="D328" s="30" t="s">
        <v>37</v>
      </c>
      <c r="E328" s="30" t="s">
        <v>66</v>
      </c>
      <c r="F328" s="31">
        <v>3</v>
      </c>
      <c r="G328" s="32">
        <v>18.579999999999998</v>
      </c>
      <c r="H328" s="32">
        <f t="shared" si="116"/>
        <v>55.739999999999995</v>
      </c>
      <c r="I328" s="10"/>
      <c r="J328" s="10"/>
      <c r="K328" s="10"/>
      <c r="L328" s="10"/>
      <c r="M328" s="222">
        <f t="shared" si="117"/>
        <v>3</v>
      </c>
      <c r="N328" s="131">
        <f t="shared" si="118"/>
        <v>3</v>
      </c>
      <c r="O328" s="221">
        <f t="shared" si="119"/>
        <v>1</v>
      </c>
      <c r="P328" s="132">
        <f t="shared" si="120"/>
        <v>55.739999999999995</v>
      </c>
      <c r="Q328" s="10"/>
    </row>
    <row r="329" spans="1:17" ht="49.95" customHeight="1">
      <c r="A329" s="17" t="s">
        <v>394</v>
      </c>
      <c r="B329" s="33">
        <v>91902</v>
      </c>
      <c r="C329" s="34" t="s">
        <v>590</v>
      </c>
      <c r="D329" s="30" t="s">
        <v>37</v>
      </c>
      <c r="E329" s="30" t="s">
        <v>66</v>
      </c>
      <c r="F329" s="31">
        <v>3</v>
      </c>
      <c r="G329" s="32">
        <v>11.01</v>
      </c>
      <c r="H329" s="32">
        <f t="shared" si="116"/>
        <v>33.03</v>
      </c>
      <c r="I329" s="10"/>
      <c r="J329" s="10"/>
      <c r="K329" s="10"/>
      <c r="L329" s="10"/>
      <c r="M329" s="222">
        <f t="shared" si="117"/>
        <v>3</v>
      </c>
      <c r="N329" s="131">
        <f t="shared" si="118"/>
        <v>3</v>
      </c>
      <c r="O329" s="221">
        <f t="shared" si="119"/>
        <v>1</v>
      </c>
      <c r="P329" s="132">
        <f t="shared" si="120"/>
        <v>33.03</v>
      </c>
      <c r="Q329" s="10"/>
    </row>
    <row r="330" spans="1:17" ht="49.95" customHeight="1">
      <c r="A330" s="17" t="s">
        <v>395</v>
      </c>
      <c r="B330" s="33">
        <v>91884</v>
      </c>
      <c r="C330" s="34" t="s">
        <v>472</v>
      </c>
      <c r="D330" s="30" t="s">
        <v>37</v>
      </c>
      <c r="E330" s="30" t="s">
        <v>66</v>
      </c>
      <c r="F330" s="31">
        <v>6</v>
      </c>
      <c r="G330" s="32">
        <v>11.97</v>
      </c>
      <c r="H330" s="32">
        <f t="shared" si="116"/>
        <v>71.820000000000007</v>
      </c>
      <c r="I330" s="10"/>
      <c r="J330" s="10"/>
      <c r="K330" s="10"/>
      <c r="L330" s="10"/>
      <c r="M330" s="222">
        <f t="shared" si="117"/>
        <v>6</v>
      </c>
      <c r="N330" s="131">
        <f t="shared" si="118"/>
        <v>6</v>
      </c>
      <c r="O330" s="221">
        <f t="shared" si="119"/>
        <v>1</v>
      </c>
      <c r="P330" s="132">
        <f t="shared" si="120"/>
        <v>71.820000000000007</v>
      </c>
      <c r="Q330" s="10"/>
    </row>
    <row r="331" spans="1:17" ht="49.95" customHeight="1">
      <c r="A331" s="17" t="s">
        <v>396</v>
      </c>
      <c r="B331" s="33">
        <v>93013</v>
      </c>
      <c r="C331" s="34" t="s">
        <v>591</v>
      </c>
      <c r="D331" s="30" t="s">
        <v>37</v>
      </c>
      <c r="E331" s="30" t="s">
        <v>66</v>
      </c>
      <c r="F331" s="31">
        <v>8</v>
      </c>
      <c r="G331" s="32">
        <v>15.07</v>
      </c>
      <c r="H331" s="32">
        <f t="shared" si="116"/>
        <v>120.56</v>
      </c>
      <c r="I331" s="10"/>
      <c r="J331" s="10"/>
      <c r="K331" s="10"/>
      <c r="L331" s="10"/>
      <c r="M331" s="222">
        <f t="shared" si="117"/>
        <v>8</v>
      </c>
      <c r="N331" s="131">
        <f t="shared" si="118"/>
        <v>8</v>
      </c>
      <c r="O331" s="221">
        <f t="shared" si="119"/>
        <v>1</v>
      </c>
      <c r="P331" s="132">
        <f t="shared" si="120"/>
        <v>120.56</v>
      </c>
      <c r="Q331" s="10"/>
    </row>
    <row r="332" spans="1:17" ht="49.95" customHeight="1">
      <c r="A332" s="17" t="s">
        <v>397</v>
      </c>
      <c r="B332" s="33">
        <v>39470</v>
      </c>
      <c r="C332" s="34" t="s">
        <v>473</v>
      </c>
      <c r="D332" s="30" t="s">
        <v>37</v>
      </c>
      <c r="E332" s="30" t="s">
        <v>66</v>
      </c>
      <c r="F332" s="31">
        <v>2</v>
      </c>
      <c r="G332" s="32">
        <v>89.64</v>
      </c>
      <c r="H332" s="32">
        <f t="shared" si="116"/>
        <v>179.28</v>
      </c>
      <c r="I332" s="10"/>
      <c r="J332" s="10"/>
      <c r="K332" s="10"/>
      <c r="L332" s="10"/>
      <c r="M332" s="222">
        <f t="shared" si="117"/>
        <v>2</v>
      </c>
      <c r="N332" s="131">
        <f t="shared" si="118"/>
        <v>2</v>
      </c>
      <c r="O332" s="221">
        <f t="shared" si="119"/>
        <v>1</v>
      </c>
      <c r="P332" s="132">
        <f t="shared" si="120"/>
        <v>179.28</v>
      </c>
      <c r="Q332" s="10"/>
    </row>
    <row r="333" spans="1:17" ht="49.95" customHeight="1">
      <c r="A333" s="17" t="s">
        <v>398</v>
      </c>
      <c r="B333" s="55">
        <v>93656</v>
      </c>
      <c r="C333" s="34" t="s">
        <v>592</v>
      </c>
      <c r="D333" s="56" t="s">
        <v>37</v>
      </c>
      <c r="E333" s="38" t="s">
        <v>66</v>
      </c>
      <c r="F333" s="39">
        <v>2</v>
      </c>
      <c r="G333" s="60">
        <v>14.52</v>
      </c>
      <c r="H333" s="32">
        <f t="shared" si="116"/>
        <v>29.04</v>
      </c>
      <c r="I333" s="10"/>
      <c r="J333" s="11"/>
      <c r="K333" s="12"/>
      <c r="L333" s="13"/>
      <c r="M333" s="222">
        <f t="shared" si="117"/>
        <v>2</v>
      </c>
      <c r="N333" s="131">
        <f t="shared" si="118"/>
        <v>2</v>
      </c>
      <c r="O333" s="221">
        <f t="shared" si="119"/>
        <v>1</v>
      </c>
      <c r="P333" s="132">
        <f t="shared" si="120"/>
        <v>29.04</v>
      </c>
      <c r="Q333" s="12"/>
    </row>
    <row r="334" spans="1:17" ht="49.95" customHeight="1">
      <c r="A334" s="17" t="s">
        <v>399</v>
      </c>
      <c r="B334" s="57">
        <v>93657</v>
      </c>
      <c r="C334" s="58" t="s">
        <v>477</v>
      </c>
      <c r="D334" s="59" t="s">
        <v>37</v>
      </c>
      <c r="E334" s="28" t="s">
        <v>66</v>
      </c>
      <c r="F334" s="27">
        <v>1</v>
      </c>
      <c r="G334" s="73">
        <v>16.21</v>
      </c>
      <c r="H334" s="32">
        <f t="shared" si="116"/>
        <v>16.21</v>
      </c>
      <c r="I334" s="10"/>
      <c r="J334" s="10"/>
      <c r="K334" s="10"/>
      <c r="L334" s="10"/>
      <c r="M334" s="222">
        <f t="shared" si="117"/>
        <v>1</v>
      </c>
      <c r="N334" s="131">
        <f t="shared" si="118"/>
        <v>1</v>
      </c>
      <c r="O334" s="221">
        <f t="shared" si="119"/>
        <v>1</v>
      </c>
      <c r="P334" s="132">
        <f t="shared" si="120"/>
        <v>16.21</v>
      </c>
      <c r="Q334" s="10"/>
    </row>
    <row r="335" spans="1:17" ht="49.95" customHeight="1">
      <c r="A335" s="17" t="s">
        <v>400</v>
      </c>
      <c r="B335" s="55">
        <v>39396</v>
      </c>
      <c r="C335" s="34" t="s">
        <v>593</v>
      </c>
      <c r="D335" s="56" t="s">
        <v>37</v>
      </c>
      <c r="E335" s="38" t="s">
        <v>66</v>
      </c>
      <c r="F335" s="39">
        <v>2</v>
      </c>
      <c r="G335" s="60">
        <v>80.150000000000006</v>
      </c>
      <c r="H335" s="32">
        <f t="shared" si="116"/>
        <v>160.30000000000001</v>
      </c>
      <c r="I335" s="10"/>
      <c r="J335" s="11"/>
      <c r="K335" s="12"/>
      <c r="L335" s="13"/>
      <c r="M335" s="222">
        <f t="shared" si="117"/>
        <v>2</v>
      </c>
      <c r="N335" s="131">
        <f t="shared" si="118"/>
        <v>2</v>
      </c>
      <c r="O335" s="221">
        <f t="shared" si="119"/>
        <v>1</v>
      </c>
      <c r="P335" s="132">
        <f t="shared" si="120"/>
        <v>160.30000000000001</v>
      </c>
      <c r="Q335" s="12"/>
    </row>
    <row r="336" spans="1:17" ht="49.95" customHeight="1">
      <c r="A336" s="17" t="s">
        <v>401</v>
      </c>
      <c r="B336" s="57">
        <v>21</v>
      </c>
      <c r="C336" s="58" t="s">
        <v>594</v>
      </c>
      <c r="D336" s="59" t="s">
        <v>64</v>
      </c>
      <c r="E336" s="28" t="s">
        <v>5</v>
      </c>
      <c r="F336" s="27">
        <v>1</v>
      </c>
      <c r="G336" s="73">
        <v>7994.67</v>
      </c>
      <c r="H336" s="32">
        <f t="shared" si="116"/>
        <v>7994.67</v>
      </c>
      <c r="I336" s="10"/>
      <c r="J336" s="10"/>
      <c r="K336" s="10"/>
      <c r="L336" s="10"/>
      <c r="M336" s="222">
        <f t="shared" si="117"/>
        <v>1</v>
      </c>
      <c r="N336" s="131">
        <f t="shared" si="118"/>
        <v>1</v>
      </c>
      <c r="O336" s="221">
        <f t="shared" si="119"/>
        <v>1</v>
      </c>
      <c r="P336" s="132">
        <f t="shared" si="120"/>
        <v>7994.67</v>
      </c>
      <c r="Q336" s="10"/>
    </row>
    <row r="337" spans="1:17" ht="49.95" customHeight="1">
      <c r="A337" s="17" t="s">
        <v>402</v>
      </c>
      <c r="B337" s="33">
        <v>101876</v>
      </c>
      <c r="C337" s="34" t="s">
        <v>548</v>
      </c>
      <c r="D337" s="30" t="s">
        <v>37</v>
      </c>
      <c r="E337" s="30" t="s">
        <v>66</v>
      </c>
      <c r="F337" s="31">
        <v>1</v>
      </c>
      <c r="G337" s="32">
        <v>119.29</v>
      </c>
      <c r="H337" s="32">
        <f t="shared" si="116"/>
        <v>119.29</v>
      </c>
      <c r="I337" s="10"/>
      <c r="J337" s="10"/>
      <c r="K337" s="10"/>
      <c r="L337" s="10"/>
      <c r="M337" s="222">
        <f t="shared" si="117"/>
        <v>1</v>
      </c>
      <c r="N337" s="131">
        <f t="shared" si="118"/>
        <v>1</v>
      </c>
      <c r="O337" s="221">
        <f t="shared" si="119"/>
        <v>1</v>
      </c>
      <c r="P337" s="132">
        <f t="shared" si="120"/>
        <v>119.29</v>
      </c>
      <c r="Q337" s="10"/>
    </row>
    <row r="338" spans="1:17" ht="49.95" customHeight="1">
      <c r="A338" s="17" t="s">
        <v>403</v>
      </c>
      <c r="B338" s="33">
        <v>97886</v>
      </c>
      <c r="C338" s="34" t="s">
        <v>595</v>
      </c>
      <c r="D338" s="30" t="s">
        <v>37</v>
      </c>
      <c r="E338" s="30" t="s">
        <v>66</v>
      </c>
      <c r="F338" s="31">
        <v>16</v>
      </c>
      <c r="G338" s="32">
        <v>182.85</v>
      </c>
      <c r="H338" s="32">
        <f t="shared" si="116"/>
        <v>2925.6</v>
      </c>
      <c r="I338" s="10"/>
      <c r="J338" s="10"/>
      <c r="K338" s="10"/>
      <c r="L338" s="10"/>
      <c r="M338" s="222">
        <f t="shared" si="117"/>
        <v>16</v>
      </c>
      <c r="N338" s="131">
        <f t="shared" si="118"/>
        <v>16</v>
      </c>
      <c r="O338" s="221">
        <f t="shared" si="119"/>
        <v>1</v>
      </c>
      <c r="P338" s="132">
        <f t="shared" si="120"/>
        <v>2925.6</v>
      </c>
      <c r="Q338" s="10"/>
    </row>
    <row r="339" spans="1:17" ht="49.95" customHeight="1">
      <c r="A339" s="17" t="s">
        <v>404</v>
      </c>
      <c r="B339" s="33">
        <v>17</v>
      </c>
      <c r="C339" s="34" t="s">
        <v>482</v>
      </c>
      <c r="D339" s="30" t="s">
        <v>64</v>
      </c>
      <c r="E339" s="30" t="s">
        <v>5</v>
      </c>
      <c r="F339" s="31">
        <v>16</v>
      </c>
      <c r="G339" s="32">
        <v>71.3</v>
      </c>
      <c r="H339" s="32">
        <f t="shared" si="116"/>
        <v>1140.8</v>
      </c>
      <c r="I339" s="10"/>
      <c r="J339" s="10"/>
      <c r="K339" s="10"/>
      <c r="L339" s="10"/>
      <c r="M339" s="222">
        <f t="shared" si="117"/>
        <v>16</v>
      </c>
      <c r="N339" s="131">
        <f t="shared" si="118"/>
        <v>16</v>
      </c>
      <c r="O339" s="221">
        <f t="shared" si="119"/>
        <v>1</v>
      </c>
      <c r="P339" s="132">
        <f t="shared" si="120"/>
        <v>1140.8</v>
      </c>
      <c r="Q339" s="10"/>
    </row>
    <row r="340" spans="1:17" ht="49.95" customHeight="1">
      <c r="A340" s="17" t="s">
        <v>405</v>
      </c>
      <c r="B340" s="33">
        <v>96985</v>
      </c>
      <c r="C340" s="34" t="s">
        <v>481</v>
      </c>
      <c r="D340" s="30" t="s">
        <v>37</v>
      </c>
      <c r="E340" s="30" t="s">
        <v>66</v>
      </c>
      <c r="F340" s="31">
        <v>16</v>
      </c>
      <c r="G340" s="32">
        <v>99.89</v>
      </c>
      <c r="H340" s="32">
        <f t="shared" si="116"/>
        <v>1598.24</v>
      </c>
      <c r="I340" s="10"/>
      <c r="J340" s="10"/>
      <c r="K340" s="10"/>
      <c r="L340" s="10"/>
      <c r="M340" s="222">
        <f t="shared" si="117"/>
        <v>16</v>
      </c>
      <c r="N340" s="131">
        <f t="shared" si="118"/>
        <v>16</v>
      </c>
      <c r="O340" s="221">
        <f t="shared" si="119"/>
        <v>1</v>
      </c>
      <c r="P340" s="132">
        <f t="shared" si="120"/>
        <v>1598.24</v>
      </c>
      <c r="Q340" s="10"/>
    </row>
    <row r="341" spans="1:17" ht="49.95" customHeight="1">
      <c r="A341" s="17" t="s">
        <v>406</v>
      </c>
      <c r="B341" s="33">
        <v>91929</v>
      </c>
      <c r="C341" s="34" t="s">
        <v>596</v>
      </c>
      <c r="D341" s="30" t="s">
        <v>37</v>
      </c>
      <c r="E341" s="30" t="s">
        <v>38</v>
      </c>
      <c r="F341" s="31">
        <v>569.70000000000005</v>
      </c>
      <c r="G341" s="32">
        <v>9.16</v>
      </c>
      <c r="H341" s="32">
        <f t="shared" si="116"/>
        <v>5218.4520000000002</v>
      </c>
      <c r="I341" s="10"/>
      <c r="J341" s="10"/>
      <c r="K341" s="10"/>
      <c r="L341" s="10"/>
      <c r="M341" s="222">
        <f t="shared" si="117"/>
        <v>569.70000000000005</v>
      </c>
      <c r="N341" s="131">
        <f t="shared" si="118"/>
        <v>569.70000000000005</v>
      </c>
      <c r="O341" s="221">
        <f t="shared" si="119"/>
        <v>1</v>
      </c>
      <c r="P341" s="132">
        <f t="shared" si="120"/>
        <v>5218.4520000000002</v>
      </c>
      <c r="Q341" s="10"/>
    </row>
    <row r="342" spans="1:17" ht="49.95" customHeight="1">
      <c r="A342" s="17" t="s">
        <v>407</v>
      </c>
      <c r="B342" s="33">
        <v>91931</v>
      </c>
      <c r="C342" s="34" t="s">
        <v>485</v>
      </c>
      <c r="D342" s="30" t="s">
        <v>37</v>
      </c>
      <c r="E342" s="30" t="s">
        <v>38</v>
      </c>
      <c r="F342" s="31">
        <v>24.3</v>
      </c>
      <c r="G342" s="32">
        <v>13.01</v>
      </c>
      <c r="H342" s="32">
        <f t="shared" si="116"/>
        <v>316.14300000000003</v>
      </c>
      <c r="I342" s="10"/>
      <c r="J342" s="10"/>
      <c r="K342" s="10"/>
      <c r="L342" s="10"/>
      <c r="M342" s="222">
        <f t="shared" si="117"/>
        <v>24.3</v>
      </c>
      <c r="N342" s="131">
        <f t="shared" si="118"/>
        <v>24.3</v>
      </c>
      <c r="O342" s="221">
        <f t="shared" si="119"/>
        <v>1</v>
      </c>
      <c r="P342" s="132">
        <f t="shared" si="120"/>
        <v>316.14300000000003</v>
      </c>
      <c r="Q342" s="10"/>
    </row>
    <row r="343" spans="1:17" ht="49.95" customHeight="1">
      <c r="A343" s="17" t="s">
        <v>408</v>
      </c>
      <c r="B343" s="55">
        <v>29</v>
      </c>
      <c r="C343" s="34" t="s">
        <v>597</v>
      </c>
      <c r="D343" s="56" t="s">
        <v>64</v>
      </c>
      <c r="E343" s="38" t="s">
        <v>5</v>
      </c>
      <c r="F343" s="39">
        <v>16</v>
      </c>
      <c r="G343" s="60">
        <v>1343.44</v>
      </c>
      <c r="H343" s="32">
        <f t="shared" si="116"/>
        <v>21495.040000000001</v>
      </c>
      <c r="I343" s="10"/>
      <c r="J343" s="11"/>
      <c r="K343" s="12"/>
      <c r="L343" s="13"/>
      <c r="M343" s="11"/>
      <c r="N343" s="12"/>
      <c r="O343" s="13"/>
      <c r="P343" s="11"/>
      <c r="Q343" s="12"/>
    </row>
    <row r="344" spans="1:17" ht="21.75" customHeight="1">
      <c r="A344" s="206" t="s">
        <v>25</v>
      </c>
      <c r="B344" s="206"/>
      <c r="C344" s="206"/>
      <c r="D344" s="206"/>
      <c r="E344" s="206"/>
      <c r="F344" s="206"/>
      <c r="G344" s="207"/>
      <c r="H344" s="62">
        <v>69696.92</v>
      </c>
      <c r="I344" s="7"/>
      <c r="J344" s="7"/>
      <c r="K344" s="7"/>
      <c r="L344" s="7"/>
      <c r="M344" s="7"/>
      <c r="N344" s="7"/>
      <c r="O344" s="7"/>
      <c r="P344" s="7"/>
      <c r="Q344" s="7"/>
    </row>
    <row r="345" spans="1:17" ht="20.25" customHeight="1">
      <c r="A345" s="204" t="s">
        <v>26</v>
      </c>
      <c r="B345" s="204"/>
      <c r="C345" s="204"/>
      <c r="D345" s="204"/>
      <c r="E345" s="204"/>
      <c r="F345" s="204"/>
      <c r="G345" s="205"/>
      <c r="H345" s="63">
        <v>308904.31</v>
      </c>
      <c r="I345" s="7"/>
      <c r="J345" s="7"/>
      <c r="K345" s="7"/>
      <c r="L345" s="7"/>
      <c r="M345" s="7"/>
      <c r="N345" s="7"/>
      <c r="O345" s="7"/>
      <c r="P345" s="7"/>
      <c r="Q345" s="7"/>
    </row>
    <row r="346" spans="1:17" ht="31.5" customHeight="1">
      <c r="A346" s="204" t="s">
        <v>27</v>
      </c>
      <c r="B346" s="204"/>
      <c r="C346" s="204"/>
      <c r="D346" s="204"/>
      <c r="E346" s="204"/>
      <c r="F346" s="204"/>
      <c r="G346" s="205"/>
      <c r="H346" s="9">
        <f>SUM(H344:H345)</f>
        <v>378601.23</v>
      </c>
      <c r="I346" s="21"/>
      <c r="J346" s="23">
        <f>L346/$H$346</f>
        <v>0.26833860788038122</v>
      </c>
      <c r="K346" s="24" t="s">
        <v>28</v>
      </c>
      <c r="L346" s="22">
        <f>SUM(L7:L343)</f>
        <v>101593.32700000002</v>
      </c>
      <c r="M346" s="23"/>
      <c r="N346" s="24" t="s">
        <v>28</v>
      </c>
      <c r="O346" s="22">
        <f>SUM(O7:O343)</f>
        <v>234</v>
      </c>
      <c r="P346" s="23" t="e">
        <f>#REF!/$H$346</f>
        <v>#REF!</v>
      </c>
      <c r="Q346" s="24" t="s">
        <v>28</v>
      </c>
    </row>
    <row r="347" spans="1:17" ht="60" customHeight="1">
      <c r="A347" s="195"/>
      <c r="B347" s="196"/>
      <c r="C347" s="197"/>
      <c r="D347" s="195" t="s">
        <v>638</v>
      </c>
      <c r="E347" s="196"/>
      <c r="F347" s="196"/>
      <c r="G347" s="196"/>
      <c r="H347" s="196"/>
      <c r="I347" s="197"/>
      <c r="J347" s="170" t="s">
        <v>637</v>
      </c>
      <c r="K347" s="170"/>
      <c r="L347" s="170"/>
      <c r="M347" s="170" t="s">
        <v>637</v>
      </c>
      <c r="N347" s="170"/>
      <c r="O347" s="170"/>
      <c r="P347" s="170" t="s">
        <v>637</v>
      </c>
      <c r="Q347" s="170"/>
    </row>
    <row r="348" spans="1:17" ht="60" customHeight="1">
      <c r="A348" s="198"/>
      <c r="B348" s="199"/>
      <c r="C348" s="200"/>
      <c r="D348" s="198"/>
      <c r="E348" s="199"/>
      <c r="F348" s="199"/>
      <c r="G348" s="199"/>
      <c r="H348" s="199"/>
      <c r="I348" s="200"/>
      <c r="J348" s="170"/>
      <c r="K348" s="170"/>
      <c r="L348" s="170"/>
      <c r="M348" s="170"/>
      <c r="N348" s="170"/>
      <c r="O348" s="170"/>
      <c r="P348" s="170"/>
      <c r="Q348" s="170"/>
    </row>
    <row r="349" spans="1:17" ht="70.05" customHeight="1">
      <c r="A349" s="198"/>
      <c r="B349" s="199"/>
      <c r="C349" s="200"/>
      <c r="D349" s="198"/>
      <c r="E349" s="199"/>
      <c r="F349" s="199"/>
      <c r="G349" s="199"/>
      <c r="H349" s="199"/>
      <c r="I349" s="200"/>
      <c r="J349" s="170"/>
      <c r="K349" s="170"/>
      <c r="L349" s="170"/>
      <c r="M349" s="170"/>
      <c r="N349" s="170"/>
      <c r="O349" s="170"/>
      <c r="P349" s="170"/>
      <c r="Q349" s="170"/>
    </row>
    <row r="350" spans="1:17">
      <c r="A350" s="201"/>
      <c r="B350" s="202"/>
      <c r="C350" s="203"/>
      <c r="D350" s="201"/>
      <c r="E350" s="202"/>
      <c r="F350" s="202"/>
      <c r="G350" s="202"/>
      <c r="H350" s="202"/>
      <c r="I350" s="203"/>
      <c r="J350" s="170"/>
      <c r="K350" s="170"/>
      <c r="L350" s="170"/>
      <c r="M350" s="170"/>
      <c r="N350" s="170"/>
      <c r="O350" s="170"/>
      <c r="P350" s="170"/>
      <c r="Q350" s="170"/>
    </row>
    <row r="352" spans="1:17">
      <c r="K352" s="83"/>
      <c r="N352" s="83"/>
      <c r="Q352" s="83"/>
    </row>
    <row r="353" spans="3:16">
      <c r="C353" s="18"/>
      <c r="E353" s="18"/>
      <c r="H353" s="19"/>
      <c r="J353" s="18"/>
      <c r="M353" s="18"/>
      <c r="P353" s="18"/>
    </row>
    <row r="355" spans="3:16">
      <c r="H355" s="19"/>
    </row>
    <row r="356" spans="3:16">
      <c r="H356" s="20"/>
    </row>
    <row r="357" spans="3:16">
      <c r="H357" s="19"/>
    </row>
    <row r="358" spans="3:16">
      <c r="H358" s="19"/>
    </row>
    <row r="359" spans="3:16">
      <c r="H359" s="19"/>
    </row>
    <row r="360" spans="3:16">
      <c r="H360" s="19"/>
    </row>
    <row r="361" spans="3:16">
      <c r="H361" s="19"/>
    </row>
    <row r="362" spans="3:16">
      <c r="H362" s="64"/>
    </row>
  </sheetData>
  <mergeCells count="73">
    <mergeCell ref="J347:L350"/>
    <mergeCell ref="B216:G216"/>
    <mergeCell ref="A347:C350"/>
    <mergeCell ref="D347:I350"/>
    <mergeCell ref="A345:G345"/>
    <mergeCell ref="A346:G346"/>
    <mergeCell ref="A344:G344"/>
    <mergeCell ref="B237:G237"/>
    <mergeCell ref="J6:L6"/>
    <mergeCell ref="J1:L2"/>
    <mergeCell ref="J4:L4"/>
    <mergeCell ref="J3:K3"/>
    <mergeCell ref="E1:F1"/>
    <mergeCell ref="G1:H1"/>
    <mergeCell ref="E3:I3"/>
    <mergeCell ref="A4:H4"/>
    <mergeCell ref="B6:G6"/>
    <mergeCell ref="A2:D2"/>
    <mergeCell ref="E2:F2"/>
    <mergeCell ref="G2:H2"/>
    <mergeCell ref="B1:C1"/>
    <mergeCell ref="B169:G169"/>
    <mergeCell ref="B137:G137"/>
    <mergeCell ref="B142:G142"/>
    <mergeCell ref="B27:G27"/>
    <mergeCell ref="B130:G130"/>
    <mergeCell ref="B42:G42"/>
    <mergeCell ref="B86:G86"/>
    <mergeCell ref="B108:G108"/>
    <mergeCell ref="B11:G11"/>
    <mergeCell ref="A3:D3"/>
    <mergeCell ref="B10:G10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91:G191"/>
    <mergeCell ref="P1:Q2"/>
    <mergeCell ref="P4:Q4"/>
    <mergeCell ref="P347:Q350"/>
    <mergeCell ref="M5:M6"/>
    <mergeCell ref="N5:N6"/>
    <mergeCell ref="O5:O6"/>
    <mergeCell ref="P5:P6"/>
    <mergeCell ref="Q5:Q6"/>
    <mergeCell ref="M1:O2"/>
    <mergeCell ref="M4:O4"/>
    <mergeCell ref="M347:O350"/>
    <mergeCell ref="M3:O3"/>
    <mergeCell ref="P3:Q3"/>
  </mergeCells>
  <phoneticPr fontId="15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26" fitToHeight="4" orientation="portrait" r:id="rId1"/>
  <rowBreaks count="7" manualBreakCount="7">
    <brk id="51" max="16" man="1"/>
    <brk id="97" max="16" man="1"/>
    <brk id="140" max="16" man="1"/>
    <brk id="185" max="16" man="1"/>
    <brk id="230" max="16" man="1"/>
    <brk id="275" max="16" man="1"/>
    <brk id="320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</sheetPr>
  <dimension ref="A1:AK521"/>
  <sheetViews>
    <sheetView view="pageBreakPreview" topLeftCell="A193" zoomScale="70" zoomScaleNormal="85" zoomScaleSheetLayoutView="70" workbookViewId="0">
      <selection activeCell="A4" sqref="A4:K4"/>
    </sheetView>
  </sheetViews>
  <sheetFormatPr defaultColWidth="9.21875" defaultRowHeight="13.8"/>
  <cols>
    <col min="1" max="1" width="21.77734375" style="16" customWidth="1"/>
    <col min="2" max="2" width="13.21875" style="16" customWidth="1"/>
    <col min="3" max="3" width="70.33203125" style="16" customWidth="1"/>
    <col min="4" max="4" width="13" style="16" customWidth="1"/>
    <col min="5" max="7" width="15.77734375" style="16" customWidth="1"/>
    <col min="8" max="11" width="10.77734375" style="16" customWidth="1"/>
    <col min="12" max="12" width="24" style="16" hidden="1" customWidth="1"/>
    <col min="13" max="13" width="25.21875" style="16" hidden="1" customWidth="1"/>
    <col min="14" max="14" width="24" style="16" hidden="1" customWidth="1"/>
    <col min="15" max="15" width="14" style="16" hidden="1" customWidth="1"/>
    <col min="16" max="16" width="29.21875" style="16" hidden="1" customWidth="1"/>
    <col min="17" max="17" width="15.44140625" style="16" hidden="1" customWidth="1"/>
    <col min="18" max="18" width="12.5546875" style="16" hidden="1" customWidth="1"/>
    <col min="19" max="19" width="25.21875" style="16" hidden="1" customWidth="1"/>
    <col min="20" max="20" width="15.44140625" style="16" hidden="1" customWidth="1"/>
    <col min="21" max="21" width="21" style="16" hidden="1" customWidth="1"/>
    <col min="22" max="22" width="19.77734375" style="16" hidden="1" customWidth="1"/>
    <col min="23" max="23" width="17.44140625" style="16" hidden="1" customWidth="1"/>
    <col min="24" max="24" width="22.5546875" style="16" hidden="1" customWidth="1"/>
    <col min="25" max="25" width="25.21875" style="16" hidden="1" customWidth="1"/>
    <col min="26" max="26" width="19.21875" style="16" hidden="1" customWidth="1"/>
    <col min="27" max="16384" width="9.21875" style="16"/>
  </cols>
  <sheetData>
    <row r="1" spans="1:26" ht="126.6" customHeight="1">
      <c r="A1" s="15"/>
      <c r="B1" s="213" t="s">
        <v>71</v>
      </c>
      <c r="C1" s="213"/>
      <c r="D1" s="213"/>
      <c r="E1" s="214" t="s">
        <v>69</v>
      </c>
      <c r="F1" s="214"/>
      <c r="G1" s="214" t="s">
        <v>600</v>
      </c>
      <c r="H1" s="214"/>
      <c r="I1" s="214"/>
      <c r="J1" s="211" t="s">
        <v>70</v>
      </c>
      <c r="K1" s="212"/>
      <c r="L1" s="168"/>
      <c r="M1" s="168"/>
      <c r="N1" s="168"/>
      <c r="O1" s="168"/>
      <c r="P1" s="168"/>
      <c r="Q1" s="168"/>
      <c r="R1" s="168"/>
      <c r="S1" s="168"/>
      <c r="T1" s="210"/>
      <c r="U1" s="82"/>
      <c r="V1" s="82"/>
      <c r="W1" s="82"/>
      <c r="X1" s="168"/>
      <c r="Y1" s="168"/>
      <c r="Z1" s="210"/>
    </row>
    <row r="2" spans="1:26" ht="102" customHeight="1">
      <c r="A2" s="182" t="s">
        <v>72</v>
      </c>
      <c r="B2" s="182"/>
      <c r="C2" s="182"/>
      <c r="D2" s="182"/>
      <c r="E2" s="214" t="s">
        <v>68</v>
      </c>
      <c r="F2" s="214"/>
      <c r="G2" s="214" t="s">
        <v>639</v>
      </c>
      <c r="H2" s="214"/>
      <c r="I2" s="214"/>
      <c r="J2" s="211" t="str">
        <f>'PLANILHA DE MEDIÇÃO'!I2</f>
        <v>VALOR MEDIDO NO PERÍODO:
R$ 101.593,33</v>
      </c>
      <c r="K2" s="212"/>
      <c r="L2" s="168"/>
      <c r="M2" s="168"/>
      <c r="N2" s="168"/>
      <c r="O2" s="168"/>
      <c r="P2" s="168"/>
      <c r="Q2" s="168"/>
      <c r="R2" s="168"/>
      <c r="S2" s="168"/>
      <c r="T2" s="210"/>
      <c r="U2" s="82"/>
      <c r="V2" s="82"/>
      <c r="W2" s="82"/>
      <c r="X2" s="168"/>
      <c r="Y2" s="168"/>
      <c r="Z2" s="210"/>
    </row>
    <row r="3" spans="1:26" ht="91.5" customHeight="1">
      <c r="A3" s="182" t="s">
        <v>73</v>
      </c>
      <c r="B3" s="182"/>
      <c r="C3" s="182"/>
      <c r="D3" s="182"/>
      <c r="E3" s="214" t="s">
        <v>74</v>
      </c>
      <c r="F3" s="214"/>
      <c r="G3" s="214"/>
      <c r="H3" s="214"/>
      <c r="I3" s="214"/>
      <c r="J3" s="214"/>
      <c r="K3" s="214"/>
      <c r="L3" s="171" t="s">
        <v>49</v>
      </c>
      <c r="M3" s="189"/>
      <c r="N3" s="25" t="e">
        <f>#REF!</f>
        <v>#REF!</v>
      </c>
      <c r="O3" s="171" t="s">
        <v>50</v>
      </c>
      <c r="P3" s="189"/>
      <c r="Q3" s="25" t="e">
        <f>#REF!</f>
        <v>#REF!</v>
      </c>
      <c r="R3" s="171" t="s">
        <v>51</v>
      </c>
      <c r="S3" s="189"/>
      <c r="T3" s="25" t="e">
        <f>#REF!</f>
        <v>#REF!</v>
      </c>
      <c r="U3" s="25"/>
      <c r="V3" s="25"/>
      <c r="W3" s="25"/>
      <c r="X3" s="171" t="s">
        <v>52</v>
      </c>
      <c r="Y3" s="189"/>
      <c r="Z3" s="25" t="e">
        <f>#REF!</f>
        <v>#REF!</v>
      </c>
    </row>
    <row r="4" spans="1:26" ht="15" customHeight="1">
      <c r="A4" s="169" t="s">
        <v>636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91" t="s">
        <v>0</v>
      </c>
      <c r="M4" s="191"/>
      <c r="N4" s="191"/>
      <c r="O4" s="191" t="s">
        <v>0</v>
      </c>
      <c r="P4" s="191"/>
      <c r="Q4" s="191"/>
      <c r="R4" s="191" t="s">
        <v>0</v>
      </c>
      <c r="S4" s="191"/>
      <c r="T4" s="191"/>
      <c r="U4" s="81"/>
      <c r="V4" s="81"/>
      <c r="W4" s="81"/>
      <c r="X4" s="191" t="s">
        <v>0</v>
      </c>
      <c r="Y4" s="191"/>
      <c r="Z4" s="191"/>
    </row>
    <row r="5" spans="1:26" ht="65.25" customHeight="1">
      <c r="A5" s="4" t="s">
        <v>1</v>
      </c>
      <c r="B5" s="4" t="s">
        <v>2</v>
      </c>
      <c r="C5" s="4" t="s">
        <v>3</v>
      </c>
      <c r="D5" s="209" t="s">
        <v>67</v>
      </c>
      <c r="E5" s="209"/>
      <c r="F5" s="209"/>
      <c r="G5" s="209"/>
      <c r="H5" s="209"/>
      <c r="I5" s="209"/>
      <c r="J5" s="209"/>
      <c r="K5" s="209"/>
      <c r="L5" s="4" t="s">
        <v>9</v>
      </c>
      <c r="M5" s="4" t="s">
        <v>10</v>
      </c>
      <c r="N5" s="4" t="s">
        <v>11</v>
      </c>
      <c r="O5" s="4" t="s">
        <v>9</v>
      </c>
      <c r="P5" s="4" t="s">
        <v>10</v>
      </c>
      <c r="Q5" s="4" t="s">
        <v>11</v>
      </c>
      <c r="R5" s="4" t="s">
        <v>9</v>
      </c>
      <c r="S5" s="4" t="s">
        <v>10</v>
      </c>
      <c r="T5" s="4" t="s">
        <v>11</v>
      </c>
      <c r="U5" s="4" t="s">
        <v>9</v>
      </c>
      <c r="V5" s="4" t="s">
        <v>10</v>
      </c>
      <c r="W5" s="4" t="s">
        <v>11</v>
      </c>
      <c r="X5" s="4" t="s">
        <v>9</v>
      </c>
      <c r="Y5" s="4" t="s">
        <v>10</v>
      </c>
      <c r="Z5" s="4" t="s">
        <v>11</v>
      </c>
    </row>
    <row r="6" spans="1:26" ht="25.2" customHeight="1">
      <c r="A6" s="215"/>
      <c r="B6" s="216"/>
      <c r="C6" s="217"/>
      <c r="D6" s="138" t="s">
        <v>601</v>
      </c>
      <c r="E6" s="138" t="s">
        <v>602</v>
      </c>
      <c r="F6" s="138" t="s">
        <v>603</v>
      </c>
      <c r="G6" s="139" t="s">
        <v>604</v>
      </c>
      <c r="H6" s="138" t="s">
        <v>611</v>
      </c>
      <c r="I6" s="138" t="s">
        <v>605</v>
      </c>
      <c r="J6" s="138" t="s">
        <v>612</v>
      </c>
      <c r="K6" s="138" t="s">
        <v>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05" customHeight="1">
      <c r="A7" s="87">
        <v>1</v>
      </c>
      <c r="B7" s="208" t="s">
        <v>12</v>
      </c>
      <c r="C7" s="208"/>
      <c r="D7" s="141"/>
      <c r="E7" s="4"/>
      <c r="F7" s="4"/>
      <c r="G7" s="4"/>
      <c r="H7" s="141"/>
      <c r="I7" s="141"/>
      <c r="J7" s="141"/>
      <c r="K7" s="141"/>
      <c r="L7" s="188" t="s">
        <v>13</v>
      </c>
      <c r="M7" s="188"/>
      <c r="N7" s="188"/>
      <c r="O7" s="188" t="s">
        <v>29</v>
      </c>
      <c r="P7" s="188"/>
      <c r="Q7" s="188"/>
      <c r="R7" s="188" t="s">
        <v>30</v>
      </c>
      <c r="S7" s="188"/>
      <c r="T7" s="188"/>
      <c r="U7" s="188" t="s">
        <v>31</v>
      </c>
      <c r="V7" s="188"/>
      <c r="W7" s="188"/>
      <c r="X7" s="188" t="s">
        <v>32</v>
      </c>
      <c r="Y7" s="188"/>
      <c r="Z7" s="188"/>
    </row>
    <row r="8" spans="1:26" s="79" customFormat="1" ht="49.95" customHeight="1">
      <c r="A8" s="86" t="s">
        <v>14</v>
      </c>
      <c r="B8" s="103">
        <v>103689</v>
      </c>
      <c r="C8" s="142" t="s">
        <v>77</v>
      </c>
      <c r="D8" s="30"/>
      <c r="E8" s="30"/>
      <c r="F8" s="30"/>
      <c r="G8" s="30"/>
      <c r="H8" s="30"/>
      <c r="I8" s="30"/>
      <c r="J8" s="133">
        <v>8</v>
      </c>
      <c r="K8" s="133" t="s">
        <v>610</v>
      </c>
      <c r="L8" s="75">
        <v>1</v>
      </c>
      <c r="M8" s="76">
        <f>TRUNC(L8*F8,2)</f>
        <v>0</v>
      </c>
      <c r="N8" s="77">
        <f>TRUNC(M8*G8)+0.46</f>
        <v>0.46</v>
      </c>
      <c r="O8" s="75">
        <v>0</v>
      </c>
      <c r="P8" s="76">
        <f t="shared" ref="P8" si="0">TRUNC(O8*F8,2)</f>
        <v>0</v>
      </c>
      <c r="Q8" s="77">
        <f>TRUNC(P8*G8)+0</f>
        <v>0</v>
      </c>
      <c r="R8" s="78">
        <v>0</v>
      </c>
      <c r="S8" s="76">
        <f>TRUNC(R8*F8,2)</f>
        <v>0</v>
      </c>
      <c r="T8" s="77">
        <f>TRUNC(S8*G8)</f>
        <v>0</v>
      </c>
      <c r="U8" s="77"/>
      <c r="V8" s="77"/>
      <c r="W8" s="77">
        <f>TRUNC(G8*V8)+0</f>
        <v>0</v>
      </c>
      <c r="X8" s="75">
        <v>0</v>
      </c>
      <c r="Y8" s="76">
        <f>TRUNC(X8*F8,2)</f>
        <v>0</v>
      </c>
      <c r="Z8" s="77">
        <f>TRUNC(Y8*G8)+0</f>
        <v>0</v>
      </c>
    </row>
    <row r="9" spans="1:26" s="79" customFormat="1" ht="19.95" customHeight="1">
      <c r="A9" s="86" t="s">
        <v>606</v>
      </c>
      <c r="B9" s="140"/>
      <c r="C9" s="86"/>
      <c r="D9" s="30">
        <v>1</v>
      </c>
      <c r="E9" s="30">
        <v>2</v>
      </c>
      <c r="F9" s="30">
        <v>4</v>
      </c>
      <c r="G9" s="30"/>
      <c r="H9" s="30">
        <v>8</v>
      </c>
      <c r="I9" s="30">
        <v>8</v>
      </c>
      <c r="J9" s="133"/>
      <c r="K9" s="133"/>
      <c r="L9" s="75"/>
      <c r="M9" s="76"/>
      <c r="N9" s="77"/>
      <c r="O9" s="75"/>
      <c r="P9" s="76"/>
      <c r="Q9" s="77"/>
      <c r="R9" s="78"/>
      <c r="S9" s="76"/>
      <c r="T9" s="77"/>
      <c r="U9" s="77"/>
      <c r="V9" s="77"/>
      <c r="W9" s="77"/>
      <c r="X9" s="75"/>
      <c r="Y9" s="76"/>
      <c r="Z9" s="77"/>
    </row>
    <row r="10" spans="1:26" s="79" customFormat="1" ht="49.95" customHeight="1">
      <c r="A10" s="86" t="s">
        <v>15</v>
      </c>
      <c r="B10" s="103">
        <v>99059</v>
      </c>
      <c r="C10" s="142" t="s">
        <v>78</v>
      </c>
      <c r="D10" s="30"/>
      <c r="E10" s="30"/>
      <c r="F10" s="30"/>
      <c r="G10" s="30"/>
      <c r="H10" s="30"/>
      <c r="I10" s="30"/>
      <c r="J10" s="133">
        <v>132.87</v>
      </c>
      <c r="K10" s="133" t="s">
        <v>38</v>
      </c>
      <c r="L10" s="75"/>
      <c r="M10" s="76"/>
      <c r="N10" s="77"/>
      <c r="O10" s="75"/>
      <c r="P10" s="76"/>
      <c r="Q10" s="77"/>
      <c r="R10" s="78"/>
      <c r="S10" s="76"/>
      <c r="T10" s="77"/>
      <c r="U10" s="77"/>
      <c r="V10" s="77"/>
      <c r="W10" s="77"/>
      <c r="X10" s="75"/>
      <c r="Y10" s="76"/>
      <c r="Z10" s="77"/>
    </row>
    <row r="11" spans="1:26" ht="19.95" customHeight="1">
      <c r="A11" s="86" t="s">
        <v>607</v>
      </c>
      <c r="B11" s="140"/>
      <c r="C11" s="143" t="s">
        <v>608</v>
      </c>
      <c r="D11" s="30">
        <v>1</v>
      </c>
      <c r="E11" s="30">
        <v>132.87</v>
      </c>
      <c r="F11" s="30"/>
      <c r="G11" s="30"/>
      <c r="H11" s="30">
        <v>132.87</v>
      </c>
      <c r="I11" s="30">
        <v>132.87</v>
      </c>
      <c r="J11" s="133"/>
      <c r="K11" s="133"/>
      <c r="L11" s="11">
        <v>1</v>
      </c>
      <c r="M11" s="12">
        <f>TRUNC(L11*F12,2)</f>
        <v>0</v>
      </c>
      <c r="N11" s="13">
        <f>TRUNC(M11*G12)+0.41</f>
        <v>0.41</v>
      </c>
      <c r="O11" s="11"/>
      <c r="P11" s="12"/>
      <c r="Q11" s="13"/>
      <c r="R11" s="11"/>
      <c r="S11" s="12"/>
      <c r="T11" s="13"/>
      <c r="U11" s="13"/>
      <c r="V11" s="13"/>
      <c r="W11" s="77">
        <f>TRUNC(G12*V11)+0</f>
        <v>0</v>
      </c>
      <c r="X11" s="11"/>
      <c r="Y11" s="76">
        <f>TRUNC(X11*F12,2)</f>
        <v>0</v>
      </c>
      <c r="Z11" s="77">
        <f>TRUNC(Y11*G12)+0</f>
        <v>0</v>
      </c>
    </row>
    <row r="12" spans="1:26" ht="55.05" customHeight="1">
      <c r="A12" s="29" t="s">
        <v>75</v>
      </c>
      <c r="B12" s="103">
        <v>98525</v>
      </c>
      <c r="C12" s="149" t="s">
        <v>79</v>
      </c>
      <c r="D12" s="30"/>
      <c r="E12" s="30"/>
      <c r="F12" s="30"/>
      <c r="G12" s="30"/>
      <c r="H12" s="30"/>
      <c r="I12" s="30"/>
      <c r="J12" s="133">
        <v>888.32</v>
      </c>
      <c r="K12" s="133" t="s">
        <v>610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95" customHeight="1">
      <c r="A13" s="29"/>
      <c r="B13" s="103"/>
      <c r="C13" s="29" t="s">
        <v>609</v>
      </c>
      <c r="D13" s="30">
        <v>1</v>
      </c>
      <c r="E13" s="30">
        <v>888.32</v>
      </c>
      <c r="F13" s="30"/>
      <c r="G13" s="30"/>
      <c r="H13" s="30">
        <v>888.32</v>
      </c>
      <c r="I13" s="30">
        <v>888.32</v>
      </c>
      <c r="J13" s="133"/>
      <c r="K13" s="1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05" customHeight="1">
      <c r="A14" s="87">
        <v>2</v>
      </c>
      <c r="B14" s="208" t="s">
        <v>76</v>
      </c>
      <c r="C14" s="208"/>
      <c r="D14" s="141"/>
      <c r="E14" s="4"/>
      <c r="F14" s="4"/>
      <c r="G14" s="4"/>
      <c r="H14" s="4"/>
      <c r="I14" s="141"/>
      <c r="J14" s="4"/>
      <c r="K14" s="141"/>
      <c r="L14" s="11">
        <v>1</v>
      </c>
      <c r="M14" s="12">
        <f>TRUNC(L14*F16,2)</f>
        <v>0</v>
      </c>
      <c r="N14" s="13">
        <f>TRUNC(M14*G16)+0.12</f>
        <v>0.12</v>
      </c>
      <c r="O14" s="11"/>
      <c r="P14" s="12"/>
      <c r="Q14" s="13"/>
      <c r="R14" s="11"/>
      <c r="S14" s="12"/>
      <c r="T14" s="13"/>
      <c r="U14" s="13"/>
      <c r="V14" s="13"/>
      <c r="W14" s="77">
        <f>TRUNC(G16*V14)+0</f>
        <v>0</v>
      </c>
      <c r="X14" s="11"/>
      <c r="Y14" s="76">
        <f>TRUNC(X14*F16,2)</f>
        <v>0</v>
      </c>
      <c r="Z14" s="77">
        <f>TRUNC(Y14*G16)+0</f>
        <v>0</v>
      </c>
    </row>
    <row r="15" spans="1:26" ht="25.05" customHeight="1">
      <c r="A15" s="87" t="s">
        <v>16</v>
      </c>
      <c r="B15" s="208" t="s">
        <v>12</v>
      </c>
      <c r="C15" s="208"/>
      <c r="D15" s="141"/>
      <c r="E15" s="141"/>
      <c r="F15" s="141"/>
      <c r="G15" s="141"/>
      <c r="H15" s="4"/>
      <c r="I15" s="141"/>
      <c r="J15" s="4"/>
      <c r="K15" s="141"/>
      <c r="L15" s="11"/>
      <c r="M15" s="12"/>
      <c r="N15" s="13"/>
      <c r="O15" s="11"/>
      <c r="P15" s="12"/>
      <c r="Q15" s="13"/>
      <c r="R15" s="11"/>
      <c r="S15" s="12"/>
      <c r="T15" s="13"/>
      <c r="U15" s="13"/>
      <c r="V15" s="13"/>
      <c r="W15" s="77"/>
      <c r="X15" s="11"/>
      <c r="Y15" s="76"/>
      <c r="Z15" s="77"/>
    </row>
    <row r="16" spans="1:26" ht="49.95" customHeight="1">
      <c r="A16" s="29" t="s">
        <v>80</v>
      </c>
      <c r="B16" s="103">
        <v>99059</v>
      </c>
      <c r="C16" s="150" t="s">
        <v>78</v>
      </c>
      <c r="D16" s="30"/>
      <c r="E16" s="30"/>
      <c r="F16" s="30"/>
      <c r="G16" s="30"/>
      <c r="H16" s="30"/>
      <c r="I16" s="30"/>
      <c r="J16" s="151">
        <v>13.9</v>
      </c>
      <c r="K16" s="146" t="s">
        <v>610</v>
      </c>
      <c r="L16" s="11">
        <v>1</v>
      </c>
      <c r="M16" s="12">
        <f>TRUNC(L16*F18,2)</f>
        <v>0</v>
      </c>
      <c r="N16" s="13">
        <f>TRUNC(M16*G18)+0</f>
        <v>0</v>
      </c>
      <c r="O16" s="11"/>
      <c r="P16" s="12"/>
      <c r="Q16" s="13"/>
      <c r="R16" s="11"/>
      <c r="S16" s="12"/>
      <c r="T16" s="13"/>
      <c r="U16" s="13"/>
      <c r="V16" s="13"/>
      <c r="W16" s="77">
        <f>TRUNC(G18*V16)+0</f>
        <v>0</v>
      </c>
      <c r="X16" s="11"/>
      <c r="Y16" s="76">
        <f>TRUNC(X16*F18,2)</f>
        <v>0</v>
      </c>
      <c r="Z16" s="77">
        <f>TRUNC(Y16*G18)+0</f>
        <v>0</v>
      </c>
    </row>
    <row r="17" spans="1:26" ht="19.95" customHeight="1">
      <c r="A17" s="29"/>
      <c r="B17" s="103"/>
      <c r="C17" s="34" t="s">
        <v>687</v>
      </c>
      <c r="D17" s="30">
        <v>1</v>
      </c>
      <c r="E17" s="30">
        <v>13.9</v>
      </c>
      <c r="F17" s="30"/>
      <c r="G17" s="30"/>
      <c r="H17" s="145">
        <v>13.9</v>
      </c>
      <c r="I17" s="145">
        <v>13.9</v>
      </c>
      <c r="J17" s="146"/>
      <c r="K17" s="146"/>
      <c r="L17" s="11"/>
      <c r="M17" s="12"/>
      <c r="N17" s="13"/>
      <c r="O17" s="11"/>
      <c r="P17" s="12"/>
      <c r="Q17" s="13"/>
      <c r="R17" s="11"/>
      <c r="S17" s="12"/>
      <c r="T17" s="13"/>
      <c r="U17" s="13"/>
      <c r="V17" s="13"/>
      <c r="W17" s="77"/>
      <c r="X17" s="11"/>
      <c r="Y17" s="76"/>
      <c r="Z17" s="77"/>
    </row>
    <row r="18" spans="1:26" ht="25.05" customHeight="1">
      <c r="A18" s="87" t="s">
        <v>17</v>
      </c>
      <c r="B18" s="208" t="s">
        <v>33</v>
      </c>
      <c r="C18" s="208"/>
      <c r="D18" s="141"/>
      <c r="E18" s="141"/>
      <c r="F18" s="141"/>
      <c r="G18" s="141"/>
      <c r="H18" s="144"/>
      <c r="I18" s="144"/>
      <c r="J18" s="144"/>
      <c r="K18" s="144"/>
      <c r="L18" s="11">
        <v>1</v>
      </c>
      <c r="M18" s="12" t="e">
        <f>TRUNC(L18*#REF!,2)</f>
        <v>#REF!</v>
      </c>
      <c r="N18" s="13" t="e">
        <f>TRUNC(M18*#REF!)+0.2</f>
        <v>#REF!</v>
      </c>
      <c r="O18" s="11"/>
      <c r="P18" s="12"/>
      <c r="Q18" s="13"/>
      <c r="R18" s="11"/>
      <c r="S18" s="12"/>
      <c r="T18" s="13"/>
      <c r="U18" s="13"/>
      <c r="V18" s="13"/>
      <c r="W18" s="77" t="e">
        <f>TRUNC(#REF!*V18)+0</f>
        <v>#REF!</v>
      </c>
      <c r="X18" s="11"/>
      <c r="Y18" s="76" t="e">
        <f>TRUNC(X18*#REF!,2)</f>
        <v>#REF!</v>
      </c>
      <c r="Z18" s="77" t="e">
        <f>TRUNC(Y18*#REF!)+0</f>
        <v>#REF!</v>
      </c>
    </row>
    <row r="19" spans="1:26" ht="49.95" customHeight="1">
      <c r="A19" s="152" t="s">
        <v>81</v>
      </c>
      <c r="B19" s="103">
        <v>93358</v>
      </c>
      <c r="C19" s="150" t="s">
        <v>410</v>
      </c>
      <c r="D19" s="30"/>
      <c r="E19" s="30"/>
      <c r="F19" s="30"/>
      <c r="G19" s="30"/>
      <c r="H19" s="30"/>
      <c r="I19" s="30"/>
      <c r="J19" s="151">
        <v>11.6</v>
      </c>
      <c r="K19" s="146" t="s">
        <v>623</v>
      </c>
      <c r="L19" s="11"/>
      <c r="M19" s="12"/>
      <c r="N19" s="13"/>
      <c r="O19" s="11"/>
      <c r="P19" s="12"/>
      <c r="Q19" s="13"/>
      <c r="R19" s="11"/>
      <c r="S19" s="12"/>
      <c r="T19" s="13"/>
      <c r="U19" s="13"/>
      <c r="V19" s="13"/>
      <c r="W19" s="77"/>
      <c r="X19" s="11"/>
      <c r="Y19" s="76"/>
      <c r="Z19" s="77"/>
    </row>
    <row r="20" spans="1:26" ht="19.95" customHeight="1">
      <c r="A20" s="152" t="s">
        <v>624</v>
      </c>
      <c r="B20" s="103"/>
      <c r="C20" s="34" t="s">
        <v>613</v>
      </c>
      <c r="D20" s="30">
        <v>6</v>
      </c>
      <c r="E20" s="30">
        <v>0.6</v>
      </c>
      <c r="F20" s="30">
        <v>0.75</v>
      </c>
      <c r="G20" s="30">
        <v>1.35</v>
      </c>
      <c r="H20" s="145">
        <v>0.60750000000000004</v>
      </c>
      <c r="I20" s="145">
        <v>3.65</v>
      </c>
      <c r="J20" s="146"/>
      <c r="K20" s="146"/>
      <c r="L20" s="11"/>
      <c r="M20" s="12"/>
      <c r="N20" s="13"/>
      <c r="O20" s="11"/>
      <c r="P20" s="12"/>
      <c r="Q20" s="13"/>
      <c r="R20" s="11"/>
      <c r="S20" s="12"/>
      <c r="T20" s="13"/>
      <c r="U20" s="13"/>
      <c r="V20" s="13"/>
      <c r="W20" s="77"/>
      <c r="X20" s="11"/>
      <c r="Y20" s="76"/>
      <c r="Z20" s="77"/>
    </row>
    <row r="21" spans="1:26" ht="19.95" customHeight="1">
      <c r="A21" s="152" t="s">
        <v>625</v>
      </c>
      <c r="B21" s="103"/>
      <c r="C21" s="34" t="s">
        <v>614</v>
      </c>
      <c r="D21" s="30">
        <v>4</v>
      </c>
      <c r="E21" s="30">
        <v>0.65</v>
      </c>
      <c r="F21" s="30">
        <v>0.7</v>
      </c>
      <c r="G21" s="30">
        <v>1.35</v>
      </c>
      <c r="H21" s="145">
        <v>0.61424999999999996</v>
      </c>
      <c r="I21" s="145">
        <v>2.46</v>
      </c>
      <c r="J21" s="146"/>
      <c r="K21" s="146"/>
      <c r="L21" s="11"/>
      <c r="M21" s="12"/>
      <c r="N21" s="13"/>
      <c r="O21" s="11"/>
      <c r="P21" s="12"/>
      <c r="Q21" s="13"/>
      <c r="R21" s="11"/>
      <c r="S21" s="12"/>
      <c r="T21" s="13"/>
      <c r="U21" s="13"/>
      <c r="V21" s="13"/>
      <c r="W21" s="77"/>
      <c r="X21" s="11"/>
      <c r="Y21" s="76"/>
      <c r="Z21" s="77"/>
    </row>
    <row r="22" spans="1:26" ht="19.95" customHeight="1">
      <c r="A22" s="152" t="s">
        <v>626</v>
      </c>
      <c r="B22" s="103"/>
      <c r="C22" s="34" t="s">
        <v>615</v>
      </c>
      <c r="D22" s="30">
        <v>2</v>
      </c>
      <c r="E22" s="30">
        <v>0.7</v>
      </c>
      <c r="F22" s="30">
        <v>0.8</v>
      </c>
      <c r="G22" s="30">
        <v>1.35</v>
      </c>
      <c r="H22" s="145">
        <v>0.75600000000000001</v>
      </c>
      <c r="I22" s="145">
        <v>1.51</v>
      </c>
      <c r="J22" s="146"/>
      <c r="K22" s="146"/>
      <c r="L22" s="11"/>
      <c r="M22" s="12"/>
      <c r="N22" s="13"/>
      <c r="O22" s="11"/>
      <c r="P22" s="12"/>
      <c r="Q22" s="13"/>
      <c r="R22" s="11"/>
      <c r="S22" s="12"/>
      <c r="T22" s="13"/>
      <c r="U22" s="13"/>
      <c r="V22" s="13"/>
      <c r="W22" s="77"/>
      <c r="X22" s="11"/>
      <c r="Y22" s="76"/>
      <c r="Z22" s="77"/>
    </row>
    <row r="23" spans="1:26" ht="19.95" customHeight="1">
      <c r="A23" s="152" t="s">
        <v>627</v>
      </c>
      <c r="B23" s="103"/>
      <c r="C23" s="34" t="s">
        <v>616</v>
      </c>
      <c r="D23" s="30">
        <v>2</v>
      </c>
      <c r="E23" s="30">
        <v>0.8</v>
      </c>
      <c r="F23" s="30">
        <v>0.9</v>
      </c>
      <c r="G23" s="30">
        <v>1.35</v>
      </c>
      <c r="H23" s="145">
        <v>0.97199999999999998</v>
      </c>
      <c r="I23" s="145">
        <v>1.94</v>
      </c>
      <c r="J23" s="146"/>
      <c r="K23" s="146"/>
      <c r="L23" s="11"/>
      <c r="M23" s="12"/>
      <c r="N23" s="13"/>
      <c r="O23" s="11"/>
      <c r="P23" s="12"/>
      <c r="Q23" s="13"/>
      <c r="R23" s="11"/>
      <c r="S23" s="12"/>
      <c r="T23" s="13"/>
      <c r="U23" s="13"/>
      <c r="V23" s="13"/>
      <c r="W23" s="77"/>
      <c r="X23" s="11"/>
      <c r="Y23" s="76"/>
      <c r="Z23" s="77"/>
    </row>
    <row r="24" spans="1:26" ht="19.95" customHeight="1">
      <c r="A24" s="152" t="s">
        <v>628</v>
      </c>
      <c r="B24" s="103"/>
      <c r="C24" s="34" t="s">
        <v>617</v>
      </c>
      <c r="D24" s="30">
        <v>1</v>
      </c>
      <c r="E24" s="30">
        <v>3</v>
      </c>
      <c r="F24" s="30">
        <v>0.15</v>
      </c>
      <c r="G24" s="30">
        <v>0.3</v>
      </c>
      <c r="H24" s="145">
        <v>0.13500000000000001</v>
      </c>
      <c r="I24" s="145">
        <v>0.14000000000000001</v>
      </c>
      <c r="J24" s="146"/>
      <c r="K24" s="146"/>
      <c r="L24" s="11"/>
      <c r="M24" s="12"/>
      <c r="N24" s="13"/>
      <c r="O24" s="11"/>
      <c r="P24" s="12"/>
      <c r="Q24" s="13"/>
      <c r="R24" s="11"/>
      <c r="S24" s="12"/>
      <c r="T24" s="13"/>
      <c r="U24" s="13"/>
      <c r="V24" s="13"/>
      <c r="W24" s="77"/>
      <c r="X24" s="11"/>
      <c r="Y24" s="76"/>
      <c r="Z24" s="77"/>
    </row>
    <row r="25" spans="1:26" ht="19.95" customHeight="1">
      <c r="A25" s="152" t="s">
        <v>629</v>
      </c>
      <c r="B25" s="103"/>
      <c r="C25" s="34" t="s">
        <v>618</v>
      </c>
      <c r="D25" s="30">
        <v>1</v>
      </c>
      <c r="E25" s="30">
        <v>3</v>
      </c>
      <c r="F25" s="30">
        <v>0.15</v>
      </c>
      <c r="G25" s="30">
        <v>0.3</v>
      </c>
      <c r="H25" s="145">
        <v>0.13500000000000001</v>
      </c>
      <c r="I25" s="145">
        <v>0.14000000000000001</v>
      </c>
      <c r="J25" s="146"/>
      <c r="K25" s="146"/>
      <c r="L25" s="11"/>
      <c r="M25" s="12"/>
      <c r="N25" s="13"/>
      <c r="O25" s="11"/>
      <c r="P25" s="12"/>
      <c r="Q25" s="13"/>
      <c r="R25" s="11"/>
      <c r="S25" s="12"/>
      <c r="T25" s="13"/>
      <c r="U25" s="13"/>
      <c r="V25" s="13"/>
      <c r="W25" s="77"/>
      <c r="X25" s="11"/>
      <c r="Y25" s="76"/>
      <c r="Z25" s="77"/>
    </row>
    <row r="26" spans="1:26" ht="19.95" customHeight="1">
      <c r="A26" s="152" t="s">
        <v>630</v>
      </c>
      <c r="B26" s="103"/>
      <c r="C26" s="34" t="s">
        <v>619</v>
      </c>
      <c r="D26" s="30">
        <v>1</v>
      </c>
      <c r="E26" s="30">
        <v>3</v>
      </c>
      <c r="F26" s="30">
        <v>0.15</v>
      </c>
      <c r="G26" s="30">
        <v>0.3</v>
      </c>
      <c r="H26" s="145">
        <v>0.13500000000000001</v>
      </c>
      <c r="I26" s="145">
        <v>0.14000000000000001</v>
      </c>
      <c r="J26" s="146"/>
      <c r="K26" s="146"/>
      <c r="L26" s="11"/>
      <c r="M26" s="12"/>
      <c r="N26" s="13"/>
      <c r="O26" s="11"/>
      <c r="P26" s="12"/>
      <c r="Q26" s="13"/>
      <c r="R26" s="11"/>
      <c r="S26" s="12"/>
      <c r="T26" s="13"/>
      <c r="U26" s="13"/>
      <c r="V26" s="13"/>
      <c r="W26" s="77"/>
      <c r="X26" s="11"/>
      <c r="Y26" s="76"/>
      <c r="Z26" s="77"/>
    </row>
    <row r="27" spans="1:26" ht="19.95" customHeight="1">
      <c r="A27" s="152" t="s">
        <v>631</v>
      </c>
      <c r="B27" s="103"/>
      <c r="C27" s="34" t="s">
        <v>620</v>
      </c>
      <c r="D27" s="30">
        <v>1</v>
      </c>
      <c r="E27" s="30">
        <v>3.35</v>
      </c>
      <c r="F27" s="30">
        <v>0.15</v>
      </c>
      <c r="G27" s="30">
        <v>0.3</v>
      </c>
      <c r="H27" s="145">
        <v>0.15075</v>
      </c>
      <c r="I27" s="145">
        <v>0.15</v>
      </c>
      <c r="J27" s="146"/>
      <c r="K27" s="146"/>
      <c r="L27" s="11"/>
      <c r="M27" s="12"/>
      <c r="N27" s="13"/>
      <c r="O27" s="11"/>
      <c r="P27" s="12"/>
      <c r="Q27" s="13"/>
      <c r="R27" s="11"/>
      <c r="S27" s="12"/>
      <c r="T27" s="13"/>
      <c r="U27" s="13"/>
      <c r="V27" s="13"/>
      <c r="W27" s="77"/>
      <c r="X27" s="11"/>
      <c r="Y27" s="76"/>
      <c r="Z27" s="77"/>
    </row>
    <row r="28" spans="1:26" ht="19.95" customHeight="1">
      <c r="A28" s="152" t="s">
        <v>632</v>
      </c>
      <c r="B28" s="103"/>
      <c r="C28" s="34" t="s">
        <v>621</v>
      </c>
      <c r="D28" s="30">
        <v>1</v>
      </c>
      <c r="E28" s="30">
        <v>3.35</v>
      </c>
      <c r="F28" s="30">
        <v>0.15</v>
      </c>
      <c r="G28" s="30">
        <v>0.3</v>
      </c>
      <c r="H28" s="145">
        <v>0.15075</v>
      </c>
      <c r="I28" s="145">
        <v>0.15</v>
      </c>
      <c r="J28" s="146"/>
      <c r="K28" s="146"/>
      <c r="L28" s="11"/>
      <c r="M28" s="12"/>
      <c r="N28" s="13"/>
      <c r="O28" s="11"/>
      <c r="P28" s="12"/>
      <c r="Q28" s="13"/>
      <c r="R28" s="11"/>
      <c r="S28" s="12"/>
      <c r="T28" s="13"/>
      <c r="U28" s="13"/>
      <c r="V28" s="13"/>
      <c r="W28" s="77"/>
      <c r="X28" s="11"/>
      <c r="Y28" s="76"/>
      <c r="Z28" s="77"/>
    </row>
    <row r="29" spans="1:26" ht="19.95" customHeight="1">
      <c r="A29" s="152" t="s">
        <v>633</v>
      </c>
      <c r="B29" s="103"/>
      <c r="C29" s="34" t="s">
        <v>622</v>
      </c>
      <c r="D29" s="30">
        <v>8</v>
      </c>
      <c r="E29" s="30">
        <v>4.1100000000000003</v>
      </c>
      <c r="F29" s="30">
        <v>0.2</v>
      </c>
      <c r="G29" s="30">
        <v>0.2</v>
      </c>
      <c r="H29" s="145">
        <v>0.16439999999999999</v>
      </c>
      <c r="I29" s="145">
        <v>1.32</v>
      </c>
      <c r="J29" s="146"/>
      <c r="K29" s="146"/>
      <c r="L29" s="11"/>
      <c r="M29" s="12"/>
      <c r="N29" s="13"/>
      <c r="O29" s="11"/>
      <c r="P29" s="12"/>
      <c r="Q29" s="13"/>
      <c r="R29" s="11"/>
      <c r="S29" s="12"/>
      <c r="T29" s="13"/>
      <c r="U29" s="13"/>
      <c r="V29" s="13"/>
      <c r="W29" s="77"/>
      <c r="X29" s="11"/>
      <c r="Y29" s="76"/>
      <c r="Z29" s="77"/>
    </row>
    <row r="30" spans="1:26" ht="49.95" customHeight="1">
      <c r="A30" s="29" t="s">
        <v>81</v>
      </c>
      <c r="B30" s="103">
        <v>104737</v>
      </c>
      <c r="C30" s="150" t="s">
        <v>411</v>
      </c>
      <c r="D30" s="30"/>
      <c r="E30" s="30"/>
      <c r="F30" s="30"/>
      <c r="G30" s="30"/>
      <c r="H30" s="30"/>
      <c r="I30" s="30"/>
      <c r="J30" s="151">
        <v>7.67</v>
      </c>
      <c r="K30" s="146" t="s">
        <v>623</v>
      </c>
      <c r="L30" s="11"/>
      <c r="M30" s="12"/>
      <c r="N30" s="13"/>
      <c r="O30" s="11"/>
      <c r="P30" s="12"/>
      <c r="Q30" s="13"/>
      <c r="R30" s="11"/>
      <c r="S30" s="12"/>
      <c r="T30" s="13"/>
      <c r="U30" s="13"/>
      <c r="V30" s="13"/>
      <c r="W30" s="77"/>
      <c r="X30" s="11"/>
      <c r="Y30" s="76"/>
      <c r="Z30" s="77"/>
    </row>
    <row r="31" spans="1:26" ht="19.95" customHeight="1">
      <c r="A31" s="29" t="s">
        <v>634</v>
      </c>
      <c r="B31" s="103"/>
      <c r="C31" s="34" t="s">
        <v>635</v>
      </c>
      <c r="D31" s="30">
        <v>1</v>
      </c>
      <c r="E31" s="30">
        <v>7.67</v>
      </c>
      <c r="F31" s="30"/>
      <c r="G31" s="30"/>
      <c r="H31" s="145">
        <v>7.67</v>
      </c>
      <c r="I31" s="145">
        <v>7.67</v>
      </c>
      <c r="J31" s="146"/>
      <c r="K31" s="146"/>
      <c r="L31" s="11"/>
      <c r="M31" s="12"/>
      <c r="N31" s="13"/>
      <c r="O31" s="11"/>
      <c r="P31" s="12"/>
      <c r="Q31" s="13"/>
      <c r="R31" s="11"/>
      <c r="S31" s="12"/>
      <c r="T31" s="13"/>
      <c r="U31" s="13"/>
      <c r="V31" s="13"/>
      <c r="W31" s="77"/>
      <c r="X31" s="11"/>
      <c r="Y31" s="76"/>
      <c r="Z31" s="77"/>
    </row>
    <row r="32" spans="1:26" ht="25.05" customHeight="1">
      <c r="A32" s="87" t="s">
        <v>18</v>
      </c>
      <c r="B32" s="208" t="s">
        <v>40</v>
      </c>
      <c r="C32" s="208"/>
      <c r="D32" s="141"/>
      <c r="E32" s="141"/>
      <c r="F32" s="141"/>
      <c r="G32" s="141"/>
      <c r="H32" s="144"/>
      <c r="I32" s="144"/>
      <c r="J32" s="144"/>
      <c r="K32" s="144"/>
      <c r="L32" s="11">
        <v>1</v>
      </c>
      <c r="M32" s="12" t="e">
        <f>TRUNC(L32*#REF!,2)</f>
        <v>#REF!</v>
      </c>
      <c r="N32" s="13" t="e">
        <f>TRUNC(M32*#REF!)+0.2</f>
        <v>#REF!</v>
      </c>
      <c r="O32" s="11"/>
      <c r="P32" s="12"/>
      <c r="Q32" s="13"/>
      <c r="R32" s="11"/>
      <c r="S32" s="12"/>
      <c r="T32" s="13"/>
      <c r="U32" s="13"/>
      <c r="V32" s="13"/>
      <c r="W32" s="77" t="e">
        <f>TRUNC(#REF!*V32)+0</f>
        <v>#REF!</v>
      </c>
      <c r="X32" s="11"/>
      <c r="Y32" s="76" t="e">
        <f>TRUNC(X32*#REF!,2)</f>
        <v>#REF!</v>
      </c>
      <c r="Z32" s="77" t="e">
        <f>TRUNC(Y32*#REF!)+0</f>
        <v>#REF!</v>
      </c>
    </row>
    <row r="33" spans="1:26" ht="49.95" customHeight="1">
      <c r="A33" s="86" t="s">
        <v>82</v>
      </c>
      <c r="B33" s="103">
        <v>96619</v>
      </c>
      <c r="C33" s="150" t="s">
        <v>412</v>
      </c>
      <c r="D33" s="30"/>
      <c r="E33" s="30"/>
      <c r="F33" s="30"/>
      <c r="G33" s="30"/>
      <c r="H33" s="30"/>
      <c r="I33" s="30"/>
      <c r="J33" s="151">
        <v>7.08</v>
      </c>
      <c r="K33" s="146" t="s">
        <v>610</v>
      </c>
      <c r="L33" s="11"/>
      <c r="M33" s="12"/>
      <c r="N33" s="13"/>
      <c r="O33" s="11"/>
      <c r="P33" s="12"/>
      <c r="Q33" s="13"/>
      <c r="R33" s="11"/>
      <c r="S33" s="12"/>
      <c r="T33" s="13"/>
      <c r="U33" s="13"/>
      <c r="V33" s="13"/>
      <c r="W33" s="77"/>
      <c r="X33" s="11"/>
      <c r="Y33" s="76"/>
      <c r="Z33" s="77"/>
    </row>
    <row r="34" spans="1:26" ht="19.95" customHeight="1">
      <c r="A34" s="29" t="s">
        <v>642</v>
      </c>
      <c r="B34" s="103"/>
      <c r="C34" s="34" t="s">
        <v>675</v>
      </c>
      <c r="D34" s="30">
        <v>6</v>
      </c>
      <c r="E34" s="30">
        <v>0.6</v>
      </c>
      <c r="F34" s="30">
        <v>0.75</v>
      </c>
      <c r="G34" s="30"/>
      <c r="H34" s="145">
        <v>0.45</v>
      </c>
      <c r="I34" s="145">
        <v>2.7</v>
      </c>
      <c r="J34" s="146"/>
      <c r="K34" s="146"/>
      <c r="L34" s="11"/>
      <c r="M34" s="12"/>
      <c r="N34" s="13"/>
      <c r="O34" s="11"/>
      <c r="P34" s="12"/>
      <c r="Q34" s="13"/>
      <c r="R34" s="11"/>
      <c r="S34" s="12"/>
      <c r="T34" s="13"/>
      <c r="U34" s="13"/>
      <c r="V34" s="13"/>
      <c r="W34" s="77"/>
      <c r="X34" s="11"/>
      <c r="Y34" s="76"/>
      <c r="Z34" s="77"/>
    </row>
    <row r="35" spans="1:26" ht="19.95" customHeight="1">
      <c r="A35" s="29" t="s">
        <v>643</v>
      </c>
      <c r="B35" s="103"/>
      <c r="C35" s="156" t="s">
        <v>676</v>
      </c>
      <c r="D35" s="30">
        <v>4</v>
      </c>
      <c r="E35" s="30">
        <v>0.65</v>
      </c>
      <c r="F35" s="30">
        <v>0.7</v>
      </c>
      <c r="G35" s="30"/>
      <c r="H35" s="145">
        <v>0.45500000000000002</v>
      </c>
      <c r="I35" s="145">
        <v>1.82</v>
      </c>
      <c r="J35" s="146"/>
      <c r="K35" s="146"/>
      <c r="L35" s="11"/>
      <c r="M35" s="12"/>
      <c r="N35" s="13"/>
      <c r="O35" s="11"/>
      <c r="P35" s="12"/>
      <c r="Q35" s="13"/>
      <c r="R35" s="11"/>
      <c r="S35" s="12"/>
      <c r="T35" s="13"/>
      <c r="U35" s="13"/>
      <c r="V35" s="13"/>
      <c r="W35" s="77"/>
      <c r="X35" s="11"/>
      <c r="Y35" s="76"/>
      <c r="Z35" s="77"/>
    </row>
    <row r="36" spans="1:26" ht="19.95" customHeight="1">
      <c r="A36" s="29" t="s">
        <v>644</v>
      </c>
      <c r="B36" s="103"/>
      <c r="C36" s="34" t="s">
        <v>677</v>
      </c>
      <c r="D36" s="30">
        <v>2</v>
      </c>
      <c r="E36" s="30">
        <v>0.7</v>
      </c>
      <c r="F36" s="30">
        <v>0.8</v>
      </c>
      <c r="G36" s="30"/>
      <c r="H36" s="145">
        <v>0.56000000000000005</v>
      </c>
      <c r="I36" s="145">
        <v>1.1200000000000001</v>
      </c>
      <c r="J36" s="146"/>
      <c r="K36" s="146"/>
      <c r="L36" s="11"/>
      <c r="M36" s="12"/>
      <c r="N36" s="13"/>
      <c r="O36" s="11"/>
      <c r="P36" s="12"/>
      <c r="Q36" s="13"/>
      <c r="R36" s="11"/>
      <c r="S36" s="12"/>
      <c r="T36" s="13"/>
      <c r="U36" s="13"/>
      <c r="V36" s="13"/>
      <c r="W36" s="77"/>
      <c r="X36" s="11"/>
      <c r="Y36" s="76"/>
      <c r="Z36" s="77"/>
    </row>
    <row r="37" spans="1:26" ht="19.95" customHeight="1">
      <c r="A37" s="29" t="s">
        <v>645</v>
      </c>
      <c r="B37" s="103"/>
      <c r="C37" s="34" t="s">
        <v>678</v>
      </c>
      <c r="D37" s="30">
        <v>2</v>
      </c>
      <c r="E37" s="30">
        <v>0.8</v>
      </c>
      <c r="F37" s="30">
        <v>0.9</v>
      </c>
      <c r="G37" s="30"/>
      <c r="H37" s="145">
        <v>0.72</v>
      </c>
      <c r="I37" s="145">
        <v>1.44</v>
      </c>
      <c r="J37" s="146"/>
      <c r="K37" s="146"/>
      <c r="L37" s="11"/>
      <c r="M37" s="12"/>
      <c r="N37" s="13"/>
      <c r="O37" s="11"/>
      <c r="P37" s="12"/>
      <c r="Q37" s="13"/>
      <c r="R37" s="11"/>
      <c r="S37" s="12"/>
      <c r="T37" s="13"/>
      <c r="U37" s="13"/>
      <c r="V37" s="13"/>
      <c r="W37" s="77"/>
      <c r="X37" s="11"/>
      <c r="Y37" s="76"/>
      <c r="Z37" s="77"/>
    </row>
    <row r="38" spans="1:26" ht="49.95" customHeight="1">
      <c r="A38" s="86" t="s">
        <v>83</v>
      </c>
      <c r="B38" s="103">
        <v>101616</v>
      </c>
      <c r="C38" s="150" t="s">
        <v>413</v>
      </c>
      <c r="D38" s="30"/>
      <c r="E38" s="30"/>
      <c r="F38" s="30"/>
      <c r="G38" s="30"/>
      <c r="H38" s="30"/>
      <c r="I38" s="30"/>
      <c r="J38" s="151">
        <v>16.010000000000002</v>
      </c>
      <c r="K38" s="146" t="s">
        <v>610</v>
      </c>
      <c r="L38" s="11"/>
      <c r="M38" s="12"/>
      <c r="N38" s="13"/>
      <c r="O38" s="11"/>
      <c r="P38" s="12"/>
      <c r="Q38" s="13"/>
      <c r="R38" s="11"/>
      <c r="S38" s="12"/>
      <c r="T38" s="13"/>
      <c r="U38" s="13"/>
      <c r="V38" s="13"/>
      <c r="W38" s="77"/>
      <c r="X38" s="11"/>
      <c r="Y38" s="76"/>
      <c r="Z38" s="77"/>
    </row>
    <row r="39" spans="1:26" ht="19.95" customHeight="1">
      <c r="A39" s="29" t="s">
        <v>646</v>
      </c>
      <c r="B39" s="103"/>
      <c r="C39" s="34" t="s">
        <v>675</v>
      </c>
      <c r="D39" s="30">
        <v>6</v>
      </c>
      <c r="E39" s="30">
        <v>0.6</v>
      </c>
      <c r="F39" s="30">
        <v>0.75</v>
      </c>
      <c r="G39" s="30"/>
      <c r="H39" s="158">
        <v>0.45</v>
      </c>
      <c r="I39" s="158">
        <v>2.7</v>
      </c>
      <c r="J39" s="133"/>
      <c r="K39" s="133"/>
      <c r="L39" s="11"/>
      <c r="M39" s="12"/>
      <c r="N39" s="13"/>
      <c r="O39" s="11"/>
      <c r="P39" s="12"/>
      <c r="Q39" s="13"/>
      <c r="R39" s="11"/>
      <c r="S39" s="12"/>
      <c r="T39" s="13"/>
      <c r="U39" s="13"/>
      <c r="V39" s="13"/>
      <c r="W39" s="77"/>
      <c r="X39" s="11"/>
      <c r="Y39" s="76"/>
      <c r="Z39" s="77"/>
    </row>
    <row r="40" spans="1:26" ht="19.95" customHeight="1">
      <c r="A40" s="29" t="s">
        <v>647</v>
      </c>
      <c r="B40" s="103"/>
      <c r="C40" s="34" t="s">
        <v>676</v>
      </c>
      <c r="D40" s="30">
        <v>4</v>
      </c>
      <c r="E40" s="30">
        <v>0.65</v>
      </c>
      <c r="F40" s="30">
        <v>0.7</v>
      </c>
      <c r="G40" s="30"/>
      <c r="H40" s="158">
        <v>0.45500000000000002</v>
      </c>
      <c r="I40" s="158">
        <v>1.82</v>
      </c>
      <c r="J40" s="133"/>
      <c r="K40" s="133"/>
      <c r="L40" s="11"/>
      <c r="M40" s="12"/>
      <c r="N40" s="13"/>
      <c r="O40" s="11"/>
      <c r="P40" s="12"/>
      <c r="Q40" s="13"/>
      <c r="R40" s="11"/>
      <c r="S40" s="12"/>
      <c r="T40" s="13"/>
      <c r="U40" s="13"/>
      <c r="V40" s="13"/>
      <c r="W40" s="77"/>
      <c r="X40" s="11"/>
      <c r="Y40" s="76"/>
      <c r="Z40" s="77"/>
    </row>
    <row r="41" spans="1:26" ht="19.95" customHeight="1">
      <c r="A41" s="29" t="s">
        <v>648</v>
      </c>
      <c r="B41" s="103"/>
      <c r="C41" s="157" t="s">
        <v>677</v>
      </c>
      <c r="D41" s="30">
        <v>2</v>
      </c>
      <c r="E41" s="30">
        <v>0.7</v>
      </c>
      <c r="F41" s="30">
        <v>0.8</v>
      </c>
      <c r="G41" s="30"/>
      <c r="H41" s="158">
        <v>0.56000000000000005</v>
      </c>
      <c r="I41" s="159">
        <v>1.1200000000000001</v>
      </c>
      <c r="J41" s="133"/>
      <c r="K41" s="133"/>
      <c r="L41" s="11"/>
      <c r="M41" s="12"/>
      <c r="N41" s="13"/>
      <c r="O41" s="11"/>
      <c r="P41" s="12"/>
      <c r="Q41" s="13"/>
      <c r="R41" s="11"/>
      <c r="S41" s="12"/>
      <c r="T41" s="13"/>
      <c r="U41" s="13"/>
      <c r="V41" s="13"/>
      <c r="W41" s="77"/>
      <c r="X41" s="11"/>
      <c r="Y41" s="76"/>
      <c r="Z41" s="77"/>
    </row>
    <row r="42" spans="1:26" ht="19.95" customHeight="1">
      <c r="A42" s="29" t="s">
        <v>649</v>
      </c>
      <c r="B42" s="103"/>
      <c r="C42" s="157" t="s">
        <v>678</v>
      </c>
      <c r="D42" s="30">
        <v>2</v>
      </c>
      <c r="E42" s="30">
        <v>0.8</v>
      </c>
      <c r="F42" s="30">
        <v>0.9</v>
      </c>
      <c r="G42" s="30"/>
      <c r="H42" s="158">
        <v>0.72</v>
      </c>
      <c r="I42" s="158">
        <v>1.44</v>
      </c>
      <c r="J42" s="133"/>
      <c r="K42" s="133"/>
      <c r="L42" s="11"/>
      <c r="M42" s="12"/>
      <c r="N42" s="13"/>
      <c r="O42" s="11"/>
      <c r="P42" s="12"/>
      <c r="Q42" s="13"/>
      <c r="R42" s="11"/>
      <c r="S42" s="12"/>
      <c r="T42" s="13"/>
      <c r="U42" s="13"/>
      <c r="V42" s="13"/>
      <c r="W42" s="77"/>
      <c r="X42" s="11"/>
      <c r="Y42" s="76"/>
      <c r="Z42" s="77"/>
    </row>
    <row r="43" spans="1:26" ht="19.95" customHeight="1">
      <c r="A43" s="29" t="s">
        <v>650</v>
      </c>
      <c r="B43" s="103"/>
      <c r="C43" s="157" t="s">
        <v>679</v>
      </c>
      <c r="D43" s="30">
        <v>1</v>
      </c>
      <c r="E43" s="30">
        <v>3</v>
      </c>
      <c r="F43" s="30">
        <v>0.15</v>
      </c>
      <c r="G43" s="30"/>
      <c r="H43" s="158">
        <v>0.45</v>
      </c>
      <c r="I43" s="158">
        <v>0.45</v>
      </c>
      <c r="J43" s="133"/>
      <c r="K43" s="133"/>
      <c r="L43" s="11"/>
      <c r="M43" s="12"/>
      <c r="N43" s="13"/>
      <c r="O43" s="11"/>
      <c r="P43" s="12"/>
      <c r="Q43" s="13"/>
      <c r="R43" s="11"/>
      <c r="S43" s="12"/>
      <c r="T43" s="13"/>
      <c r="U43" s="13"/>
      <c r="V43" s="13"/>
      <c r="W43" s="77"/>
      <c r="X43" s="11"/>
      <c r="Y43" s="76"/>
      <c r="Z43" s="77"/>
    </row>
    <row r="44" spans="1:26" ht="19.95" customHeight="1">
      <c r="A44" s="29" t="s">
        <v>651</v>
      </c>
      <c r="B44" s="103"/>
      <c r="C44" s="157" t="s">
        <v>680</v>
      </c>
      <c r="D44" s="30">
        <v>1</v>
      </c>
      <c r="E44" s="30">
        <v>3</v>
      </c>
      <c r="F44" s="30">
        <v>0.15</v>
      </c>
      <c r="G44" s="30"/>
      <c r="H44" s="158">
        <v>0.45</v>
      </c>
      <c r="I44" s="158">
        <v>0.45</v>
      </c>
      <c r="J44" s="133"/>
      <c r="K44" s="133"/>
      <c r="L44" s="11"/>
      <c r="M44" s="12"/>
      <c r="N44" s="13"/>
      <c r="O44" s="11"/>
      <c r="P44" s="12"/>
      <c r="Q44" s="13"/>
      <c r="R44" s="11"/>
      <c r="S44" s="12"/>
      <c r="T44" s="13"/>
      <c r="U44" s="13"/>
      <c r="V44" s="13"/>
      <c r="W44" s="77"/>
      <c r="X44" s="11"/>
      <c r="Y44" s="76"/>
      <c r="Z44" s="77"/>
    </row>
    <row r="45" spans="1:26" ht="19.95" customHeight="1">
      <c r="A45" s="29" t="s">
        <v>652</v>
      </c>
      <c r="B45" s="103"/>
      <c r="C45" s="157" t="s">
        <v>682</v>
      </c>
      <c r="D45" s="30">
        <v>1</v>
      </c>
      <c r="E45" s="30">
        <v>3</v>
      </c>
      <c r="F45" s="30">
        <v>0.15</v>
      </c>
      <c r="G45" s="30"/>
      <c r="H45" s="158">
        <v>0.45</v>
      </c>
      <c r="I45" s="158">
        <v>0.45</v>
      </c>
      <c r="J45" s="133"/>
      <c r="K45" s="133"/>
      <c r="L45" s="11"/>
      <c r="M45" s="12"/>
      <c r="N45" s="13"/>
      <c r="O45" s="11"/>
      <c r="P45" s="12"/>
      <c r="Q45" s="13"/>
      <c r="R45" s="11"/>
      <c r="S45" s="12"/>
      <c r="T45" s="13"/>
      <c r="U45" s="13"/>
      <c r="V45" s="13"/>
      <c r="W45" s="77"/>
      <c r="X45" s="11"/>
      <c r="Y45" s="76"/>
      <c r="Z45" s="77"/>
    </row>
    <row r="46" spans="1:26" ht="19.95" customHeight="1">
      <c r="A46" s="29" t="s">
        <v>653</v>
      </c>
      <c r="B46" s="103"/>
      <c r="C46" s="157" t="s">
        <v>683</v>
      </c>
      <c r="D46" s="30">
        <v>1</v>
      </c>
      <c r="E46" s="30">
        <v>3.35</v>
      </c>
      <c r="F46" s="30">
        <v>0.15</v>
      </c>
      <c r="G46" s="30"/>
      <c r="H46" s="158">
        <v>0.50249999999999995</v>
      </c>
      <c r="I46" s="158">
        <v>0.5</v>
      </c>
      <c r="J46" s="133"/>
      <c r="K46" s="133"/>
      <c r="L46" s="11"/>
      <c r="M46" s="12"/>
      <c r="N46" s="13"/>
      <c r="O46" s="11"/>
      <c r="P46" s="12"/>
      <c r="Q46" s="13"/>
      <c r="R46" s="11"/>
      <c r="S46" s="12"/>
      <c r="T46" s="13"/>
      <c r="U46" s="13"/>
      <c r="V46" s="13"/>
      <c r="W46" s="77"/>
      <c r="X46" s="11"/>
      <c r="Y46" s="76"/>
      <c r="Z46" s="77"/>
    </row>
    <row r="47" spans="1:26" ht="19.95" customHeight="1">
      <c r="A47" s="29" t="s">
        <v>654</v>
      </c>
      <c r="B47" s="103"/>
      <c r="C47" s="157" t="s">
        <v>684</v>
      </c>
      <c r="D47" s="30">
        <v>1</v>
      </c>
      <c r="E47" s="30">
        <v>3.35</v>
      </c>
      <c r="F47" s="30">
        <v>0.15</v>
      </c>
      <c r="G47" s="30"/>
      <c r="H47" s="158">
        <v>0.50249999999999995</v>
      </c>
      <c r="I47" s="158">
        <v>0.5</v>
      </c>
      <c r="J47" s="133"/>
      <c r="K47" s="133"/>
      <c r="L47" s="11"/>
      <c r="M47" s="12"/>
      <c r="N47" s="13"/>
      <c r="O47" s="11"/>
      <c r="P47" s="12"/>
      <c r="Q47" s="13"/>
      <c r="R47" s="11"/>
      <c r="S47" s="12"/>
      <c r="T47" s="13"/>
      <c r="U47" s="13"/>
      <c r="V47" s="13"/>
      <c r="W47" s="77"/>
      <c r="X47" s="11"/>
      <c r="Y47" s="76"/>
      <c r="Z47" s="77"/>
    </row>
    <row r="48" spans="1:26" ht="19.95" customHeight="1">
      <c r="A48" s="29" t="s">
        <v>655</v>
      </c>
      <c r="B48" s="103"/>
      <c r="C48" s="157" t="s">
        <v>681</v>
      </c>
      <c r="D48" s="30">
        <v>8</v>
      </c>
      <c r="E48" s="30">
        <v>4.1100000000000003</v>
      </c>
      <c r="F48" s="30">
        <v>0.2</v>
      </c>
      <c r="G48" s="30"/>
      <c r="H48">
        <v>0.82199999999999995</v>
      </c>
      <c r="I48" s="158">
        <v>6.58</v>
      </c>
      <c r="J48" s="133"/>
      <c r="K48" s="133"/>
      <c r="L48" s="11"/>
      <c r="M48" s="12"/>
      <c r="N48" s="13"/>
      <c r="O48" s="11"/>
      <c r="P48" s="12"/>
      <c r="Q48" s="13"/>
      <c r="R48" s="11"/>
      <c r="S48" s="12"/>
      <c r="T48" s="13"/>
      <c r="U48" s="13"/>
      <c r="V48" s="13"/>
      <c r="W48" s="77"/>
      <c r="X48" s="11"/>
      <c r="Y48" s="76"/>
      <c r="Z48" s="77"/>
    </row>
    <row r="49" spans="1:26" ht="49.95" customHeight="1">
      <c r="A49" s="86" t="s">
        <v>84</v>
      </c>
      <c r="B49" s="103">
        <v>94971</v>
      </c>
      <c r="C49" s="150" t="s">
        <v>414</v>
      </c>
      <c r="D49" s="30"/>
      <c r="E49" s="30"/>
      <c r="F49" s="30"/>
      <c r="G49" s="30"/>
      <c r="H49" s="30"/>
      <c r="I49" s="30"/>
      <c r="J49" s="151">
        <v>3.93</v>
      </c>
      <c r="K49" s="146" t="s">
        <v>623</v>
      </c>
      <c r="L49" s="11"/>
      <c r="M49" s="12"/>
      <c r="N49" s="13"/>
      <c r="O49" s="11"/>
      <c r="P49" s="12"/>
      <c r="Q49" s="13"/>
      <c r="R49" s="11"/>
      <c r="S49" s="12"/>
      <c r="T49" s="13"/>
      <c r="U49" s="13"/>
      <c r="V49" s="13"/>
      <c r="W49" s="77"/>
      <c r="X49" s="11"/>
      <c r="Y49" s="76"/>
      <c r="Z49" s="77"/>
    </row>
    <row r="50" spans="1:26" ht="19.95" customHeight="1">
      <c r="A50" s="29" t="s">
        <v>656</v>
      </c>
      <c r="B50" s="103"/>
      <c r="C50" s="34" t="s">
        <v>685</v>
      </c>
      <c r="D50" s="30">
        <v>1</v>
      </c>
      <c r="E50" s="30">
        <v>1.77</v>
      </c>
      <c r="F50" s="30"/>
      <c r="G50" s="30"/>
      <c r="H50" s="145">
        <v>1.77</v>
      </c>
      <c r="I50" s="145">
        <v>1.77</v>
      </c>
      <c r="J50" s="146"/>
      <c r="K50" s="146"/>
      <c r="L50" s="11"/>
      <c r="M50" s="12"/>
      <c r="N50" s="13"/>
      <c r="O50" s="11"/>
      <c r="P50" s="12"/>
      <c r="Q50" s="13"/>
      <c r="R50" s="11"/>
      <c r="S50" s="12"/>
      <c r="T50" s="13"/>
      <c r="U50" s="13"/>
      <c r="V50" s="13"/>
      <c r="W50" s="77"/>
      <c r="X50" s="11"/>
      <c r="Y50" s="76"/>
      <c r="Z50" s="77"/>
    </row>
    <row r="51" spans="1:26" ht="19.95" customHeight="1">
      <c r="A51" s="29" t="s">
        <v>657</v>
      </c>
      <c r="B51" s="103"/>
      <c r="C51" s="34" t="s">
        <v>686</v>
      </c>
      <c r="D51" s="30">
        <v>1</v>
      </c>
      <c r="E51" s="30">
        <v>2.16</v>
      </c>
      <c r="F51" s="30"/>
      <c r="G51" s="30"/>
      <c r="H51" s="145">
        <v>2.16</v>
      </c>
      <c r="I51" s="145">
        <v>2.16</v>
      </c>
      <c r="J51" s="146"/>
      <c r="K51" s="146"/>
      <c r="L51" s="11"/>
      <c r="M51" s="12"/>
      <c r="N51" s="13"/>
      <c r="O51" s="11"/>
      <c r="P51" s="12"/>
      <c r="Q51" s="13"/>
      <c r="R51" s="11"/>
      <c r="S51" s="12"/>
      <c r="T51" s="13"/>
      <c r="U51" s="13"/>
      <c r="V51" s="13"/>
      <c r="W51" s="77"/>
      <c r="X51" s="11"/>
      <c r="Y51" s="76"/>
      <c r="Z51" s="77"/>
    </row>
    <row r="52" spans="1:26" ht="49.95" customHeight="1">
      <c r="A52" s="86" t="s">
        <v>85</v>
      </c>
      <c r="B52" s="103">
        <v>103670</v>
      </c>
      <c r="C52" s="150" t="s">
        <v>415</v>
      </c>
      <c r="D52" s="30"/>
      <c r="E52" s="30"/>
      <c r="F52" s="30"/>
      <c r="G52" s="30"/>
      <c r="H52" s="30"/>
      <c r="I52" s="30"/>
      <c r="J52" s="151">
        <v>3.93</v>
      </c>
      <c r="K52" s="146" t="s">
        <v>623</v>
      </c>
      <c r="L52" s="11"/>
      <c r="M52" s="12"/>
      <c r="N52" s="13"/>
      <c r="O52" s="11"/>
      <c r="P52" s="12"/>
      <c r="Q52" s="13"/>
      <c r="R52" s="11"/>
      <c r="S52" s="12"/>
      <c r="T52" s="13"/>
      <c r="U52" s="13"/>
      <c r="V52" s="13"/>
      <c r="W52" s="77"/>
      <c r="X52" s="11"/>
      <c r="Y52" s="76"/>
      <c r="Z52" s="77"/>
    </row>
    <row r="53" spans="1:26" ht="19.95" customHeight="1">
      <c r="A53" s="29" t="s">
        <v>658</v>
      </c>
      <c r="B53" s="103"/>
      <c r="C53" s="34" t="s">
        <v>688</v>
      </c>
      <c r="D53" s="30">
        <v>1</v>
      </c>
      <c r="E53" s="30">
        <v>3.93</v>
      </c>
      <c r="F53" s="30"/>
      <c r="G53" s="30"/>
      <c r="H53" s="30">
        <v>3.93</v>
      </c>
      <c r="I53" s="30">
        <v>3.93</v>
      </c>
      <c r="J53" s="146"/>
      <c r="K53" s="146"/>
      <c r="L53" s="11"/>
      <c r="M53" s="12"/>
      <c r="N53" s="13"/>
      <c r="O53" s="11"/>
      <c r="P53" s="12"/>
      <c r="Q53" s="13"/>
      <c r="R53" s="11"/>
      <c r="S53" s="12"/>
      <c r="T53" s="13"/>
      <c r="U53" s="13"/>
      <c r="V53" s="13"/>
      <c r="W53" s="77"/>
      <c r="X53" s="11"/>
      <c r="Y53" s="76"/>
      <c r="Z53" s="77"/>
    </row>
    <row r="54" spans="1:26" ht="49.95" customHeight="1">
      <c r="A54" s="86" t="s">
        <v>86</v>
      </c>
      <c r="B54" s="103">
        <v>104927</v>
      </c>
      <c r="C54" s="150" t="s">
        <v>416</v>
      </c>
      <c r="D54" s="30"/>
      <c r="E54" s="30"/>
      <c r="F54" s="30"/>
      <c r="G54" s="30"/>
      <c r="H54" s="30"/>
      <c r="I54" s="30"/>
      <c r="J54" s="151">
        <v>9.9499999999999993</v>
      </c>
      <c r="K54" s="146" t="s">
        <v>610</v>
      </c>
      <c r="L54" s="11"/>
      <c r="M54" s="12"/>
      <c r="N54" s="13"/>
      <c r="O54" s="11"/>
      <c r="P54" s="12"/>
      <c r="Q54" s="13"/>
      <c r="R54" s="11"/>
      <c r="S54" s="12"/>
      <c r="T54" s="13"/>
      <c r="U54" s="13"/>
      <c r="V54" s="13"/>
      <c r="W54" s="77"/>
      <c r="X54" s="11"/>
      <c r="Y54" s="76"/>
      <c r="Z54" s="77"/>
    </row>
    <row r="55" spans="1:26" ht="19.95" customHeight="1">
      <c r="A55" s="29" t="s">
        <v>659</v>
      </c>
      <c r="B55" s="103"/>
      <c r="C55" s="34" t="s">
        <v>685</v>
      </c>
      <c r="D55" s="30">
        <v>1</v>
      </c>
      <c r="E55" s="30">
        <v>9.9499999999999993</v>
      </c>
      <c r="F55" s="30"/>
      <c r="G55" s="30"/>
      <c r="H55" s="145">
        <v>9.9499999999999993</v>
      </c>
      <c r="I55" s="145">
        <v>9.9499999999999993</v>
      </c>
      <c r="J55" s="146"/>
      <c r="K55" s="146"/>
      <c r="L55" s="11"/>
      <c r="M55" s="12"/>
      <c r="N55" s="13"/>
      <c r="O55" s="11"/>
      <c r="P55" s="12"/>
      <c r="Q55" s="13"/>
      <c r="R55" s="11"/>
      <c r="S55" s="12"/>
      <c r="T55" s="13"/>
      <c r="U55" s="13"/>
      <c r="V55" s="13"/>
      <c r="W55" s="77"/>
      <c r="X55" s="11"/>
      <c r="Y55" s="76"/>
      <c r="Z55" s="77"/>
    </row>
    <row r="56" spans="1:26" ht="49.95" customHeight="1">
      <c r="A56" s="86" t="s">
        <v>87</v>
      </c>
      <c r="B56" s="103">
        <v>96542</v>
      </c>
      <c r="C56" s="150" t="s">
        <v>417</v>
      </c>
      <c r="D56" s="30"/>
      <c r="E56" s="30"/>
      <c r="F56" s="30"/>
      <c r="G56" s="30"/>
      <c r="H56" s="30"/>
      <c r="I56" s="30"/>
      <c r="J56" s="151">
        <v>33.68</v>
      </c>
      <c r="K56" s="146" t="s">
        <v>610</v>
      </c>
      <c r="L56" s="11"/>
      <c r="M56" s="12"/>
      <c r="N56" s="13"/>
      <c r="O56" s="11"/>
      <c r="P56" s="12"/>
      <c r="Q56" s="13"/>
      <c r="R56" s="11"/>
      <c r="S56" s="12"/>
      <c r="T56" s="13"/>
      <c r="U56" s="13"/>
      <c r="V56" s="13"/>
      <c r="W56" s="77"/>
      <c r="X56" s="11"/>
      <c r="Y56" s="76"/>
      <c r="Z56" s="77"/>
    </row>
    <row r="57" spans="1:26" ht="19.95" customHeight="1">
      <c r="A57" s="29" t="s">
        <v>660</v>
      </c>
      <c r="B57" s="103"/>
      <c r="C57" s="34" t="s">
        <v>689</v>
      </c>
      <c r="D57" s="30">
        <v>1</v>
      </c>
      <c r="E57" s="30">
        <v>33.68</v>
      </c>
      <c r="F57" s="30"/>
      <c r="G57" s="30"/>
      <c r="H57" s="30">
        <v>33.68</v>
      </c>
      <c r="I57" s="30">
        <v>33.68</v>
      </c>
      <c r="J57" s="146"/>
      <c r="K57" s="146"/>
      <c r="L57" s="11"/>
      <c r="M57" s="12"/>
      <c r="N57" s="13"/>
      <c r="O57" s="11"/>
      <c r="P57" s="12"/>
      <c r="Q57" s="13"/>
      <c r="R57" s="11"/>
      <c r="S57" s="12"/>
      <c r="T57" s="13"/>
      <c r="U57" s="13"/>
      <c r="V57" s="13"/>
      <c r="W57" s="77"/>
      <c r="X57" s="11"/>
      <c r="Y57" s="76"/>
      <c r="Z57" s="77"/>
    </row>
    <row r="58" spans="1:26" ht="49.95" customHeight="1">
      <c r="A58" s="86" t="s">
        <v>88</v>
      </c>
      <c r="B58" s="103">
        <v>104917</v>
      </c>
      <c r="C58" s="150" t="s">
        <v>418</v>
      </c>
      <c r="D58" s="30"/>
      <c r="E58" s="30"/>
      <c r="F58" s="30"/>
      <c r="G58" s="30"/>
      <c r="H58" s="30"/>
      <c r="I58" s="30"/>
      <c r="J58" s="146">
        <v>53</v>
      </c>
      <c r="K58" s="146" t="s">
        <v>42</v>
      </c>
      <c r="L58" s="11"/>
      <c r="M58" s="12"/>
      <c r="N58" s="13"/>
      <c r="O58" s="11"/>
      <c r="P58" s="12"/>
      <c r="Q58" s="13"/>
      <c r="R58" s="11"/>
      <c r="S58" s="12"/>
      <c r="T58" s="13"/>
      <c r="U58" s="13"/>
      <c r="V58" s="13"/>
      <c r="W58" s="77"/>
      <c r="X58" s="11"/>
      <c r="Y58" s="76"/>
      <c r="Z58" s="77"/>
    </row>
    <row r="59" spans="1:26" ht="19.95" customHeight="1">
      <c r="A59" s="29" t="s">
        <v>661</v>
      </c>
      <c r="B59" s="103"/>
      <c r="C59" s="34" t="s">
        <v>690</v>
      </c>
      <c r="D59" s="30">
        <v>1</v>
      </c>
      <c r="E59" s="30">
        <v>53</v>
      </c>
      <c r="F59" s="30"/>
      <c r="G59" s="30"/>
      <c r="H59" s="30">
        <v>53</v>
      </c>
      <c r="I59" s="30">
        <v>53</v>
      </c>
      <c r="J59" s="146"/>
      <c r="K59" s="146"/>
      <c r="L59" s="11"/>
      <c r="M59" s="12"/>
      <c r="N59" s="13"/>
      <c r="O59" s="11"/>
      <c r="P59" s="12"/>
      <c r="Q59" s="13"/>
      <c r="R59" s="11"/>
      <c r="S59" s="12"/>
      <c r="T59" s="13"/>
      <c r="U59" s="13"/>
      <c r="V59" s="13"/>
      <c r="W59" s="77"/>
      <c r="X59" s="11"/>
      <c r="Y59" s="76"/>
      <c r="Z59" s="77"/>
    </row>
    <row r="60" spans="1:26" ht="49.95" customHeight="1">
      <c r="A60" s="86" t="s">
        <v>89</v>
      </c>
      <c r="B60" s="103">
        <v>104916</v>
      </c>
      <c r="C60" s="150" t="s">
        <v>419</v>
      </c>
      <c r="D60" s="30"/>
      <c r="E60" s="30"/>
      <c r="F60" s="30"/>
      <c r="G60" s="30"/>
      <c r="H60" s="30"/>
      <c r="I60" s="30"/>
      <c r="J60" s="151">
        <v>52.9</v>
      </c>
      <c r="K60" s="146" t="s">
        <v>42</v>
      </c>
      <c r="L60" s="11"/>
      <c r="M60" s="12"/>
      <c r="N60" s="13"/>
      <c r="O60" s="11"/>
      <c r="P60" s="12"/>
      <c r="Q60" s="13"/>
      <c r="R60" s="11"/>
      <c r="S60" s="12"/>
      <c r="T60" s="13"/>
      <c r="U60" s="13"/>
      <c r="V60" s="13"/>
      <c r="W60" s="77"/>
      <c r="X60" s="11"/>
      <c r="Y60" s="76"/>
      <c r="Z60" s="77"/>
    </row>
    <row r="61" spans="1:26" ht="19.95" customHeight="1">
      <c r="A61" s="86" t="s">
        <v>662</v>
      </c>
      <c r="B61" s="103"/>
      <c r="C61" s="34" t="s">
        <v>691</v>
      </c>
      <c r="D61" s="30">
        <v>1</v>
      </c>
      <c r="E61" s="30">
        <v>52.9</v>
      </c>
      <c r="F61" s="30"/>
      <c r="G61" s="30"/>
      <c r="H61" s="30">
        <v>52.9</v>
      </c>
      <c r="I61" s="30">
        <v>52.9</v>
      </c>
      <c r="J61" s="146"/>
      <c r="K61" s="146"/>
      <c r="L61" s="11"/>
      <c r="M61" s="12"/>
      <c r="N61" s="13"/>
      <c r="O61" s="11"/>
      <c r="P61" s="12"/>
      <c r="Q61" s="13"/>
      <c r="R61" s="11"/>
      <c r="S61" s="12"/>
      <c r="T61" s="13"/>
      <c r="U61" s="13"/>
      <c r="V61" s="13"/>
      <c r="W61" s="77"/>
      <c r="X61" s="11"/>
      <c r="Y61" s="76"/>
      <c r="Z61" s="77"/>
    </row>
    <row r="62" spans="1:26" ht="49.95" customHeight="1">
      <c r="A62" s="86" t="s">
        <v>90</v>
      </c>
      <c r="B62" s="103">
        <v>104918</v>
      </c>
      <c r="C62" s="150" t="s">
        <v>420</v>
      </c>
      <c r="D62" s="30"/>
      <c r="E62" s="30"/>
      <c r="F62" s="30"/>
      <c r="G62" s="30"/>
      <c r="H62" s="30"/>
      <c r="I62" s="30"/>
      <c r="J62" s="151">
        <v>81.2</v>
      </c>
      <c r="K62" s="146" t="s">
        <v>42</v>
      </c>
      <c r="L62" s="11"/>
      <c r="M62" s="12"/>
      <c r="N62" s="13"/>
      <c r="O62" s="11"/>
      <c r="P62" s="12"/>
      <c r="Q62" s="13"/>
      <c r="R62" s="11"/>
      <c r="S62" s="12"/>
      <c r="T62" s="13"/>
      <c r="U62" s="13"/>
      <c r="V62" s="13"/>
      <c r="W62" s="77"/>
      <c r="X62" s="11"/>
      <c r="Y62" s="76"/>
      <c r="Z62" s="77"/>
    </row>
    <row r="63" spans="1:26" ht="19.95" customHeight="1">
      <c r="A63" s="86" t="s">
        <v>663</v>
      </c>
      <c r="B63" s="103"/>
      <c r="C63" s="34" t="s">
        <v>689</v>
      </c>
      <c r="D63" s="30">
        <v>1</v>
      </c>
      <c r="E63" s="30">
        <v>81.2</v>
      </c>
      <c r="F63" s="30"/>
      <c r="H63" s="30">
        <v>81.2</v>
      </c>
      <c r="I63" s="30">
        <v>81.2</v>
      </c>
      <c r="J63" s="146"/>
      <c r="K63" s="146"/>
      <c r="L63" s="11"/>
      <c r="M63" s="12"/>
      <c r="N63" s="13"/>
      <c r="O63" s="11"/>
      <c r="P63" s="12"/>
      <c r="Q63" s="13"/>
      <c r="R63" s="11"/>
      <c r="S63" s="12"/>
      <c r="T63" s="13"/>
      <c r="U63" s="13"/>
      <c r="V63" s="13"/>
      <c r="W63" s="77"/>
      <c r="X63" s="11"/>
      <c r="Y63" s="76"/>
      <c r="Z63" s="77"/>
    </row>
    <row r="64" spans="1:26" ht="49.95" customHeight="1">
      <c r="A64" s="86" t="s">
        <v>91</v>
      </c>
      <c r="B64" s="103">
        <v>98557</v>
      </c>
      <c r="C64" s="150" t="s">
        <v>421</v>
      </c>
      <c r="D64" s="30"/>
      <c r="E64" s="30"/>
      <c r="F64" s="133" t="s">
        <v>692</v>
      </c>
      <c r="G64" s="30"/>
      <c r="H64" s="30"/>
      <c r="I64" s="30"/>
      <c r="J64" s="151">
        <v>43.73</v>
      </c>
      <c r="K64" s="146" t="s">
        <v>610</v>
      </c>
      <c r="L64" s="11"/>
      <c r="M64" s="12"/>
      <c r="N64" s="13"/>
      <c r="O64" s="11"/>
      <c r="P64" s="12"/>
      <c r="Q64" s="13"/>
      <c r="R64" s="11"/>
      <c r="S64" s="12"/>
      <c r="T64" s="13"/>
      <c r="U64" s="13"/>
      <c r="V64" s="13"/>
      <c r="W64" s="77"/>
      <c r="X64" s="11"/>
      <c r="Y64" s="76"/>
      <c r="Z64" s="77"/>
    </row>
    <row r="65" spans="1:26" ht="19.95" customHeight="1">
      <c r="A65" s="86" t="s">
        <v>664</v>
      </c>
      <c r="B65" s="103"/>
      <c r="C65" s="34" t="s">
        <v>679</v>
      </c>
      <c r="D65" s="30">
        <v>1</v>
      </c>
      <c r="E65" s="30">
        <v>3</v>
      </c>
      <c r="F65" s="30">
        <v>0.9</v>
      </c>
      <c r="G65" s="30"/>
      <c r="H65" s="145">
        <v>2.7</v>
      </c>
      <c r="I65" s="145">
        <v>2.7</v>
      </c>
      <c r="J65" s="146"/>
      <c r="K65" s="146"/>
      <c r="L65" s="11"/>
      <c r="M65" s="12"/>
      <c r="N65" s="13"/>
      <c r="O65" s="11"/>
      <c r="P65" s="12"/>
      <c r="Q65" s="13"/>
      <c r="R65" s="11"/>
      <c r="S65" s="12"/>
      <c r="T65" s="13"/>
      <c r="U65" s="13"/>
      <c r="V65" s="13"/>
      <c r="W65" s="77"/>
      <c r="X65" s="11"/>
      <c r="Y65" s="76"/>
      <c r="Z65" s="77"/>
    </row>
    <row r="66" spans="1:26" ht="19.95" customHeight="1">
      <c r="A66" s="86" t="s">
        <v>665</v>
      </c>
      <c r="B66" s="103"/>
      <c r="C66" s="160" t="s">
        <v>680</v>
      </c>
      <c r="D66" s="30">
        <v>1</v>
      </c>
      <c r="E66" s="30">
        <v>3</v>
      </c>
      <c r="F66" s="30">
        <v>0.9</v>
      </c>
      <c r="G66" s="30"/>
      <c r="H66" s="145">
        <v>2.7</v>
      </c>
      <c r="I66" s="145">
        <v>2.7</v>
      </c>
      <c r="J66" s="146"/>
      <c r="K66" s="146"/>
      <c r="L66" s="11"/>
      <c r="M66" s="12"/>
      <c r="N66" s="13"/>
      <c r="O66" s="11"/>
      <c r="P66" s="12"/>
      <c r="Q66" s="13"/>
      <c r="R66" s="11"/>
      <c r="S66" s="12"/>
      <c r="T66" s="13"/>
      <c r="U66" s="13"/>
      <c r="V66" s="13"/>
      <c r="W66" s="77"/>
      <c r="X66" s="11"/>
      <c r="Y66" s="76"/>
      <c r="Z66" s="77"/>
    </row>
    <row r="67" spans="1:26" ht="19.95" customHeight="1">
      <c r="A67" s="86" t="s">
        <v>666</v>
      </c>
      <c r="B67" s="103"/>
      <c r="C67" s="160" t="s">
        <v>682</v>
      </c>
      <c r="D67" s="30">
        <v>1</v>
      </c>
      <c r="E67" s="30">
        <v>3</v>
      </c>
      <c r="F67" s="30">
        <v>0.9</v>
      </c>
      <c r="G67" s="30"/>
      <c r="H67" s="145">
        <v>2.7</v>
      </c>
      <c r="I67" s="145">
        <v>2.7</v>
      </c>
      <c r="J67" s="146"/>
      <c r="K67" s="146"/>
      <c r="L67" s="11"/>
      <c r="M67" s="12"/>
      <c r="N67" s="13"/>
      <c r="O67" s="11"/>
      <c r="P67" s="12"/>
      <c r="Q67" s="13"/>
      <c r="R67" s="11"/>
      <c r="S67" s="12"/>
      <c r="T67" s="13"/>
      <c r="U67" s="13"/>
      <c r="V67" s="13"/>
      <c r="W67" s="77"/>
      <c r="X67" s="11"/>
      <c r="Y67" s="76"/>
      <c r="Z67" s="77"/>
    </row>
    <row r="68" spans="1:26" ht="19.95" customHeight="1">
      <c r="A68" s="86" t="s">
        <v>667</v>
      </c>
      <c r="B68" s="103"/>
      <c r="C68" s="160" t="s">
        <v>683</v>
      </c>
      <c r="D68" s="30">
        <v>1</v>
      </c>
      <c r="E68" s="30">
        <v>3.35</v>
      </c>
      <c r="F68" s="30">
        <v>0.9</v>
      </c>
      <c r="G68" s="30"/>
      <c r="H68" s="145">
        <v>3.0150000000000001</v>
      </c>
      <c r="I68" s="145">
        <v>3.02</v>
      </c>
      <c r="J68" s="146"/>
      <c r="K68" s="146"/>
      <c r="L68" s="11"/>
      <c r="M68" s="12"/>
      <c r="N68" s="13"/>
      <c r="O68" s="11"/>
      <c r="P68" s="12"/>
      <c r="Q68" s="13"/>
      <c r="R68" s="11"/>
      <c r="S68" s="12"/>
      <c r="T68" s="13"/>
      <c r="U68" s="13"/>
      <c r="V68" s="13"/>
      <c r="W68" s="77"/>
      <c r="X68" s="11"/>
      <c r="Y68" s="76"/>
      <c r="Z68" s="77"/>
    </row>
    <row r="69" spans="1:26" ht="19.95" customHeight="1">
      <c r="A69" s="86" t="s">
        <v>668</v>
      </c>
      <c r="B69" s="103"/>
      <c r="C69" s="160" t="s">
        <v>684</v>
      </c>
      <c r="D69" s="30">
        <v>1</v>
      </c>
      <c r="E69" s="30">
        <v>3.35</v>
      </c>
      <c r="F69" s="30">
        <v>0.9</v>
      </c>
      <c r="G69" s="30"/>
      <c r="H69" s="145">
        <v>3.0150000000000001</v>
      </c>
      <c r="I69" s="145">
        <v>3.02</v>
      </c>
      <c r="J69" s="146"/>
      <c r="K69" s="146"/>
      <c r="L69" s="11"/>
      <c r="M69" s="12"/>
      <c r="N69" s="13"/>
      <c r="O69" s="11"/>
      <c r="P69" s="12"/>
      <c r="Q69" s="13"/>
      <c r="R69" s="11"/>
      <c r="S69" s="12"/>
      <c r="T69" s="13"/>
      <c r="U69" s="13"/>
      <c r="V69" s="13"/>
      <c r="W69" s="77"/>
      <c r="X69" s="11"/>
      <c r="Y69" s="76"/>
      <c r="Z69" s="77"/>
    </row>
    <row r="70" spans="1:26" ht="19.95" customHeight="1">
      <c r="A70" s="86" t="s">
        <v>669</v>
      </c>
      <c r="B70" s="103"/>
      <c r="C70" s="34" t="s">
        <v>681</v>
      </c>
      <c r="D70" s="30">
        <v>8</v>
      </c>
      <c r="E70" s="30">
        <v>4.1100000000000003</v>
      </c>
      <c r="F70" s="30">
        <v>0.9</v>
      </c>
      <c r="G70" s="30"/>
      <c r="H70" s="145">
        <v>3.6989999999999998</v>
      </c>
      <c r="I70" s="145">
        <v>29.59</v>
      </c>
      <c r="J70" s="146"/>
      <c r="K70" s="146"/>
      <c r="L70" s="11"/>
      <c r="M70" s="12"/>
      <c r="N70" s="13"/>
      <c r="O70" s="11"/>
      <c r="P70" s="12"/>
      <c r="Q70" s="13"/>
      <c r="R70" s="11"/>
      <c r="S70" s="12"/>
      <c r="T70" s="13"/>
      <c r="U70" s="13"/>
      <c r="V70" s="13"/>
      <c r="W70" s="77"/>
      <c r="X70" s="11"/>
      <c r="Y70" s="76"/>
      <c r="Z70" s="77"/>
    </row>
    <row r="71" spans="1:26" ht="25.05" customHeight="1">
      <c r="A71" s="87" t="s">
        <v>92</v>
      </c>
      <c r="B71" s="208" t="s">
        <v>93</v>
      </c>
      <c r="C71" s="208"/>
      <c r="D71" s="141"/>
      <c r="E71" s="141"/>
      <c r="F71" s="141"/>
      <c r="G71" s="141"/>
      <c r="H71" s="144"/>
      <c r="I71" s="144"/>
      <c r="J71" s="144"/>
      <c r="K71" s="144"/>
      <c r="L71" s="11">
        <v>1</v>
      </c>
      <c r="M71" s="12" t="e">
        <f>TRUNC(L71*#REF!,2)</f>
        <v>#REF!</v>
      </c>
      <c r="N71" s="13" t="e">
        <f>TRUNC(M71*#REF!)+0.2</f>
        <v>#REF!</v>
      </c>
      <c r="O71" s="11"/>
      <c r="P71" s="12"/>
      <c r="Q71" s="13"/>
      <c r="R71" s="11"/>
      <c r="S71" s="12"/>
      <c r="T71" s="13"/>
      <c r="U71" s="13"/>
      <c r="V71" s="13"/>
      <c r="W71" s="77" t="e">
        <f>TRUNC(#REF!*V71)+0</f>
        <v>#REF!</v>
      </c>
      <c r="X71" s="11"/>
      <c r="Y71" s="76" t="e">
        <f>TRUNC(X71*#REF!,2)</f>
        <v>#REF!</v>
      </c>
      <c r="Z71" s="77" t="e">
        <f>TRUNC(Y71*#REF!)+0</f>
        <v>#REF!</v>
      </c>
    </row>
    <row r="72" spans="1:26" ht="49.95" customHeight="1">
      <c r="A72" s="26" t="s">
        <v>94</v>
      </c>
      <c r="B72" s="107">
        <v>92429</v>
      </c>
      <c r="C72" s="161" t="s">
        <v>422</v>
      </c>
      <c r="D72" s="30"/>
      <c r="E72" s="30"/>
      <c r="F72" s="30"/>
      <c r="G72" s="30"/>
      <c r="H72" s="30"/>
      <c r="I72" s="30"/>
      <c r="J72" s="151">
        <v>57.56</v>
      </c>
      <c r="K72" s="146" t="s">
        <v>610</v>
      </c>
      <c r="L72" s="11"/>
      <c r="M72" s="12"/>
      <c r="N72" s="13"/>
      <c r="O72" s="11"/>
      <c r="P72" s="12"/>
      <c r="Q72" s="13"/>
      <c r="R72" s="11"/>
      <c r="S72" s="12"/>
      <c r="T72" s="13"/>
      <c r="U72" s="13"/>
      <c r="V72" s="13"/>
      <c r="W72" s="77"/>
      <c r="X72" s="11"/>
      <c r="Y72" s="76"/>
      <c r="Z72" s="77"/>
    </row>
    <row r="73" spans="1:26" ht="19.95" customHeight="1">
      <c r="A73" s="26" t="s">
        <v>670</v>
      </c>
      <c r="B73" s="103"/>
      <c r="C73" s="34" t="s">
        <v>694</v>
      </c>
      <c r="D73" s="30">
        <v>1</v>
      </c>
      <c r="E73" s="30">
        <v>17.82</v>
      </c>
      <c r="F73" s="30"/>
      <c r="G73" s="30"/>
      <c r="H73" s="30">
        <v>17.82</v>
      </c>
      <c r="I73" s="30">
        <v>17.82</v>
      </c>
      <c r="J73" s="146"/>
      <c r="K73" s="146"/>
      <c r="L73" s="11"/>
      <c r="M73" s="12"/>
      <c r="N73" s="13"/>
      <c r="O73" s="11"/>
      <c r="P73" s="12"/>
      <c r="Q73" s="13"/>
      <c r="R73" s="11"/>
      <c r="S73" s="12"/>
      <c r="T73" s="13"/>
      <c r="U73" s="13"/>
      <c r="V73" s="13"/>
      <c r="W73" s="77"/>
      <c r="X73" s="11"/>
      <c r="Y73" s="76"/>
      <c r="Z73" s="77"/>
    </row>
    <row r="74" spans="1:26" ht="19.95" customHeight="1">
      <c r="A74" s="26" t="s">
        <v>671</v>
      </c>
      <c r="B74" s="103"/>
      <c r="C74" s="34" t="s">
        <v>695</v>
      </c>
      <c r="D74" s="30">
        <v>1</v>
      </c>
      <c r="E74" s="30">
        <v>33.93</v>
      </c>
      <c r="F74" s="30"/>
      <c r="G74" s="30"/>
      <c r="H74" s="30">
        <v>33.93</v>
      </c>
      <c r="I74" s="30">
        <v>33.93</v>
      </c>
      <c r="J74" s="146"/>
      <c r="K74" s="146"/>
      <c r="L74" s="11"/>
      <c r="M74" s="12"/>
      <c r="N74" s="13"/>
      <c r="O74" s="11"/>
      <c r="P74" s="12"/>
      <c r="Q74" s="13"/>
      <c r="R74" s="11"/>
      <c r="S74" s="12"/>
      <c r="T74" s="13"/>
      <c r="U74" s="13"/>
      <c r="V74" s="13"/>
      <c r="W74" s="77"/>
      <c r="X74" s="11"/>
      <c r="Y74" s="76"/>
      <c r="Z74" s="77"/>
    </row>
    <row r="75" spans="1:26" ht="19.95" customHeight="1">
      <c r="A75" s="26" t="s">
        <v>672</v>
      </c>
      <c r="B75" s="103"/>
      <c r="C75" s="34" t="s">
        <v>696</v>
      </c>
      <c r="D75" s="30">
        <v>1</v>
      </c>
      <c r="E75" s="30">
        <v>5.81</v>
      </c>
      <c r="F75" s="30"/>
      <c r="G75" s="30"/>
      <c r="H75" s="30">
        <v>5.81</v>
      </c>
      <c r="I75" s="30">
        <v>5.81</v>
      </c>
      <c r="J75" s="146"/>
      <c r="K75" s="146"/>
      <c r="L75" s="11"/>
      <c r="M75" s="12"/>
      <c r="N75" s="13"/>
      <c r="O75" s="11"/>
      <c r="P75" s="12"/>
      <c r="Q75" s="13"/>
      <c r="R75" s="11"/>
      <c r="S75" s="12"/>
      <c r="T75" s="13"/>
      <c r="U75" s="13"/>
      <c r="V75" s="13"/>
      <c r="W75" s="77"/>
      <c r="X75" s="11"/>
      <c r="Y75" s="76"/>
      <c r="Z75" s="77"/>
    </row>
    <row r="76" spans="1:26" ht="49.95" customHeight="1">
      <c r="A76" s="26" t="s">
        <v>95</v>
      </c>
      <c r="B76" s="107">
        <v>92476</v>
      </c>
      <c r="C76" s="161" t="s">
        <v>423</v>
      </c>
      <c r="D76" s="30"/>
      <c r="E76" s="30"/>
      <c r="F76" s="30"/>
      <c r="G76" s="30"/>
      <c r="H76" s="30"/>
      <c r="I76" s="30"/>
      <c r="J76" s="151">
        <v>12.9</v>
      </c>
      <c r="K76" s="146" t="s">
        <v>610</v>
      </c>
      <c r="L76" s="11"/>
      <c r="M76" s="12"/>
      <c r="N76" s="13"/>
      <c r="O76" s="11"/>
      <c r="P76" s="12"/>
      <c r="Q76" s="13"/>
      <c r="R76" s="11"/>
      <c r="S76" s="12"/>
      <c r="T76" s="13"/>
      <c r="U76" s="13"/>
      <c r="V76" s="13"/>
      <c r="W76" s="77"/>
      <c r="X76" s="11"/>
      <c r="Y76" s="76"/>
      <c r="Z76" s="77"/>
    </row>
    <row r="77" spans="1:26" ht="19.95" customHeight="1">
      <c r="A77" s="26" t="s">
        <v>673</v>
      </c>
      <c r="B77" s="103"/>
      <c r="C77" s="34" t="s">
        <v>698</v>
      </c>
      <c r="D77" s="30">
        <v>1</v>
      </c>
      <c r="E77" s="30">
        <v>12.9</v>
      </c>
      <c r="F77" s="30"/>
      <c r="G77" s="30"/>
      <c r="H77" s="145">
        <v>12.9</v>
      </c>
      <c r="I77" s="145">
        <v>12.9</v>
      </c>
      <c r="J77" s="146"/>
      <c r="K77" s="146"/>
      <c r="L77" s="11"/>
      <c r="M77" s="12"/>
      <c r="N77" s="13"/>
      <c r="O77" s="11"/>
      <c r="P77" s="12"/>
      <c r="Q77" s="13"/>
      <c r="R77" s="11"/>
      <c r="S77" s="12"/>
      <c r="T77" s="13"/>
      <c r="U77" s="13"/>
      <c r="V77" s="13"/>
      <c r="W77" s="77"/>
      <c r="X77" s="11"/>
      <c r="Y77" s="76"/>
      <c r="Z77" s="77"/>
    </row>
    <row r="78" spans="1:26" ht="49.95" customHeight="1">
      <c r="A78" s="26" t="s">
        <v>96</v>
      </c>
      <c r="B78" s="107">
        <v>92486</v>
      </c>
      <c r="C78" s="161" t="s">
        <v>424</v>
      </c>
      <c r="D78" s="30"/>
      <c r="E78" s="30"/>
      <c r="F78" s="30"/>
      <c r="G78" s="30"/>
      <c r="H78" s="30"/>
      <c r="I78" s="30"/>
      <c r="J78" s="151">
        <v>6.04</v>
      </c>
      <c r="K78" s="146" t="s">
        <v>610</v>
      </c>
      <c r="L78" s="11"/>
      <c r="M78" s="12"/>
      <c r="N78" s="13"/>
      <c r="O78" s="11"/>
      <c r="P78" s="12"/>
      <c r="Q78" s="13"/>
      <c r="R78" s="11"/>
      <c r="S78" s="12"/>
      <c r="T78" s="13"/>
      <c r="U78" s="13"/>
      <c r="V78" s="13"/>
      <c r="W78" s="77"/>
      <c r="X78" s="11"/>
      <c r="Y78" s="76"/>
      <c r="Z78" s="77"/>
    </row>
    <row r="79" spans="1:26" ht="19.95" customHeight="1">
      <c r="A79" s="26" t="s">
        <v>674</v>
      </c>
      <c r="B79" s="103"/>
      <c r="C79" s="34" t="s">
        <v>700</v>
      </c>
      <c r="D79" s="30">
        <v>1</v>
      </c>
      <c r="E79" s="30">
        <v>6.04</v>
      </c>
      <c r="F79" s="30"/>
      <c r="G79" s="30"/>
      <c r="H79" s="145">
        <v>6.04</v>
      </c>
      <c r="I79" s="145">
        <v>6.04</v>
      </c>
      <c r="J79" s="146"/>
      <c r="K79" s="146"/>
      <c r="L79" s="11"/>
      <c r="M79" s="12"/>
      <c r="N79" s="13"/>
      <c r="O79" s="11"/>
      <c r="P79" s="12"/>
      <c r="Q79" s="13"/>
      <c r="R79" s="11"/>
      <c r="S79" s="12"/>
      <c r="T79" s="13"/>
      <c r="U79" s="13"/>
      <c r="V79" s="13"/>
      <c r="W79" s="77"/>
      <c r="X79" s="11"/>
      <c r="Y79" s="76"/>
      <c r="Z79" s="77"/>
    </row>
    <row r="80" spans="1:26" ht="49.95" customHeight="1">
      <c r="A80" s="26" t="s">
        <v>97</v>
      </c>
      <c r="B80" s="107">
        <v>92759</v>
      </c>
      <c r="C80" s="161" t="s">
        <v>425</v>
      </c>
      <c r="D80" s="30"/>
      <c r="E80" s="30"/>
      <c r="F80" s="30"/>
      <c r="G80" s="30"/>
      <c r="H80" s="30"/>
      <c r="I80" s="30"/>
      <c r="J80" s="151"/>
      <c r="K80" s="146"/>
      <c r="L80" s="11"/>
      <c r="M80" s="12"/>
      <c r="N80" s="13"/>
      <c r="O80" s="11"/>
      <c r="P80" s="12"/>
      <c r="Q80" s="13"/>
      <c r="R80" s="11"/>
      <c r="S80" s="12"/>
      <c r="T80" s="13"/>
      <c r="U80" s="13"/>
      <c r="V80" s="13"/>
      <c r="W80" s="77"/>
      <c r="X80" s="11"/>
      <c r="Y80" s="76"/>
      <c r="Z80" s="77"/>
    </row>
    <row r="81" spans="1:26" ht="49.95" customHeight="1">
      <c r="A81" s="26" t="s">
        <v>98</v>
      </c>
      <c r="B81" s="107">
        <v>104108</v>
      </c>
      <c r="C81" s="161" t="s">
        <v>426</v>
      </c>
      <c r="D81" s="30"/>
      <c r="E81" s="30"/>
      <c r="F81" s="30"/>
      <c r="G81" s="30"/>
      <c r="H81" s="30"/>
      <c r="I81" s="30"/>
      <c r="J81" s="151"/>
      <c r="K81" s="146"/>
      <c r="L81" s="11"/>
      <c r="M81" s="12"/>
      <c r="N81" s="13"/>
      <c r="O81" s="11"/>
      <c r="P81" s="12"/>
      <c r="Q81" s="13"/>
      <c r="R81" s="11"/>
      <c r="S81" s="12"/>
      <c r="T81" s="13"/>
      <c r="U81" s="13"/>
      <c r="V81" s="13"/>
      <c r="W81" s="77"/>
      <c r="X81" s="11"/>
      <c r="Y81" s="76"/>
      <c r="Z81" s="77"/>
    </row>
    <row r="82" spans="1:26" ht="49.95" customHeight="1">
      <c r="A82" s="26" t="s">
        <v>99</v>
      </c>
      <c r="B82" s="107">
        <v>92761</v>
      </c>
      <c r="C82" s="161" t="s">
        <v>427</v>
      </c>
      <c r="D82" s="30"/>
      <c r="E82" s="30"/>
      <c r="F82" s="30"/>
      <c r="G82" s="30"/>
      <c r="H82" s="30"/>
      <c r="I82" s="30"/>
      <c r="J82" s="151"/>
      <c r="K82" s="146"/>
      <c r="L82" s="11"/>
      <c r="M82" s="12"/>
      <c r="N82" s="13"/>
      <c r="O82" s="11"/>
      <c r="P82" s="12"/>
      <c r="Q82" s="13"/>
      <c r="R82" s="11"/>
      <c r="S82" s="12"/>
      <c r="T82" s="13"/>
      <c r="U82" s="13"/>
      <c r="V82" s="13"/>
      <c r="W82" s="77"/>
      <c r="X82" s="11"/>
      <c r="Y82" s="76"/>
      <c r="Z82" s="77"/>
    </row>
    <row r="83" spans="1:26" ht="49.95" customHeight="1">
      <c r="A83" s="26" t="s">
        <v>100</v>
      </c>
      <c r="B83" s="107">
        <v>94971</v>
      </c>
      <c r="C83" s="161" t="s">
        <v>428</v>
      </c>
      <c r="D83" s="30"/>
      <c r="E83" s="30"/>
      <c r="F83" s="30"/>
      <c r="G83" s="30"/>
      <c r="H83" s="30"/>
      <c r="I83" s="30"/>
      <c r="J83" s="151"/>
      <c r="K83" s="146"/>
      <c r="L83" s="11"/>
      <c r="M83" s="12"/>
      <c r="N83" s="13"/>
      <c r="O83" s="11"/>
      <c r="P83" s="12"/>
      <c r="Q83" s="13"/>
      <c r="R83" s="11"/>
      <c r="S83" s="12"/>
      <c r="T83" s="13"/>
      <c r="U83" s="13"/>
      <c r="V83" s="13"/>
      <c r="W83" s="77"/>
      <c r="X83" s="11"/>
      <c r="Y83" s="76"/>
      <c r="Z83" s="77"/>
    </row>
    <row r="84" spans="1:26" ht="49.95" customHeight="1">
      <c r="A84" s="26" t="s">
        <v>101</v>
      </c>
      <c r="B84" s="107">
        <v>103670</v>
      </c>
      <c r="C84" s="161" t="s">
        <v>415</v>
      </c>
      <c r="D84" s="30"/>
      <c r="E84" s="30"/>
      <c r="F84" s="30"/>
      <c r="G84" s="30"/>
      <c r="H84" s="30"/>
      <c r="I84" s="30"/>
      <c r="J84" s="151"/>
      <c r="K84" s="146"/>
      <c r="L84" s="11"/>
      <c r="M84" s="12"/>
      <c r="N84" s="13"/>
      <c r="O84" s="11"/>
      <c r="P84" s="12"/>
      <c r="Q84" s="13"/>
      <c r="R84" s="11"/>
      <c r="S84" s="12"/>
      <c r="T84" s="13"/>
      <c r="U84" s="13"/>
      <c r="V84" s="13"/>
      <c r="W84" s="77"/>
      <c r="X84" s="11"/>
      <c r="Y84" s="76"/>
      <c r="Z84" s="77"/>
    </row>
    <row r="85" spans="1:26" ht="49.95" customHeight="1">
      <c r="A85" s="26" t="s">
        <v>102</v>
      </c>
      <c r="B85" s="107">
        <v>92768</v>
      </c>
      <c r="C85" s="161" t="s">
        <v>429</v>
      </c>
      <c r="D85" s="30"/>
      <c r="E85" s="30"/>
      <c r="F85" s="30"/>
      <c r="G85" s="30"/>
      <c r="H85" s="30"/>
      <c r="I85" s="30"/>
      <c r="J85" s="151"/>
      <c r="K85" s="146"/>
      <c r="L85" s="11"/>
      <c r="M85" s="12"/>
      <c r="N85" s="13"/>
      <c r="O85" s="11"/>
      <c r="P85" s="12"/>
      <c r="Q85" s="13"/>
      <c r="R85" s="11"/>
      <c r="S85" s="12"/>
      <c r="T85" s="13"/>
      <c r="U85" s="13"/>
      <c r="V85" s="13"/>
      <c r="W85" s="77"/>
      <c r="X85" s="11"/>
      <c r="Y85" s="76"/>
      <c r="Z85" s="77"/>
    </row>
    <row r="86" spans="1:26" ht="49.95" customHeight="1">
      <c r="A86" s="26" t="s">
        <v>103</v>
      </c>
      <c r="B86" s="107">
        <v>92769</v>
      </c>
      <c r="C86" s="161" t="s">
        <v>430</v>
      </c>
      <c r="D86" s="30"/>
      <c r="E86" s="30"/>
      <c r="F86" s="30"/>
      <c r="G86" s="30"/>
      <c r="H86" s="30"/>
      <c r="I86" s="30"/>
      <c r="J86" s="151"/>
      <c r="K86" s="146"/>
      <c r="L86" s="11"/>
      <c r="M86" s="12"/>
      <c r="N86" s="13"/>
      <c r="O86" s="11"/>
      <c r="P86" s="12"/>
      <c r="Q86" s="13"/>
      <c r="R86" s="11"/>
      <c r="S86" s="12"/>
      <c r="T86" s="13"/>
      <c r="U86" s="13"/>
      <c r="V86" s="13"/>
      <c r="W86" s="77"/>
      <c r="X86" s="11"/>
      <c r="Y86" s="76"/>
      <c r="Z86" s="77"/>
    </row>
    <row r="87" spans="1:26" ht="25.05" customHeight="1">
      <c r="A87" s="87" t="s">
        <v>104</v>
      </c>
      <c r="B87" s="208" t="s">
        <v>105</v>
      </c>
      <c r="C87" s="208"/>
      <c r="D87" s="141"/>
      <c r="E87" s="141"/>
      <c r="F87" s="141"/>
      <c r="G87" s="141"/>
      <c r="H87" s="144"/>
      <c r="I87" s="144"/>
      <c r="J87" s="144"/>
      <c r="K87" s="144"/>
      <c r="L87" s="11">
        <v>1</v>
      </c>
      <c r="M87" s="12" t="e">
        <f>TRUNC(L87*#REF!,2)</f>
        <v>#REF!</v>
      </c>
      <c r="N87" s="13" t="e">
        <f>TRUNC(M87*#REF!)+0.2</f>
        <v>#REF!</v>
      </c>
      <c r="O87" s="11"/>
      <c r="P87" s="12"/>
      <c r="Q87" s="13"/>
      <c r="R87" s="11"/>
      <c r="S87" s="12"/>
      <c r="T87" s="13"/>
      <c r="U87" s="13"/>
      <c r="V87" s="13"/>
      <c r="W87" s="77" t="e">
        <f>TRUNC(#REF!*V87)+0</f>
        <v>#REF!</v>
      </c>
      <c r="X87" s="11"/>
      <c r="Y87" s="76" t="e">
        <f>TRUNC(X87*#REF!,2)</f>
        <v>#REF!</v>
      </c>
      <c r="Z87" s="77" t="e">
        <f>TRUNC(Y87*#REF!)+0</f>
        <v>#REF!</v>
      </c>
    </row>
    <row r="88" spans="1:26" ht="49.95" customHeight="1">
      <c r="A88" s="29" t="s">
        <v>107</v>
      </c>
      <c r="B88" s="108">
        <v>103356</v>
      </c>
      <c r="C88" s="150" t="s">
        <v>431</v>
      </c>
      <c r="D88" s="30"/>
      <c r="E88" s="30"/>
      <c r="F88" s="30"/>
      <c r="G88" s="30"/>
      <c r="H88" s="30"/>
      <c r="I88" s="30"/>
      <c r="J88" s="151"/>
      <c r="K88" s="146"/>
      <c r="L88" s="11"/>
      <c r="M88" s="12"/>
      <c r="N88" s="13"/>
      <c r="O88" s="11"/>
      <c r="P88" s="12"/>
      <c r="Q88" s="13"/>
      <c r="R88" s="11"/>
      <c r="S88" s="12"/>
      <c r="T88" s="13"/>
      <c r="U88" s="13"/>
      <c r="V88" s="13"/>
      <c r="W88" s="77"/>
      <c r="X88" s="11"/>
      <c r="Y88" s="76"/>
      <c r="Z88" s="77"/>
    </row>
    <row r="89" spans="1:26" ht="49.95" customHeight="1">
      <c r="A89" s="29" t="s">
        <v>108</v>
      </c>
      <c r="B89" s="108">
        <v>105023</v>
      </c>
      <c r="C89" s="150" t="s">
        <v>432</v>
      </c>
      <c r="D89" s="30"/>
      <c r="E89" s="30"/>
      <c r="F89" s="30"/>
      <c r="G89" s="30"/>
      <c r="H89" s="30"/>
      <c r="I89" s="30"/>
      <c r="J89" s="151"/>
      <c r="K89" s="146"/>
      <c r="L89" s="11"/>
      <c r="M89" s="12"/>
      <c r="N89" s="13"/>
      <c r="O89" s="11"/>
      <c r="P89" s="12"/>
      <c r="Q89" s="13"/>
      <c r="R89" s="11"/>
      <c r="S89" s="12"/>
      <c r="T89" s="13"/>
      <c r="U89" s="13"/>
      <c r="V89" s="13"/>
      <c r="W89" s="77"/>
      <c r="X89" s="11"/>
      <c r="Y89" s="76"/>
      <c r="Z89" s="77"/>
    </row>
    <row r="90" spans="1:26" ht="49.95" customHeight="1">
      <c r="A90" s="29" t="s">
        <v>109</v>
      </c>
      <c r="B90" s="108">
        <v>105029</v>
      </c>
      <c r="C90" s="150" t="s">
        <v>433</v>
      </c>
      <c r="D90" s="30"/>
      <c r="E90" s="30"/>
      <c r="F90" s="30"/>
      <c r="G90" s="30"/>
      <c r="H90" s="30"/>
      <c r="I90" s="30"/>
      <c r="J90" s="151"/>
      <c r="K90" s="146"/>
      <c r="L90" s="11"/>
      <c r="M90" s="12"/>
      <c r="N90" s="13"/>
      <c r="O90" s="11"/>
      <c r="P90" s="12"/>
      <c r="Q90" s="13"/>
      <c r="R90" s="11"/>
      <c r="S90" s="12"/>
      <c r="T90" s="13"/>
      <c r="U90" s="13"/>
      <c r="V90" s="13"/>
      <c r="W90" s="77"/>
      <c r="X90" s="11"/>
      <c r="Y90" s="76"/>
      <c r="Z90" s="77"/>
    </row>
    <row r="91" spans="1:26" ht="25.05" customHeight="1">
      <c r="A91" s="87" t="s">
        <v>106</v>
      </c>
      <c r="B91" s="208" t="s">
        <v>45</v>
      </c>
      <c r="C91" s="208"/>
      <c r="D91" s="141"/>
      <c r="E91" s="141"/>
      <c r="F91" s="141"/>
      <c r="G91" s="141"/>
      <c r="H91" s="144"/>
      <c r="I91" s="144"/>
      <c r="J91" s="144"/>
      <c r="K91" s="144"/>
      <c r="L91" s="11">
        <v>1</v>
      </c>
      <c r="M91" s="12" t="e">
        <f>TRUNC(L91*#REF!,2)</f>
        <v>#REF!</v>
      </c>
      <c r="N91" s="13" t="e">
        <f>TRUNC(M91*#REF!)+0.2</f>
        <v>#REF!</v>
      </c>
      <c r="O91" s="11"/>
      <c r="P91" s="12"/>
      <c r="Q91" s="13"/>
      <c r="R91" s="11"/>
      <c r="S91" s="12"/>
      <c r="T91" s="13"/>
      <c r="U91" s="13"/>
      <c r="V91" s="13"/>
      <c r="W91" s="77" t="e">
        <f>TRUNC(#REF!*V91)+0</f>
        <v>#REF!</v>
      </c>
      <c r="X91" s="11"/>
      <c r="Y91" s="76" t="e">
        <f>TRUNC(X91*#REF!,2)</f>
        <v>#REF!</v>
      </c>
      <c r="Z91" s="77" t="e">
        <f>TRUNC(Y91*#REF!)+0</f>
        <v>#REF!</v>
      </c>
    </row>
    <row r="92" spans="1:26" ht="49.95" customHeight="1">
      <c r="A92" s="29" t="s">
        <v>110</v>
      </c>
      <c r="B92" s="33">
        <v>87878</v>
      </c>
      <c r="C92" s="150" t="s">
        <v>494</v>
      </c>
      <c r="D92" s="30"/>
      <c r="E92" s="30"/>
      <c r="F92" s="30"/>
      <c r="G92" s="30"/>
      <c r="H92" s="30"/>
      <c r="I92" s="30"/>
      <c r="J92" s="151"/>
      <c r="K92" s="146"/>
      <c r="L92" s="11"/>
      <c r="M92" s="12"/>
      <c r="N92" s="13"/>
      <c r="O92" s="11"/>
      <c r="P92" s="12"/>
      <c r="Q92" s="13"/>
      <c r="R92" s="11"/>
      <c r="S92" s="12"/>
      <c r="T92" s="13"/>
      <c r="U92" s="13"/>
      <c r="V92" s="13"/>
      <c r="W92" s="77"/>
      <c r="X92" s="11"/>
      <c r="Y92" s="76"/>
      <c r="Z92" s="77"/>
    </row>
    <row r="93" spans="1:26" ht="49.95" customHeight="1">
      <c r="A93" s="29" t="s">
        <v>111</v>
      </c>
      <c r="B93" s="33">
        <v>87545</v>
      </c>
      <c r="C93" s="150" t="s">
        <v>435</v>
      </c>
      <c r="D93" s="30"/>
      <c r="E93" s="30"/>
      <c r="F93" s="30"/>
      <c r="G93" s="30"/>
      <c r="H93" s="30"/>
      <c r="I93" s="30"/>
      <c r="J93" s="151"/>
      <c r="K93" s="146"/>
      <c r="L93" s="11"/>
      <c r="M93" s="12"/>
      <c r="N93" s="13"/>
      <c r="O93" s="11"/>
      <c r="P93" s="12"/>
      <c r="Q93" s="13"/>
      <c r="R93" s="11"/>
      <c r="S93" s="12"/>
      <c r="T93" s="13"/>
      <c r="U93" s="13"/>
      <c r="V93" s="13"/>
      <c r="W93" s="77"/>
      <c r="X93" s="11"/>
      <c r="Y93" s="76"/>
      <c r="Z93" s="77"/>
    </row>
    <row r="94" spans="1:26" ht="49.95" customHeight="1">
      <c r="A94" s="29" t="s">
        <v>112</v>
      </c>
      <c r="B94" s="33">
        <v>87529</v>
      </c>
      <c r="C94" s="150" t="s">
        <v>436</v>
      </c>
      <c r="D94" s="30"/>
      <c r="E94" s="30"/>
      <c r="F94" s="30"/>
      <c r="G94" s="30"/>
      <c r="H94" s="30"/>
      <c r="I94" s="30"/>
      <c r="J94" s="151"/>
      <c r="K94" s="146"/>
      <c r="L94" s="11"/>
      <c r="M94" s="12"/>
      <c r="N94" s="13"/>
      <c r="O94" s="11"/>
      <c r="P94" s="12"/>
      <c r="Q94" s="13"/>
      <c r="R94" s="11"/>
      <c r="S94" s="12"/>
      <c r="T94" s="13"/>
      <c r="U94" s="13"/>
      <c r="V94" s="13"/>
      <c r="W94" s="77"/>
      <c r="X94" s="11"/>
      <c r="Y94" s="76"/>
      <c r="Z94" s="77"/>
    </row>
    <row r="95" spans="1:26" ht="49.95" customHeight="1">
      <c r="A95" s="29" t="s">
        <v>113</v>
      </c>
      <c r="B95" s="109" t="s">
        <v>409</v>
      </c>
      <c r="C95" s="150" t="s">
        <v>437</v>
      </c>
      <c r="D95" s="30"/>
      <c r="E95" s="30"/>
      <c r="F95" s="30"/>
      <c r="G95" s="30"/>
      <c r="H95" s="30"/>
      <c r="I95" s="30"/>
      <c r="J95" s="151"/>
      <c r="K95" s="146"/>
      <c r="L95" s="11"/>
      <c r="M95" s="12"/>
      <c r="N95" s="13"/>
      <c r="O95" s="11"/>
      <c r="P95" s="12"/>
      <c r="Q95" s="13"/>
      <c r="R95" s="11"/>
      <c r="S95" s="12"/>
      <c r="T95" s="13"/>
      <c r="U95" s="13"/>
      <c r="V95" s="13"/>
      <c r="W95" s="77"/>
      <c r="X95" s="11"/>
      <c r="Y95" s="76"/>
      <c r="Z95" s="77"/>
    </row>
    <row r="96" spans="1:26" ht="49.95" customHeight="1">
      <c r="A96" s="29" t="s">
        <v>114</v>
      </c>
      <c r="B96" s="33">
        <v>87908</v>
      </c>
      <c r="C96" s="150" t="s">
        <v>438</v>
      </c>
      <c r="D96" s="30"/>
      <c r="E96" s="30"/>
      <c r="F96" s="30"/>
      <c r="G96" s="30"/>
      <c r="H96" s="30"/>
      <c r="I96" s="30"/>
      <c r="J96" s="151"/>
      <c r="K96" s="146"/>
      <c r="L96" s="11"/>
      <c r="M96" s="12"/>
      <c r="N96" s="13"/>
      <c r="O96" s="11"/>
      <c r="P96" s="12"/>
      <c r="Q96" s="13"/>
      <c r="R96" s="11"/>
      <c r="S96" s="12"/>
      <c r="T96" s="13"/>
      <c r="U96" s="13"/>
      <c r="V96" s="13"/>
      <c r="W96" s="77"/>
      <c r="X96" s="11"/>
      <c r="Y96" s="76"/>
      <c r="Z96" s="77"/>
    </row>
    <row r="97" spans="1:37" ht="49.95" customHeight="1">
      <c r="A97" s="29" t="s">
        <v>115</v>
      </c>
      <c r="B97" s="33">
        <v>104218</v>
      </c>
      <c r="C97" s="150" t="s">
        <v>439</v>
      </c>
      <c r="D97" s="30"/>
      <c r="E97" s="30"/>
      <c r="F97" s="30"/>
      <c r="G97" s="30"/>
      <c r="H97" s="30"/>
      <c r="I97" s="30"/>
      <c r="J97" s="151"/>
      <c r="K97" s="146"/>
      <c r="L97" s="11"/>
      <c r="M97" s="12"/>
      <c r="N97" s="13"/>
      <c r="O97" s="11"/>
      <c r="P97" s="12"/>
      <c r="Q97" s="13"/>
      <c r="R97" s="11"/>
      <c r="S97" s="12"/>
      <c r="T97" s="13"/>
      <c r="U97" s="13"/>
      <c r="V97" s="13"/>
      <c r="W97" s="77"/>
      <c r="X97" s="11"/>
      <c r="Y97" s="76"/>
      <c r="Z97" s="77"/>
    </row>
    <row r="98" spans="1:37" ht="49.95" customHeight="1">
      <c r="A98" s="29" t="s">
        <v>116</v>
      </c>
      <c r="B98" s="33">
        <v>13</v>
      </c>
      <c r="C98" s="150" t="s">
        <v>440</v>
      </c>
      <c r="D98" s="30"/>
      <c r="E98" s="30"/>
      <c r="F98" s="30"/>
      <c r="G98" s="30"/>
      <c r="H98" s="30"/>
      <c r="I98" s="30"/>
      <c r="J98" s="151"/>
      <c r="K98" s="146"/>
      <c r="L98" s="11"/>
      <c r="M98" s="12"/>
      <c r="N98" s="13"/>
      <c r="O98" s="11"/>
      <c r="P98" s="12"/>
      <c r="Q98" s="13"/>
      <c r="R98" s="11"/>
      <c r="S98" s="12"/>
      <c r="T98" s="13"/>
      <c r="U98" s="13"/>
      <c r="V98" s="13"/>
      <c r="W98" s="77"/>
      <c r="X98" s="11"/>
      <c r="Y98" s="76"/>
      <c r="Z98" s="77"/>
    </row>
    <row r="99" spans="1:37" ht="49.95" customHeight="1">
      <c r="A99" s="29" t="s">
        <v>117</v>
      </c>
      <c r="B99" s="109" t="s">
        <v>409</v>
      </c>
      <c r="C99" s="150" t="s">
        <v>437</v>
      </c>
      <c r="D99" s="30"/>
      <c r="E99" s="30"/>
      <c r="F99" s="30"/>
      <c r="G99" s="30"/>
      <c r="H99" s="30"/>
      <c r="I99" s="30"/>
      <c r="J99" s="151"/>
      <c r="K99" s="146"/>
      <c r="L99" s="11"/>
      <c r="M99" s="12"/>
      <c r="N99" s="13"/>
      <c r="O99" s="11"/>
      <c r="P99" s="12"/>
      <c r="Q99" s="13"/>
      <c r="R99" s="11"/>
      <c r="S99" s="12"/>
      <c r="T99" s="13"/>
      <c r="U99" s="13"/>
      <c r="V99" s="13"/>
      <c r="W99" s="77"/>
      <c r="X99" s="11"/>
      <c r="Y99" s="76"/>
      <c r="Z99" s="77"/>
    </row>
    <row r="100" spans="1:37" ht="49.95" customHeight="1">
      <c r="A100" s="29" t="s">
        <v>118</v>
      </c>
      <c r="B100" s="33">
        <v>98555</v>
      </c>
      <c r="C100" s="150" t="s">
        <v>441</v>
      </c>
      <c r="D100" s="30"/>
      <c r="E100" s="30"/>
      <c r="F100" s="30"/>
      <c r="G100" s="30"/>
      <c r="H100" s="30"/>
      <c r="I100" s="30"/>
      <c r="J100" s="151"/>
      <c r="K100" s="146"/>
      <c r="L100" s="11"/>
      <c r="M100" s="12"/>
      <c r="N100" s="13"/>
      <c r="O100" s="11"/>
      <c r="P100" s="12"/>
      <c r="Q100" s="13"/>
      <c r="R100" s="11"/>
      <c r="S100" s="12"/>
      <c r="T100" s="13"/>
      <c r="U100" s="13"/>
      <c r="V100" s="13"/>
      <c r="W100" s="77"/>
      <c r="X100" s="11"/>
      <c r="Y100" s="76"/>
      <c r="Z100" s="77"/>
    </row>
    <row r="101" spans="1:37" ht="25.05" customHeight="1">
      <c r="A101" s="87" t="s">
        <v>119</v>
      </c>
      <c r="B101" s="208" t="s">
        <v>120</v>
      </c>
      <c r="C101" s="208"/>
      <c r="D101" s="141"/>
      <c r="E101" s="141"/>
      <c r="F101" s="141"/>
      <c r="G101" s="141"/>
      <c r="H101" s="144"/>
      <c r="I101" s="144"/>
      <c r="J101" s="144"/>
      <c r="K101" s="144"/>
      <c r="L101" s="11">
        <v>1</v>
      </c>
      <c r="M101" s="12" t="e">
        <f>TRUNC(L101*#REF!,2)</f>
        <v>#REF!</v>
      </c>
      <c r="N101" s="13" t="e">
        <f>TRUNC(M101*#REF!)+0.2</f>
        <v>#REF!</v>
      </c>
      <c r="O101" s="11"/>
      <c r="P101" s="12"/>
      <c r="Q101" s="13"/>
      <c r="R101" s="11"/>
      <c r="S101" s="12"/>
      <c r="T101" s="13"/>
      <c r="U101" s="13"/>
      <c r="V101" s="13"/>
      <c r="W101" s="77" t="e">
        <f>TRUNC(#REF!*V101)+0</f>
        <v>#REF!</v>
      </c>
      <c r="X101" s="11"/>
      <c r="Y101" s="76" t="e">
        <f>TRUNC(X101*#REF!,2)</f>
        <v>#REF!</v>
      </c>
      <c r="Z101" s="77" t="e">
        <f>TRUNC(Y101*#REF!)+0</f>
        <v>#REF!</v>
      </c>
    </row>
    <row r="102" spans="1:37" ht="49.95" customHeight="1">
      <c r="A102" s="153" t="s">
        <v>121</v>
      </c>
      <c r="B102" s="154">
        <v>96486</v>
      </c>
      <c r="C102" s="165" t="s">
        <v>442</v>
      </c>
      <c r="D102" s="30"/>
      <c r="E102" s="30"/>
      <c r="F102" s="30"/>
      <c r="G102" s="30"/>
      <c r="H102" s="30"/>
      <c r="I102" s="30"/>
      <c r="J102" s="151"/>
      <c r="K102" s="146"/>
      <c r="L102" s="11"/>
      <c r="M102" s="12"/>
      <c r="N102" s="13"/>
      <c r="O102" s="11"/>
      <c r="P102" s="12"/>
      <c r="Q102" s="13"/>
      <c r="R102" s="11"/>
      <c r="S102" s="12"/>
      <c r="T102" s="13"/>
      <c r="U102" s="13"/>
      <c r="V102" s="13"/>
      <c r="W102" s="77"/>
      <c r="X102" s="11"/>
      <c r="Y102" s="76"/>
      <c r="Z102" s="77"/>
    </row>
    <row r="103" spans="1:37" ht="49.95" customHeight="1">
      <c r="A103" s="153" t="s">
        <v>122</v>
      </c>
      <c r="B103" s="154">
        <v>96121</v>
      </c>
      <c r="C103" s="165" t="s">
        <v>443</v>
      </c>
      <c r="D103" s="30"/>
      <c r="E103" s="30"/>
      <c r="F103" s="30"/>
      <c r="G103" s="30"/>
      <c r="H103" s="30"/>
      <c r="I103" s="30"/>
      <c r="J103" s="151"/>
      <c r="K103" s="146"/>
      <c r="L103" s="11"/>
      <c r="M103" s="12"/>
      <c r="N103" s="13"/>
      <c r="O103" s="11"/>
      <c r="P103" s="12"/>
      <c r="Q103" s="13"/>
      <c r="R103" s="11"/>
      <c r="S103" s="12"/>
      <c r="T103" s="13"/>
      <c r="U103" s="13"/>
      <c r="V103" s="13"/>
      <c r="W103" s="77"/>
      <c r="X103" s="11"/>
      <c r="Y103" s="76"/>
      <c r="Z103" s="77"/>
    </row>
    <row r="104" spans="1:37" ht="25.05" customHeight="1">
      <c r="A104" s="87" t="s">
        <v>123</v>
      </c>
      <c r="B104" s="208" t="s">
        <v>46</v>
      </c>
      <c r="C104" s="208"/>
      <c r="D104" s="141"/>
      <c r="E104" s="141"/>
      <c r="F104" s="141"/>
      <c r="G104" s="141"/>
      <c r="H104" s="144"/>
      <c r="I104" s="144"/>
      <c r="J104" s="144"/>
      <c r="K104" s="144"/>
      <c r="L104" s="11">
        <v>1</v>
      </c>
      <c r="M104" s="12" t="e">
        <f>TRUNC(L104*#REF!,2)</f>
        <v>#REF!</v>
      </c>
      <c r="N104" s="13" t="e">
        <f>TRUNC(M104*#REF!)+0.2</f>
        <v>#REF!</v>
      </c>
      <c r="O104" s="11"/>
      <c r="P104" s="12"/>
      <c r="Q104" s="13"/>
      <c r="R104" s="11"/>
      <c r="S104" s="12"/>
      <c r="T104" s="13"/>
      <c r="U104" s="13"/>
      <c r="V104" s="13"/>
      <c r="W104" s="77" t="e">
        <f>TRUNC(#REF!*V104)+0</f>
        <v>#REF!</v>
      </c>
      <c r="X104" s="11"/>
      <c r="Y104" s="76" t="e">
        <f>TRUNC(X104*#REF!,2)</f>
        <v>#REF!</v>
      </c>
      <c r="Z104" s="77" t="e">
        <f>TRUNC(Y104*#REF!)+0</f>
        <v>#REF!</v>
      </c>
    </row>
    <row r="105" spans="1:37" ht="49.95" customHeight="1">
      <c r="A105" s="17" t="s">
        <v>844</v>
      </c>
      <c r="B105" s="33">
        <v>95241</v>
      </c>
      <c r="C105" s="150" t="s">
        <v>444</v>
      </c>
      <c r="D105" s="30"/>
      <c r="E105" s="30"/>
      <c r="F105" s="30"/>
      <c r="G105" s="30"/>
      <c r="H105" s="30"/>
      <c r="I105" s="30"/>
      <c r="J105" s="151"/>
      <c r="K105" s="146"/>
      <c r="L105" s="11"/>
      <c r="M105" s="12"/>
      <c r="N105" s="13"/>
      <c r="O105" s="11"/>
      <c r="P105" s="12"/>
      <c r="Q105" s="13"/>
      <c r="R105" s="11"/>
      <c r="S105" s="12"/>
      <c r="T105" s="13"/>
      <c r="U105" s="13"/>
      <c r="V105" s="13"/>
      <c r="W105" s="77"/>
      <c r="X105" s="11"/>
      <c r="Y105" s="76"/>
      <c r="Z105" s="77"/>
    </row>
    <row r="106" spans="1:37" ht="49.95" customHeight="1">
      <c r="A106" s="17" t="s">
        <v>845</v>
      </c>
      <c r="B106" s="33">
        <v>87622</v>
      </c>
      <c r="C106" s="150" t="s">
        <v>445</v>
      </c>
      <c r="D106" s="30"/>
      <c r="E106" s="30"/>
      <c r="F106" s="30"/>
      <c r="G106" s="30"/>
      <c r="H106" s="30"/>
      <c r="I106" s="30"/>
      <c r="J106" s="151"/>
      <c r="K106" s="146"/>
      <c r="L106" s="11"/>
      <c r="M106" s="12"/>
      <c r="N106" s="13"/>
      <c r="O106" s="11"/>
      <c r="P106" s="12"/>
      <c r="Q106" s="13"/>
      <c r="R106" s="11"/>
      <c r="S106" s="12"/>
      <c r="T106" s="13"/>
      <c r="U106" s="13"/>
      <c r="V106" s="13"/>
      <c r="W106" s="77"/>
      <c r="X106" s="11"/>
      <c r="Y106" s="76"/>
      <c r="Z106" s="77"/>
    </row>
    <row r="107" spans="1:37" ht="49.95" customHeight="1">
      <c r="A107" s="17" t="s">
        <v>846</v>
      </c>
      <c r="B107" s="109" t="s">
        <v>409</v>
      </c>
      <c r="C107" s="150" t="s">
        <v>437</v>
      </c>
      <c r="D107" s="30"/>
      <c r="E107" s="30"/>
      <c r="F107" s="30"/>
      <c r="G107" s="30"/>
      <c r="H107" s="30"/>
      <c r="I107" s="30"/>
      <c r="J107" s="151"/>
      <c r="K107" s="146"/>
      <c r="L107" s="11"/>
      <c r="M107" s="12"/>
      <c r="N107" s="13"/>
      <c r="O107" s="11"/>
      <c r="P107" s="12"/>
      <c r="Q107" s="13"/>
      <c r="R107" s="11"/>
      <c r="S107" s="12"/>
      <c r="T107" s="13"/>
      <c r="U107" s="13"/>
      <c r="V107" s="13"/>
      <c r="W107" s="77"/>
      <c r="X107" s="11"/>
      <c r="Y107" s="76"/>
      <c r="Z107" s="77"/>
    </row>
    <row r="108" spans="1:37" ht="25.05" customHeight="1">
      <c r="A108" s="87" t="s">
        <v>124</v>
      </c>
      <c r="B108" s="208" t="s">
        <v>125</v>
      </c>
      <c r="C108" s="208"/>
      <c r="D108" s="141"/>
      <c r="E108" s="141"/>
      <c r="F108" s="141"/>
      <c r="G108" s="141"/>
      <c r="H108" s="144"/>
      <c r="I108" s="144"/>
      <c r="J108" s="144"/>
      <c r="K108" s="144"/>
      <c r="L108" s="11">
        <v>1</v>
      </c>
      <c r="M108" s="12" t="e">
        <f>TRUNC(L108*#REF!,2)</f>
        <v>#REF!</v>
      </c>
      <c r="N108" s="13" t="e">
        <f>TRUNC(M108*#REF!)+0.2</f>
        <v>#REF!</v>
      </c>
      <c r="O108" s="11"/>
      <c r="P108" s="12"/>
      <c r="Q108" s="13"/>
      <c r="R108" s="11"/>
      <c r="S108" s="12"/>
      <c r="T108" s="13"/>
      <c r="U108" s="13"/>
      <c r="V108" s="13"/>
      <c r="W108" s="77" t="e">
        <f>TRUNC(#REF!*V108)+0</f>
        <v>#REF!</v>
      </c>
      <c r="X108" s="11"/>
      <c r="Y108" s="76" t="e">
        <f>TRUNC(X108*#REF!,2)</f>
        <v>#REF!</v>
      </c>
      <c r="Z108" s="77" t="e">
        <f>TRUNC(Y108*#REF!)+0</f>
        <v>#REF!</v>
      </c>
    </row>
    <row r="109" spans="1:37" s="69" customFormat="1" ht="25.05" customHeight="1">
      <c r="A109" s="87" t="s">
        <v>126</v>
      </c>
      <c r="B109" s="208" t="s">
        <v>47</v>
      </c>
      <c r="C109" s="208"/>
      <c r="D109" s="141"/>
      <c r="E109" s="141"/>
      <c r="F109" s="141"/>
      <c r="G109" s="141"/>
      <c r="H109" s="144"/>
      <c r="I109" s="144"/>
      <c r="J109" s="144"/>
      <c r="K109" s="144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49.95" customHeight="1">
      <c r="A110" s="86" t="s">
        <v>127</v>
      </c>
      <c r="B110" s="108">
        <v>102607</v>
      </c>
      <c r="C110" s="150" t="s">
        <v>446</v>
      </c>
      <c r="D110" s="30"/>
      <c r="E110" s="30"/>
      <c r="F110" s="30"/>
      <c r="G110" s="30"/>
      <c r="H110" s="30"/>
      <c r="I110" s="30"/>
      <c r="J110" s="151"/>
      <c r="K110" s="146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spans="1:37" ht="49.95" customHeight="1">
      <c r="A111" s="86" t="s">
        <v>128</v>
      </c>
      <c r="B111" s="108">
        <v>94795</v>
      </c>
      <c r="C111" s="150" t="s">
        <v>447</v>
      </c>
      <c r="D111" s="30"/>
      <c r="E111" s="30"/>
      <c r="F111" s="30"/>
      <c r="G111" s="30"/>
      <c r="H111" s="30"/>
      <c r="I111" s="30"/>
      <c r="J111" s="151"/>
      <c r="K111" s="146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spans="1:37" ht="49.95" customHeight="1">
      <c r="A112" s="86" t="s">
        <v>129</v>
      </c>
      <c r="B112" s="108">
        <v>86888</v>
      </c>
      <c r="C112" s="150" t="s">
        <v>448</v>
      </c>
      <c r="D112" s="30"/>
      <c r="E112" s="30"/>
      <c r="F112" s="30"/>
      <c r="G112" s="30"/>
      <c r="H112" s="30"/>
      <c r="I112" s="30"/>
      <c r="J112" s="151"/>
      <c r="K112" s="146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spans="1:26" ht="49.95" customHeight="1">
      <c r="A113" s="86" t="s">
        <v>130</v>
      </c>
      <c r="B113" s="155">
        <v>1370</v>
      </c>
      <c r="C113" s="150" t="s">
        <v>449</v>
      </c>
      <c r="D113" s="30"/>
      <c r="E113" s="30"/>
      <c r="F113" s="30"/>
      <c r="G113" s="30"/>
      <c r="H113" s="30"/>
      <c r="I113" s="30"/>
      <c r="J113" s="151"/>
      <c r="K113" s="146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spans="1:26" ht="49.95" customHeight="1">
      <c r="A114" s="86" t="s">
        <v>131</v>
      </c>
      <c r="B114" s="155">
        <v>10427</v>
      </c>
      <c r="C114" s="150" t="s">
        <v>450</v>
      </c>
      <c r="D114" s="30"/>
      <c r="E114" s="30"/>
      <c r="F114" s="30"/>
      <c r="G114" s="30"/>
      <c r="H114" s="30"/>
      <c r="I114" s="30"/>
      <c r="J114" s="151"/>
      <c r="K114" s="146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spans="1:26" ht="49.95" customHeight="1">
      <c r="A115" s="86" t="s">
        <v>132</v>
      </c>
      <c r="B115" s="155">
        <v>6136</v>
      </c>
      <c r="C115" s="150" t="s">
        <v>451</v>
      </c>
      <c r="D115" s="30"/>
      <c r="E115" s="30"/>
      <c r="F115" s="30"/>
      <c r="G115" s="30"/>
      <c r="H115" s="30"/>
      <c r="I115" s="30"/>
      <c r="J115" s="151"/>
      <c r="K115" s="146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spans="1:26" ht="49.95" customHeight="1">
      <c r="A116" s="86" t="s">
        <v>133</v>
      </c>
      <c r="B116" s="108">
        <v>86886</v>
      </c>
      <c r="C116" s="150" t="s">
        <v>452</v>
      </c>
      <c r="D116" s="30"/>
      <c r="E116" s="30"/>
      <c r="F116" s="30"/>
      <c r="G116" s="30"/>
      <c r="H116" s="30"/>
      <c r="I116" s="30"/>
      <c r="J116" s="151"/>
      <c r="K116" s="146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spans="1:26" ht="49.95" customHeight="1">
      <c r="A117" s="86" t="s">
        <v>134</v>
      </c>
      <c r="B117" s="108">
        <v>86936</v>
      </c>
      <c r="C117" s="150" t="s">
        <v>453</v>
      </c>
      <c r="D117" s="30"/>
      <c r="E117" s="30"/>
      <c r="F117" s="30"/>
      <c r="G117" s="30"/>
      <c r="H117" s="30"/>
      <c r="I117" s="30"/>
      <c r="J117" s="151"/>
      <c r="K117" s="146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spans="1:26" ht="49.95" customHeight="1">
      <c r="A118" s="86" t="s">
        <v>135</v>
      </c>
      <c r="B118" s="108">
        <v>86911</v>
      </c>
      <c r="C118" s="150" t="s">
        <v>454</v>
      </c>
      <c r="D118" s="30"/>
      <c r="E118" s="30"/>
      <c r="F118" s="30"/>
      <c r="G118" s="30"/>
      <c r="H118" s="30"/>
      <c r="I118" s="30"/>
      <c r="J118" s="151"/>
      <c r="K118" s="146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spans="1:26" ht="49.95" customHeight="1">
      <c r="A119" s="86" t="s">
        <v>136</v>
      </c>
      <c r="B119" s="155">
        <v>13983</v>
      </c>
      <c r="C119" s="150" t="s">
        <v>455</v>
      </c>
      <c r="D119" s="30"/>
      <c r="E119" s="30"/>
      <c r="F119" s="30"/>
      <c r="G119" s="30"/>
      <c r="H119" s="30"/>
      <c r="I119" s="30"/>
      <c r="J119" s="151"/>
      <c r="K119" s="146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spans="1:26" ht="49.95" customHeight="1">
      <c r="A120" s="86" t="s">
        <v>137</v>
      </c>
      <c r="B120" s="108">
        <v>89987</v>
      </c>
      <c r="C120" s="150" t="s">
        <v>456</v>
      </c>
      <c r="D120" s="30"/>
      <c r="E120" s="30"/>
      <c r="F120" s="30"/>
      <c r="G120" s="30"/>
      <c r="H120" s="30"/>
      <c r="I120" s="30"/>
      <c r="J120" s="151"/>
      <c r="K120" s="146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spans="1:26" ht="49.95" customHeight="1">
      <c r="A121" s="86" t="s">
        <v>138</v>
      </c>
      <c r="B121" s="108">
        <v>94492</v>
      </c>
      <c r="C121" s="150" t="s">
        <v>457</v>
      </c>
      <c r="D121" s="30"/>
      <c r="E121" s="30"/>
      <c r="F121" s="30"/>
      <c r="G121" s="30"/>
      <c r="H121" s="30"/>
      <c r="I121" s="30"/>
      <c r="J121" s="151"/>
      <c r="K121" s="146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spans="1:26" ht="49.95" customHeight="1">
      <c r="A122" s="86" t="s">
        <v>139</v>
      </c>
      <c r="B122" s="108">
        <v>94489</v>
      </c>
      <c r="C122" s="150" t="s">
        <v>458</v>
      </c>
      <c r="D122" s="30"/>
      <c r="E122" s="30"/>
      <c r="F122" s="30"/>
      <c r="G122" s="30"/>
      <c r="H122" s="30"/>
      <c r="I122" s="30"/>
      <c r="J122" s="151"/>
      <c r="K122" s="146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spans="1:26" ht="49.95" customHeight="1">
      <c r="A123" s="86" t="s">
        <v>140</v>
      </c>
      <c r="B123" s="108">
        <v>94656</v>
      </c>
      <c r="C123" s="150" t="s">
        <v>459</v>
      </c>
      <c r="D123" s="30"/>
      <c r="E123" s="30"/>
      <c r="F123" s="30"/>
      <c r="G123" s="30"/>
      <c r="H123" s="30"/>
      <c r="I123" s="30"/>
      <c r="J123" s="151"/>
      <c r="K123" s="146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spans="1:26" ht="49.95" customHeight="1">
      <c r="A124" s="86" t="s">
        <v>141</v>
      </c>
      <c r="B124" s="108">
        <v>103966</v>
      </c>
      <c r="C124" s="150" t="s">
        <v>460</v>
      </c>
      <c r="D124" s="30"/>
      <c r="E124" s="30"/>
      <c r="F124" s="30"/>
      <c r="G124" s="30"/>
      <c r="H124" s="30"/>
      <c r="I124" s="30"/>
      <c r="J124" s="151"/>
      <c r="K124" s="146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spans="1:26" ht="49.95" customHeight="1">
      <c r="A125" s="86" t="s">
        <v>142</v>
      </c>
      <c r="B125" s="108">
        <v>89364</v>
      </c>
      <c r="C125" s="150" t="s">
        <v>461</v>
      </c>
      <c r="D125" s="30"/>
      <c r="E125" s="30"/>
      <c r="F125" s="30"/>
      <c r="G125" s="30"/>
      <c r="H125" s="30"/>
      <c r="I125" s="30"/>
      <c r="J125" s="151"/>
      <c r="K125" s="146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spans="1:26" ht="49.95" customHeight="1">
      <c r="A126" s="86" t="s">
        <v>143</v>
      </c>
      <c r="B126" s="108">
        <v>103986</v>
      </c>
      <c r="C126" s="150" t="s">
        <v>462</v>
      </c>
      <c r="D126" s="30"/>
      <c r="E126" s="30"/>
      <c r="F126" s="30"/>
      <c r="G126" s="30"/>
      <c r="H126" s="30"/>
      <c r="I126" s="30"/>
      <c r="J126" s="151"/>
      <c r="K126" s="146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spans="1:26" ht="49.95" customHeight="1">
      <c r="A127" s="86" t="s">
        <v>144</v>
      </c>
      <c r="B127" s="108">
        <v>89363</v>
      </c>
      <c r="C127" s="150" t="s">
        <v>463</v>
      </c>
      <c r="D127" s="30"/>
      <c r="E127" s="30"/>
      <c r="F127" s="30"/>
      <c r="G127" s="30"/>
      <c r="H127" s="30"/>
      <c r="I127" s="30"/>
      <c r="J127" s="151"/>
      <c r="K127" s="146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spans="1:26" ht="49.95" customHeight="1">
      <c r="A128" s="86" t="s">
        <v>145</v>
      </c>
      <c r="B128" s="108">
        <v>89408</v>
      </c>
      <c r="C128" s="150" t="s">
        <v>464</v>
      </c>
      <c r="D128" s="30"/>
      <c r="E128" s="30"/>
      <c r="F128" s="30"/>
      <c r="G128" s="30"/>
      <c r="H128" s="30"/>
      <c r="I128" s="30"/>
      <c r="J128" s="151"/>
      <c r="K128" s="146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spans="1:26" ht="49.95" customHeight="1">
      <c r="A129" s="86" t="s">
        <v>146</v>
      </c>
      <c r="B129" s="108">
        <v>89731</v>
      </c>
      <c r="C129" s="150" t="s">
        <v>465</v>
      </c>
      <c r="D129" s="30"/>
      <c r="E129" s="30"/>
      <c r="F129" s="30"/>
      <c r="G129" s="30"/>
      <c r="H129" s="30"/>
      <c r="I129" s="30"/>
      <c r="J129" s="151"/>
      <c r="K129" s="146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spans="1:26" ht="49.95" customHeight="1">
      <c r="A130" s="86" t="s">
        <v>147</v>
      </c>
      <c r="B130" s="108">
        <v>105189</v>
      </c>
      <c r="C130" s="150" t="s">
        <v>466</v>
      </c>
      <c r="D130" s="30"/>
      <c r="E130" s="30"/>
      <c r="F130" s="30"/>
      <c r="G130" s="30"/>
      <c r="H130" s="30"/>
      <c r="I130" s="30"/>
      <c r="J130" s="151"/>
      <c r="K130" s="146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spans="1:26" ht="49.95" customHeight="1">
      <c r="A131" s="86" t="s">
        <v>148</v>
      </c>
      <c r="B131" s="108">
        <v>89617</v>
      </c>
      <c r="C131" s="150" t="s">
        <v>467</v>
      </c>
      <c r="D131" s="30"/>
      <c r="E131" s="30"/>
      <c r="F131" s="30"/>
      <c r="G131" s="30"/>
      <c r="H131" s="30"/>
      <c r="I131" s="30"/>
      <c r="J131" s="151"/>
      <c r="K131" s="146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spans="1:26" ht="49.95" customHeight="1">
      <c r="A132" s="86" t="s">
        <v>149</v>
      </c>
      <c r="B132" s="108">
        <v>94694</v>
      </c>
      <c r="C132" s="150" t="s">
        <v>468</v>
      </c>
      <c r="D132" s="30"/>
      <c r="E132" s="30"/>
      <c r="F132" s="30"/>
      <c r="G132" s="30"/>
      <c r="H132" s="30"/>
      <c r="I132" s="30"/>
      <c r="J132" s="151"/>
      <c r="K132" s="146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spans="1:26" ht="49.95" customHeight="1">
      <c r="A133" s="86" t="s">
        <v>150</v>
      </c>
      <c r="B133" s="108">
        <v>89446</v>
      </c>
      <c r="C133" s="150" t="s">
        <v>469</v>
      </c>
      <c r="D133" s="30"/>
      <c r="E133" s="30"/>
      <c r="F133" s="30"/>
      <c r="G133" s="30"/>
      <c r="H133" s="30"/>
      <c r="I133" s="30"/>
      <c r="J133" s="151"/>
      <c r="K133" s="146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spans="1:26" ht="49.95" customHeight="1">
      <c r="A134" s="86" t="s">
        <v>151</v>
      </c>
      <c r="B134" s="108">
        <v>89449</v>
      </c>
      <c r="C134" s="150" t="s">
        <v>470</v>
      </c>
      <c r="D134" s="30"/>
      <c r="E134" s="30"/>
      <c r="F134" s="30"/>
      <c r="G134" s="30"/>
      <c r="H134" s="30"/>
      <c r="I134" s="30"/>
      <c r="J134" s="151"/>
      <c r="K134" s="146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spans="1:26" ht="25.05" customHeight="1">
      <c r="A135" s="87" t="s">
        <v>152</v>
      </c>
      <c r="B135" s="208" t="s">
        <v>153</v>
      </c>
      <c r="C135" s="208"/>
      <c r="D135" s="141"/>
      <c r="E135" s="141"/>
      <c r="F135" s="141"/>
      <c r="G135" s="141"/>
      <c r="H135" s="144"/>
      <c r="I135" s="144"/>
      <c r="J135" s="144"/>
      <c r="K135" s="144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spans="1:26" ht="49.95" customHeight="1">
      <c r="A136" s="29" t="s">
        <v>154</v>
      </c>
      <c r="B136" s="33">
        <v>91914</v>
      </c>
      <c r="C136" s="166" t="s">
        <v>491</v>
      </c>
      <c r="D136" s="30"/>
      <c r="E136" s="30"/>
      <c r="F136" s="30"/>
      <c r="G136" s="30"/>
      <c r="H136" s="30"/>
      <c r="I136" s="30"/>
      <c r="J136" s="151"/>
      <c r="K136" s="146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spans="1:26" ht="49.95" customHeight="1">
      <c r="A137" s="29" t="s">
        <v>155</v>
      </c>
      <c r="B137" s="33">
        <v>91884</v>
      </c>
      <c r="C137" s="166" t="s">
        <v>492</v>
      </c>
      <c r="D137" s="30"/>
      <c r="E137" s="30"/>
      <c r="F137" s="30"/>
      <c r="G137" s="30"/>
      <c r="H137" s="30"/>
      <c r="I137" s="30"/>
      <c r="J137" s="151"/>
      <c r="K137" s="146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spans="1:26" ht="49.95" customHeight="1">
      <c r="A138" s="29" t="s">
        <v>156</v>
      </c>
      <c r="B138" s="113">
        <v>39470</v>
      </c>
      <c r="C138" s="166" t="s">
        <v>473</v>
      </c>
      <c r="D138" s="30"/>
      <c r="E138" s="30"/>
      <c r="F138" s="30"/>
      <c r="G138" s="30"/>
      <c r="H138" s="30"/>
      <c r="I138" s="30"/>
      <c r="J138" s="151"/>
      <c r="K138" s="146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spans="1:26" ht="49.95" customHeight="1">
      <c r="A139" s="29" t="s">
        <v>157</v>
      </c>
      <c r="B139" s="33">
        <v>16</v>
      </c>
      <c r="C139" s="166" t="s">
        <v>474</v>
      </c>
      <c r="D139" s="30"/>
      <c r="E139" s="30"/>
      <c r="F139" s="30"/>
      <c r="G139" s="30"/>
      <c r="H139" s="30"/>
      <c r="I139" s="30"/>
      <c r="J139" s="151"/>
      <c r="K139" s="146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spans="1:26" ht="49.95" customHeight="1">
      <c r="A140" s="29" t="s">
        <v>158</v>
      </c>
      <c r="B140" s="33">
        <v>93653</v>
      </c>
      <c r="C140" s="166" t="s">
        <v>475</v>
      </c>
      <c r="D140" s="30"/>
      <c r="E140" s="30"/>
      <c r="F140" s="30"/>
      <c r="G140" s="30"/>
      <c r="H140" s="30"/>
      <c r="I140" s="30"/>
      <c r="J140" s="151"/>
      <c r="K140" s="146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spans="1:26" ht="49.95" customHeight="1">
      <c r="A141" s="29" t="s">
        <v>159</v>
      </c>
      <c r="B141" s="33">
        <v>93654</v>
      </c>
      <c r="C141" s="166" t="s">
        <v>476</v>
      </c>
      <c r="D141" s="30"/>
      <c r="E141" s="30"/>
      <c r="F141" s="30"/>
      <c r="G141" s="30"/>
      <c r="H141" s="30"/>
      <c r="I141" s="30"/>
      <c r="J141" s="151"/>
      <c r="K141" s="146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spans="1:26" ht="49.95" customHeight="1">
      <c r="A142" s="29" t="s">
        <v>160</v>
      </c>
      <c r="B142" s="33">
        <v>93657</v>
      </c>
      <c r="C142" s="166" t="s">
        <v>477</v>
      </c>
      <c r="D142" s="30"/>
      <c r="E142" s="30"/>
      <c r="F142" s="30"/>
      <c r="G142" s="30"/>
      <c r="H142" s="30"/>
      <c r="I142" s="30"/>
      <c r="J142" s="151"/>
      <c r="K142" s="146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spans="1:26" ht="49.95" customHeight="1">
      <c r="A143" s="29" t="s">
        <v>161</v>
      </c>
      <c r="B143" s="33">
        <v>91953</v>
      </c>
      <c r="C143" s="166" t="s">
        <v>478</v>
      </c>
      <c r="D143" s="30"/>
      <c r="E143" s="30"/>
      <c r="F143" s="30"/>
      <c r="G143" s="30"/>
      <c r="H143" s="30"/>
      <c r="I143" s="30"/>
      <c r="J143" s="151"/>
      <c r="K143" s="146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spans="1:26" ht="49.95" customHeight="1">
      <c r="A144" s="29" t="s">
        <v>162</v>
      </c>
      <c r="B144" s="33">
        <v>91967</v>
      </c>
      <c r="C144" s="166" t="s">
        <v>479</v>
      </c>
      <c r="D144" s="30"/>
      <c r="E144" s="30"/>
      <c r="F144" s="30"/>
      <c r="G144" s="30"/>
      <c r="H144" s="30"/>
      <c r="I144" s="30"/>
      <c r="J144" s="151"/>
      <c r="K144" s="146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spans="1:26" ht="49.95" customHeight="1">
      <c r="A145" s="29" t="s">
        <v>163</v>
      </c>
      <c r="B145" s="33">
        <v>101876</v>
      </c>
      <c r="C145" s="166" t="s">
        <v>493</v>
      </c>
      <c r="D145" s="30"/>
      <c r="E145" s="30"/>
      <c r="F145" s="30"/>
      <c r="G145" s="30"/>
      <c r="H145" s="30"/>
      <c r="I145" s="30"/>
      <c r="J145" s="151"/>
      <c r="K145" s="146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spans="1:26" ht="49.95" customHeight="1">
      <c r="A146" s="29" t="s">
        <v>164</v>
      </c>
      <c r="B146" s="33">
        <v>97886</v>
      </c>
      <c r="C146" s="166" t="s">
        <v>480</v>
      </c>
      <c r="D146" s="30"/>
      <c r="E146" s="30"/>
      <c r="F146" s="30"/>
      <c r="G146" s="30"/>
      <c r="H146" s="30"/>
      <c r="I146" s="30"/>
      <c r="J146" s="151"/>
      <c r="K146" s="146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spans="1:26" ht="49.95" customHeight="1">
      <c r="A147" s="29" t="s">
        <v>165</v>
      </c>
      <c r="B147" s="33">
        <v>96985</v>
      </c>
      <c r="C147" s="166" t="s">
        <v>481</v>
      </c>
      <c r="D147" s="30"/>
      <c r="E147" s="30"/>
      <c r="F147" s="30"/>
      <c r="G147" s="30"/>
      <c r="H147" s="30"/>
      <c r="I147" s="30"/>
      <c r="J147" s="151"/>
      <c r="K147" s="146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spans="1:26" ht="49.95" customHeight="1">
      <c r="A148" s="29" t="s">
        <v>166</v>
      </c>
      <c r="B148" s="33">
        <v>17</v>
      </c>
      <c r="C148" s="166" t="s">
        <v>482</v>
      </c>
      <c r="D148" s="30"/>
      <c r="E148" s="30"/>
      <c r="F148" s="30"/>
      <c r="G148" s="30"/>
      <c r="H148" s="30"/>
      <c r="I148" s="30"/>
      <c r="J148" s="151"/>
      <c r="K148" s="146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spans="1:26" ht="49.95" customHeight="1">
      <c r="A149" s="29" t="s">
        <v>167</v>
      </c>
      <c r="B149" s="33">
        <v>91998</v>
      </c>
      <c r="C149" s="166" t="s">
        <v>483</v>
      </c>
      <c r="D149" s="30"/>
      <c r="E149" s="30"/>
      <c r="F149" s="30"/>
      <c r="G149" s="30"/>
      <c r="H149" s="30"/>
      <c r="I149" s="30"/>
      <c r="J149" s="151"/>
      <c r="K149" s="146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spans="1:26" ht="49.95" customHeight="1">
      <c r="A150" s="29" t="s">
        <v>168</v>
      </c>
      <c r="B150" s="33">
        <v>92004</v>
      </c>
      <c r="C150" s="166" t="s">
        <v>484</v>
      </c>
      <c r="D150" s="30"/>
      <c r="E150" s="30"/>
      <c r="F150" s="30"/>
      <c r="G150" s="30"/>
      <c r="H150" s="30"/>
      <c r="I150" s="30"/>
      <c r="J150" s="151"/>
      <c r="K150" s="146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spans="1:26" ht="49.95" customHeight="1">
      <c r="A151" s="29" t="s">
        <v>169</v>
      </c>
      <c r="B151" s="33">
        <v>91931</v>
      </c>
      <c r="C151" s="166" t="s">
        <v>485</v>
      </c>
      <c r="D151" s="30"/>
      <c r="E151" s="30"/>
      <c r="F151" s="30"/>
      <c r="G151" s="30"/>
      <c r="H151" s="30"/>
      <c r="I151" s="30"/>
      <c r="J151" s="151"/>
      <c r="K151" s="146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spans="1:26" ht="49.95" customHeight="1">
      <c r="A152" s="29" t="s">
        <v>170</v>
      </c>
      <c r="B152" s="33">
        <v>91924</v>
      </c>
      <c r="C152" s="166" t="s">
        <v>486</v>
      </c>
      <c r="D152" s="30"/>
      <c r="E152" s="30"/>
      <c r="F152" s="30"/>
      <c r="G152" s="30"/>
      <c r="H152" s="30"/>
      <c r="I152" s="30"/>
      <c r="J152" s="151"/>
      <c r="K152" s="146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spans="1:26" ht="49.95" customHeight="1">
      <c r="A153" s="29" t="s">
        <v>171</v>
      </c>
      <c r="B153" s="33">
        <v>91926</v>
      </c>
      <c r="C153" s="166" t="s">
        <v>487</v>
      </c>
      <c r="D153" s="30"/>
      <c r="E153" s="30"/>
      <c r="F153" s="30"/>
      <c r="G153" s="30"/>
      <c r="H153" s="30"/>
      <c r="I153" s="30"/>
      <c r="J153" s="151"/>
      <c r="K153" s="146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spans="1:26" ht="49.95" customHeight="1">
      <c r="A154" s="29" t="s">
        <v>172</v>
      </c>
      <c r="B154" s="33">
        <v>23</v>
      </c>
      <c r="C154" s="166" t="s">
        <v>488</v>
      </c>
      <c r="D154" s="30"/>
      <c r="E154" s="30"/>
      <c r="F154" s="30"/>
      <c r="G154" s="30"/>
      <c r="H154" s="30"/>
      <c r="I154" s="30"/>
      <c r="J154" s="151"/>
      <c r="K154" s="146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spans="1:26" ht="49.95" customHeight="1">
      <c r="A155" s="29" t="s">
        <v>173</v>
      </c>
      <c r="B155" s="33">
        <v>95727</v>
      </c>
      <c r="C155" s="166" t="s">
        <v>489</v>
      </c>
      <c r="D155" s="30"/>
      <c r="E155" s="30"/>
      <c r="F155" s="30"/>
      <c r="G155" s="30"/>
      <c r="H155" s="30"/>
      <c r="I155" s="30"/>
      <c r="J155" s="151"/>
      <c r="K155" s="146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spans="1:26" ht="49.95" customHeight="1">
      <c r="A156" s="29" t="s">
        <v>174</v>
      </c>
      <c r="B156" s="33">
        <v>91854</v>
      </c>
      <c r="C156" s="166" t="s">
        <v>490</v>
      </c>
      <c r="D156" s="30"/>
      <c r="E156" s="30"/>
      <c r="F156" s="30"/>
      <c r="G156" s="30"/>
      <c r="H156" s="30"/>
      <c r="I156" s="30"/>
      <c r="J156" s="151"/>
      <c r="K156" s="146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spans="1:26" ht="25.05" customHeight="1">
      <c r="A157" s="87" t="s">
        <v>175</v>
      </c>
      <c r="B157" s="208" t="s">
        <v>176</v>
      </c>
      <c r="C157" s="208"/>
      <c r="D157" s="141"/>
      <c r="E157" s="141"/>
      <c r="F157" s="141"/>
      <c r="G157" s="141"/>
      <c r="H157" s="144"/>
      <c r="I157" s="144"/>
      <c r="J157" s="144"/>
      <c r="K157" s="144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spans="1:26" ht="49.95" customHeight="1">
      <c r="A158" s="29" t="s">
        <v>177</v>
      </c>
      <c r="B158" s="33">
        <v>98062</v>
      </c>
      <c r="C158" s="150" t="s">
        <v>495</v>
      </c>
      <c r="D158" s="30"/>
      <c r="E158" s="30"/>
      <c r="F158" s="30"/>
      <c r="G158" s="30"/>
      <c r="H158" s="30"/>
      <c r="I158" s="30"/>
      <c r="J158" s="151"/>
      <c r="K158" s="146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spans="1:26" ht="49.95" customHeight="1">
      <c r="A159" s="29" t="s">
        <v>178</v>
      </c>
      <c r="B159" s="33">
        <v>104084</v>
      </c>
      <c r="C159" s="150" t="s">
        <v>511</v>
      </c>
      <c r="D159" s="30"/>
      <c r="E159" s="30"/>
      <c r="F159" s="30"/>
      <c r="G159" s="30"/>
      <c r="H159" s="30"/>
      <c r="I159" s="30"/>
      <c r="J159" s="151"/>
      <c r="K159" s="146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spans="1:26" ht="49.95" customHeight="1">
      <c r="A160" s="29" t="s">
        <v>179</v>
      </c>
      <c r="B160" s="33">
        <v>104065</v>
      </c>
      <c r="C160" s="150" t="s">
        <v>496</v>
      </c>
      <c r="D160" s="30"/>
      <c r="E160" s="30"/>
      <c r="F160" s="30"/>
      <c r="G160" s="30"/>
      <c r="H160" s="30"/>
      <c r="I160" s="30"/>
      <c r="J160" s="151"/>
      <c r="K160" s="146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spans="1:26" ht="49.95" customHeight="1">
      <c r="A161" s="29" t="s">
        <v>180</v>
      </c>
      <c r="B161" s="33">
        <v>89733</v>
      </c>
      <c r="C161" s="150" t="s">
        <v>497</v>
      </c>
      <c r="D161" s="30"/>
      <c r="E161" s="30"/>
      <c r="F161" s="30"/>
      <c r="G161" s="30"/>
      <c r="H161" s="30"/>
      <c r="I161" s="30"/>
      <c r="J161" s="151"/>
      <c r="K161" s="146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spans="1:26" ht="49.95" customHeight="1">
      <c r="A162" s="29" t="s">
        <v>181</v>
      </c>
      <c r="B162" s="33">
        <v>89726</v>
      </c>
      <c r="C162" s="150" t="s">
        <v>498</v>
      </c>
      <c r="D162" s="30"/>
      <c r="E162" s="30"/>
      <c r="F162" s="30"/>
      <c r="G162" s="30"/>
      <c r="H162" s="30"/>
      <c r="I162" s="30"/>
      <c r="J162" s="151"/>
      <c r="K162" s="146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spans="1:26" ht="49.95" customHeight="1">
      <c r="A163" s="29" t="s">
        <v>182</v>
      </c>
      <c r="B163" s="33">
        <v>89732</v>
      </c>
      <c r="C163" s="150" t="s">
        <v>499</v>
      </c>
      <c r="D163" s="30"/>
      <c r="E163" s="30"/>
      <c r="F163" s="30"/>
      <c r="G163" s="30"/>
      <c r="H163" s="30"/>
      <c r="I163" s="30"/>
      <c r="J163" s="151"/>
      <c r="K163" s="146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spans="1:26" ht="49.95" customHeight="1">
      <c r="A164" s="29" t="s">
        <v>183</v>
      </c>
      <c r="B164" s="33">
        <v>89724</v>
      </c>
      <c r="C164" s="150" t="s">
        <v>500</v>
      </c>
      <c r="D164" s="30"/>
      <c r="E164" s="30"/>
      <c r="F164" s="30"/>
      <c r="G164" s="30"/>
      <c r="H164" s="30"/>
      <c r="I164" s="30"/>
      <c r="J164" s="151"/>
      <c r="K164" s="146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spans="1:26" ht="49.95" customHeight="1">
      <c r="A165" s="29" t="s">
        <v>184</v>
      </c>
      <c r="B165" s="33">
        <v>89731</v>
      </c>
      <c r="C165" s="150" t="s">
        <v>465</v>
      </c>
      <c r="D165" s="30"/>
      <c r="E165" s="30"/>
      <c r="F165" s="30"/>
      <c r="G165" s="30"/>
      <c r="H165" s="30"/>
      <c r="I165" s="30"/>
      <c r="J165" s="151"/>
      <c r="K165" s="146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spans="1:26" ht="49.95" customHeight="1">
      <c r="A166" s="29" t="s">
        <v>185</v>
      </c>
      <c r="B166" s="33">
        <v>89744</v>
      </c>
      <c r="C166" s="150" t="s">
        <v>501</v>
      </c>
      <c r="D166" s="30"/>
      <c r="E166" s="30"/>
      <c r="F166" s="30"/>
      <c r="G166" s="30"/>
      <c r="H166" s="30"/>
      <c r="I166" s="30"/>
      <c r="J166" s="151"/>
      <c r="K166" s="146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spans="1:26" ht="49.95" customHeight="1">
      <c r="A167" s="29" t="s">
        <v>186</v>
      </c>
      <c r="B167" s="33">
        <v>89785</v>
      </c>
      <c r="C167" s="150" t="s">
        <v>502</v>
      </c>
      <c r="D167" s="30"/>
      <c r="E167" s="30"/>
      <c r="F167" s="30"/>
      <c r="G167" s="30"/>
      <c r="H167" s="30"/>
      <c r="I167" s="30"/>
      <c r="J167" s="151"/>
      <c r="K167" s="146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spans="1:26" ht="49.95" customHeight="1">
      <c r="A168" s="29" t="s">
        <v>187</v>
      </c>
      <c r="B168" s="33">
        <v>104353</v>
      </c>
      <c r="C168" s="150" t="s">
        <v>503</v>
      </c>
      <c r="D168" s="30"/>
      <c r="E168" s="30"/>
      <c r="F168" s="30"/>
      <c r="G168" s="30"/>
      <c r="H168" s="30"/>
      <c r="I168" s="30"/>
      <c r="J168" s="151"/>
      <c r="K168" s="146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spans="1:26" ht="49.95" customHeight="1">
      <c r="A169" s="29" t="s">
        <v>188</v>
      </c>
      <c r="B169" s="33">
        <v>104348</v>
      </c>
      <c r="C169" s="150" t="s">
        <v>504</v>
      </c>
      <c r="D169" s="30"/>
      <c r="E169" s="30"/>
      <c r="F169" s="30"/>
      <c r="G169" s="30"/>
      <c r="H169" s="30"/>
      <c r="I169" s="30"/>
      <c r="J169" s="151"/>
      <c r="K169" s="146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spans="1:26" ht="49.95" customHeight="1">
      <c r="A170" s="29" t="s">
        <v>189</v>
      </c>
      <c r="B170" s="33">
        <v>89796</v>
      </c>
      <c r="C170" s="150" t="s">
        <v>505</v>
      </c>
      <c r="D170" s="30"/>
      <c r="E170" s="30"/>
      <c r="F170" s="30"/>
      <c r="G170" s="30"/>
      <c r="H170" s="30"/>
      <c r="I170" s="30"/>
      <c r="J170" s="151"/>
      <c r="K170" s="146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spans="1:26" ht="49.95" customHeight="1">
      <c r="A171" s="29" t="s">
        <v>190</v>
      </c>
      <c r="B171" s="113">
        <v>20181</v>
      </c>
      <c r="C171" s="150" t="s">
        <v>506</v>
      </c>
      <c r="D171" s="30"/>
      <c r="E171" s="30"/>
      <c r="F171" s="30"/>
      <c r="G171" s="30"/>
      <c r="H171" s="30"/>
      <c r="I171" s="30"/>
      <c r="J171" s="151"/>
      <c r="K171" s="146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spans="1:26" ht="49.95" customHeight="1">
      <c r="A172" s="29" t="s">
        <v>191</v>
      </c>
      <c r="B172" s="33">
        <v>104329</v>
      </c>
      <c r="C172" s="150" t="s">
        <v>507</v>
      </c>
      <c r="D172" s="30"/>
      <c r="E172" s="30"/>
      <c r="F172" s="30"/>
      <c r="G172" s="30"/>
      <c r="H172" s="30"/>
      <c r="I172" s="30"/>
      <c r="J172" s="151"/>
      <c r="K172" s="146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spans="1:26" ht="49.95" customHeight="1">
      <c r="A173" s="29" t="s">
        <v>192</v>
      </c>
      <c r="B173" s="113">
        <v>6138</v>
      </c>
      <c r="C173" s="150" t="s">
        <v>508</v>
      </c>
      <c r="D173" s="30"/>
      <c r="E173" s="30"/>
      <c r="F173" s="30"/>
      <c r="G173" s="30"/>
      <c r="H173" s="30"/>
      <c r="I173" s="30"/>
      <c r="J173" s="151"/>
      <c r="K173" s="146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spans="1:26" ht="49.95" customHeight="1">
      <c r="A174" s="29" t="s">
        <v>193</v>
      </c>
      <c r="B174" s="33">
        <v>89711</v>
      </c>
      <c r="C174" s="150" t="s">
        <v>512</v>
      </c>
      <c r="D174" s="30"/>
      <c r="E174" s="30"/>
      <c r="F174" s="30"/>
      <c r="G174" s="30"/>
      <c r="H174" s="30"/>
      <c r="I174" s="30"/>
      <c r="J174" s="151"/>
      <c r="K174" s="146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spans="1:26" ht="49.95" customHeight="1">
      <c r="A175" s="29" t="s">
        <v>194</v>
      </c>
      <c r="B175" s="33">
        <v>89712</v>
      </c>
      <c r="C175" s="150" t="s">
        <v>513</v>
      </c>
      <c r="D175" s="30"/>
      <c r="E175" s="30"/>
      <c r="F175" s="30"/>
      <c r="G175" s="30"/>
      <c r="H175" s="30"/>
      <c r="I175" s="30"/>
      <c r="J175" s="151"/>
      <c r="K175" s="146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spans="1:26" ht="49.95" customHeight="1">
      <c r="A176" s="29" t="s">
        <v>195</v>
      </c>
      <c r="B176" s="33">
        <v>89713</v>
      </c>
      <c r="C176" s="150" t="s">
        <v>514</v>
      </c>
      <c r="D176" s="30"/>
      <c r="E176" s="30"/>
      <c r="F176" s="30"/>
      <c r="G176" s="30"/>
      <c r="H176" s="30"/>
      <c r="I176" s="30"/>
      <c r="J176" s="151"/>
      <c r="K176" s="146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spans="1:26" ht="49.95" customHeight="1">
      <c r="A177" s="29" t="s">
        <v>196</v>
      </c>
      <c r="B177" s="33">
        <v>89714</v>
      </c>
      <c r="C177" s="150" t="s">
        <v>515</v>
      </c>
      <c r="D177" s="30"/>
      <c r="E177" s="30"/>
      <c r="F177" s="30"/>
      <c r="G177" s="30"/>
      <c r="H177" s="30"/>
      <c r="I177" s="30"/>
      <c r="J177" s="151"/>
      <c r="K177" s="146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spans="1:26" ht="49.95" customHeight="1">
      <c r="A178" s="29" t="s">
        <v>197</v>
      </c>
      <c r="B178" s="33">
        <v>19</v>
      </c>
      <c r="C178" s="150" t="s">
        <v>516</v>
      </c>
      <c r="D178" s="30"/>
      <c r="E178" s="30"/>
      <c r="F178" s="30"/>
      <c r="G178" s="30"/>
      <c r="H178" s="30"/>
      <c r="I178" s="30"/>
      <c r="J178" s="151"/>
      <c r="K178" s="146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spans="1:26" ht="25.05" customHeight="1">
      <c r="A179" s="87" t="s">
        <v>198</v>
      </c>
      <c r="B179" s="208" t="s">
        <v>21</v>
      </c>
      <c r="C179" s="208"/>
      <c r="D179" s="141"/>
      <c r="E179" s="141"/>
      <c r="F179" s="141"/>
      <c r="G179" s="141"/>
      <c r="H179" s="144"/>
      <c r="I179" s="144"/>
      <c r="J179" s="144"/>
      <c r="K179" s="144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spans="1:26" ht="49.95" customHeight="1">
      <c r="A180" s="29" t="s">
        <v>199</v>
      </c>
      <c r="B180" s="33">
        <v>94204</v>
      </c>
      <c r="C180" s="150" t="s">
        <v>517</v>
      </c>
      <c r="D180" s="30"/>
      <c r="E180" s="30"/>
      <c r="F180" s="30"/>
      <c r="G180" s="30"/>
      <c r="H180" s="30"/>
      <c r="I180" s="30"/>
      <c r="J180" s="151"/>
      <c r="K180" s="146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spans="1:26" ht="49.95" customHeight="1">
      <c r="A181" s="29" t="s">
        <v>200</v>
      </c>
      <c r="B181" s="33">
        <v>92540</v>
      </c>
      <c r="C181" s="150" t="s">
        <v>518</v>
      </c>
      <c r="D181" s="30"/>
      <c r="E181" s="30"/>
      <c r="F181" s="30"/>
      <c r="G181" s="30"/>
      <c r="H181" s="30"/>
      <c r="I181" s="30"/>
      <c r="J181" s="151"/>
      <c r="K181" s="146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spans="1:26" ht="49.95" customHeight="1">
      <c r="A182" s="29" t="s">
        <v>201</v>
      </c>
      <c r="B182" s="33">
        <v>100357</v>
      </c>
      <c r="C182" s="150" t="s">
        <v>519</v>
      </c>
      <c r="D182" s="30"/>
      <c r="E182" s="30"/>
      <c r="F182" s="30"/>
      <c r="G182" s="30"/>
      <c r="H182" s="30"/>
      <c r="I182" s="30"/>
      <c r="J182" s="151"/>
      <c r="K182" s="146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spans="1:26" ht="49.95" customHeight="1">
      <c r="A183" s="29" t="s">
        <v>202</v>
      </c>
      <c r="B183" s="33">
        <v>100358</v>
      </c>
      <c r="C183" s="150" t="s">
        <v>520</v>
      </c>
      <c r="D183" s="30"/>
      <c r="E183" s="30"/>
      <c r="F183" s="30"/>
      <c r="G183" s="30"/>
      <c r="H183" s="30"/>
      <c r="I183" s="30"/>
      <c r="J183" s="151"/>
      <c r="K183" s="146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spans="1:26" ht="49.95" customHeight="1">
      <c r="A184" s="29" t="s">
        <v>203</v>
      </c>
      <c r="B184" s="33">
        <v>102233</v>
      </c>
      <c r="C184" s="150" t="s">
        <v>521</v>
      </c>
      <c r="D184" s="30"/>
      <c r="E184" s="30"/>
      <c r="F184" s="30"/>
      <c r="G184" s="30"/>
      <c r="H184" s="30"/>
      <c r="I184" s="30"/>
      <c r="J184" s="151"/>
      <c r="K184" s="146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spans="1:26" ht="49.95" customHeight="1">
      <c r="A185" s="29" t="s">
        <v>204</v>
      </c>
      <c r="B185" s="33">
        <v>94219</v>
      </c>
      <c r="C185" s="150" t="s">
        <v>522</v>
      </c>
      <c r="D185" s="30"/>
      <c r="E185" s="30"/>
      <c r="F185" s="30"/>
      <c r="G185" s="30"/>
      <c r="H185" s="30"/>
      <c r="I185" s="30"/>
      <c r="J185" s="151"/>
      <c r="K185" s="146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spans="1:26" ht="25.05" customHeight="1">
      <c r="A186" s="87" t="s">
        <v>205</v>
      </c>
      <c r="B186" s="208" t="s">
        <v>48</v>
      </c>
      <c r="C186" s="208"/>
      <c r="D186" s="141"/>
      <c r="E186" s="141"/>
      <c r="F186" s="141"/>
      <c r="G186" s="141"/>
      <c r="H186" s="144"/>
      <c r="I186" s="144"/>
      <c r="J186" s="144"/>
      <c r="K186" s="144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spans="1:26" ht="49.95" customHeight="1">
      <c r="A187" s="29" t="s">
        <v>206</v>
      </c>
      <c r="B187" s="108">
        <v>90822</v>
      </c>
      <c r="C187" s="150" t="s">
        <v>523</v>
      </c>
      <c r="D187" s="30"/>
      <c r="E187" s="30"/>
      <c r="F187" s="30"/>
      <c r="G187" s="30"/>
      <c r="H187" s="30"/>
      <c r="I187" s="30"/>
      <c r="J187" s="151"/>
      <c r="K187" s="146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spans="1:26" ht="49.95" customHeight="1">
      <c r="A188" s="29" t="s">
        <v>207</v>
      </c>
      <c r="B188" s="108">
        <v>101162</v>
      </c>
      <c r="C188" s="150" t="s">
        <v>524</v>
      </c>
      <c r="D188" s="30"/>
      <c r="E188" s="30"/>
      <c r="F188" s="30"/>
      <c r="G188" s="30"/>
      <c r="H188" s="30"/>
      <c r="I188" s="30"/>
      <c r="J188" s="151"/>
      <c r="K188" s="146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spans="1:26" ht="49.95" customHeight="1">
      <c r="A189" s="29" t="s">
        <v>208</v>
      </c>
      <c r="B189" s="108">
        <v>90830</v>
      </c>
      <c r="C189" s="150" t="s">
        <v>525</v>
      </c>
      <c r="D189" s="30"/>
      <c r="E189" s="30"/>
      <c r="F189" s="30"/>
      <c r="G189" s="30"/>
      <c r="H189" s="30"/>
      <c r="I189" s="30"/>
      <c r="J189" s="151"/>
      <c r="K189" s="146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spans="1:26" ht="25.05" customHeight="1">
      <c r="A190" s="87">
        <v>3</v>
      </c>
      <c r="B190" s="208" t="s">
        <v>209</v>
      </c>
      <c r="C190" s="208"/>
      <c r="D190" s="141"/>
      <c r="E190" s="141"/>
      <c r="F190" s="141"/>
      <c r="G190" s="141"/>
      <c r="H190" s="144"/>
      <c r="I190" s="144"/>
      <c r="J190" s="144"/>
      <c r="K190" s="144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spans="1:26" ht="25.05" customHeight="1">
      <c r="A191" s="87" t="s">
        <v>19</v>
      </c>
      <c r="B191" s="208" t="s">
        <v>12</v>
      </c>
      <c r="C191" s="208"/>
      <c r="D191" s="141"/>
      <c r="E191" s="141"/>
      <c r="F191" s="141"/>
      <c r="G191" s="141"/>
      <c r="H191" s="144"/>
      <c r="I191" s="144"/>
      <c r="J191" s="144"/>
      <c r="K191" s="144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spans="1:26" ht="49.95" customHeight="1">
      <c r="A192" s="29" t="s">
        <v>41</v>
      </c>
      <c r="B192" s="33">
        <v>99059</v>
      </c>
      <c r="C192" s="150" t="s">
        <v>78</v>
      </c>
      <c r="D192" s="30"/>
      <c r="E192" s="30"/>
      <c r="F192" s="30"/>
      <c r="G192" s="30"/>
      <c r="H192" s="30"/>
      <c r="I192" s="30"/>
      <c r="J192" s="151">
        <v>14.7</v>
      </c>
      <c r="K192" s="146" t="s">
        <v>38</v>
      </c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spans="1:26" ht="19.95" customHeight="1">
      <c r="A193" s="29" t="s">
        <v>701</v>
      </c>
      <c r="B193" s="103"/>
      <c r="C193" s="34" t="s">
        <v>738</v>
      </c>
      <c r="D193" s="30">
        <v>1</v>
      </c>
      <c r="E193" s="30">
        <v>14.7</v>
      </c>
      <c r="F193" s="30"/>
      <c r="G193" s="30"/>
      <c r="H193" s="30">
        <v>14.7</v>
      </c>
      <c r="I193" s="30">
        <v>14.7</v>
      </c>
      <c r="J193" s="146"/>
      <c r="K193" s="146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spans="1:26" ht="25.05" customHeight="1">
      <c r="A194" s="87" t="s">
        <v>20</v>
      </c>
      <c r="B194" s="208" t="s">
        <v>33</v>
      </c>
      <c r="C194" s="208"/>
      <c r="D194" s="141"/>
      <c r="E194" s="141"/>
      <c r="F194" s="141"/>
      <c r="G194" s="141"/>
      <c r="H194" s="144"/>
      <c r="I194" s="144"/>
      <c r="J194" s="144"/>
      <c r="K194" s="144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spans="1:26" ht="49.95" customHeight="1">
      <c r="A195" s="29" t="s">
        <v>43</v>
      </c>
      <c r="B195" s="33">
        <v>93358</v>
      </c>
      <c r="C195" s="150" t="s">
        <v>410</v>
      </c>
      <c r="D195" s="30"/>
      <c r="E195" s="30"/>
      <c r="F195" s="30"/>
      <c r="G195" s="30"/>
      <c r="H195" s="30"/>
      <c r="I195" s="30"/>
      <c r="J195" s="151">
        <v>3.88</v>
      </c>
      <c r="K195" s="146" t="s">
        <v>623</v>
      </c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spans="1:26" ht="19.95" customHeight="1">
      <c r="A196" s="29" t="s">
        <v>702</v>
      </c>
      <c r="B196" s="103"/>
      <c r="C196" s="34" t="s">
        <v>740</v>
      </c>
      <c r="D196" s="30">
        <v>4</v>
      </c>
      <c r="E196" s="30">
        <v>0.7</v>
      </c>
      <c r="F196" s="30">
        <v>0.85</v>
      </c>
      <c r="G196" s="30">
        <v>1.35</v>
      </c>
      <c r="H196" s="145">
        <v>0.80325000000000002</v>
      </c>
      <c r="I196" s="145">
        <v>3.21</v>
      </c>
      <c r="J196" s="146"/>
      <c r="K196" s="146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spans="1:26" ht="19.95" customHeight="1">
      <c r="A197" s="29" t="s">
        <v>703</v>
      </c>
      <c r="B197" s="103"/>
      <c r="C197" s="34" t="s">
        <v>741</v>
      </c>
      <c r="D197" s="30">
        <v>2</v>
      </c>
      <c r="E197" s="30">
        <v>3.45</v>
      </c>
      <c r="F197" s="30">
        <v>0.15</v>
      </c>
      <c r="G197" s="30">
        <v>0.3</v>
      </c>
      <c r="H197" s="145">
        <v>0.15525</v>
      </c>
      <c r="I197" s="145">
        <v>0.31</v>
      </c>
      <c r="J197" s="146"/>
      <c r="K197" s="146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spans="1:26" ht="19.95" customHeight="1">
      <c r="A198" s="29" t="s">
        <v>704</v>
      </c>
      <c r="B198" s="103"/>
      <c r="C198" s="34" t="s">
        <v>742</v>
      </c>
      <c r="D198" s="30">
        <v>3</v>
      </c>
      <c r="E198" s="30">
        <v>2.65</v>
      </c>
      <c r="F198" s="30">
        <v>0.15</v>
      </c>
      <c r="G198" s="30">
        <v>0.3</v>
      </c>
      <c r="H198" s="145">
        <v>0.11924999999999999</v>
      </c>
      <c r="I198" s="145">
        <v>0.36</v>
      </c>
      <c r="J198" s="146"/>
      <c r="K198" s="146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spans="1:26" ht="49.95" customHeight="1">
      <c r="A199" s="29" t="s">
        <v>44</v>
      </c>
      <c r="B199" s="33">
        <v>104737</v>
      </c>
      <c r="C199" s="150" t="s">
        <v>411</v>
      </c>
      <c r="D199" s="30"/>
      <c r="E199" s="30"/>
      <c r="F199" s="30"/>
      <c r="G199" s="30"/>
      <c r="H199" s="30"/>
      <c r="I199" s="30"/>
      <c r="J199" s="151">
        <v>2.56</v>
      </c>
      <c r="K199" s="146" t="s">
        <v>623</v>
      </c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spans="1:26" ht="19.95" customHeight="1">
      <c r="A200" s="29" t="s">
        <v>705</v>
      </c>
      <c r="B200" s="103"/>
      <c r="C200" s="34" t="s">
        <v>635</v>
      </c>
      <c r="D200" s="30">
        <v>1</v>
      </c>
      <c r="E200" s="30">
        <v>2.56</v>
      </c>
      <c r="F200" s="30"/>
      <c r="G200" s="30"/>
      <c r="H200" s="30">
        <v>2.56</v>
      </c>
      <c r="I200" s="30">
        <v>2.56</v>
      </c>
      <c r="J200" s="146"/>
      <c r="K200" s="146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spans="1:26" ht="25.05" customHeight="1">
      <c r="A201" s="87" t="s">
        <v>210</v>
      </c>
      <c r="B201" s="208" t="s">
        <v>40</v>
      </c>
      <c r="C201" s="208"/>
      <c r="D201" s="141"/>
      <c r="E201" s="141"/>
      <c r="F201" s="141"/>
      <c r="G201" s="141"/>
      <c r="H201" s="144"/>
      <c r="I201" s="144"/>
      <c r="J201" s="144"/>
      <c r="K201" s="144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spans="1:26" ht="49.95" customHeight="1">
      <c r="A202" s="29" t="s">
        <v>211</v>
      </c>
      <c r="B202" s="33">
        <v>96619</v>
      </c>
      <c r="C202" s="150" t="s">
        <v>412</v>
      </c>
      <c r="D202" s="30"/>
      <c r="E202" s="30"/>
      <c r="F202" s="30"/>
      <c r="G202" s="30"/>
      <c r="H202" s="30"/>
      <c r="I202" s="30"/>
      <c r="J202" s="151">
        <v>2.38</v>
      </c>
      <c r="K202" s="146" t="s">
        <v>610</v>
      </c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spans="1:26" ht="19.95" customHeight="1">
      <c r="A203" s="29" t="s">
        <v>706</v>
      </c>
      <c r="B203" s="103"/>
      <c r="C203" s="34" t="s">
        <v>739</v>
      </c>
      <c r="D203" s="30">
        <v>4</v>
      </c>
      <c r="E203" s="30">
        <v>0.7</v>
      </c>
      <c r="F203" s="30">
        <v>0.85</v>
      </c>
      <c r="G203" s="30">
        <v>0.59499999999999997</v>
      </c>
      <c r="H203" s="145">
        <v>2.38</v>
      </c>
      <c r="I203" s="145">
        <v>2.38</v>
      </c>
      <c r="J203" s="146"/>
      <c r="K203" s="146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spans="1:26" ht="49.95" customHeight="1">
      <c r="A204" s="29" t="s">
        <v>212</v>
      </c>
      <c r="B204" s="33">
        <v>101616</v>
      </c>
      <c r="C204" s="150" t="s">
        <v>413</v>
      </c>
      <c r="D204" s="30"/>
      <c r="E204" s="30"/>
      <c r="F204" s="30"/>
      <c r="G204" s="30"/>
      <c r="H204" s="30"/>
      <c r="I204" s="30"/>
      <c r="J204" s="151">
        <v>4.6100000000000003</v>
      </c>
      <c r="K204" s="146" t="s">
        <v>610</v>
      </c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spans="1:26" ht="19.8" customHeight="1">
      <c r="A205" s="29" t="s">
        <v>707</v>
      </c>
      <c r="B205" s="103"/>
      <c r="C205" s="34" t="s">
        <v>740</v>
      </c>
      <c r="D205" s="30">
        <v>4</v>
      </c>
      <c r="E205" s="30">
        <v>0.7</v>
      </c>
      <c r="F205" s="30">
        <v>0.85</v>
      </c>
      <c r="G205" s="30"/>
      <c r="H205" s="145">
        <v>0.59499999999999997</v>
      </c>
      <c r="I205" s="145">
        <v>2.38</v>
      </c>
      <c r="J205" s="146"/>
      <c r="K205" s="146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spans="1:26" ht="19.95" customHeight="1">
      <c r="A206" s="29" t="s">
        <v>708</v>
      </c>
      <c r="B206" s="103"/>
      <c r="C206" s="34" t="s">
        <v>741</v>
      </c>
      <c r="D206" s="30">
        <v>2</v>
      </c>
      <c r="E206" s="30">
        <v>3.45</v>
      </c>
      <c r="F206" s="30">
        <v>0.15</v>
      </c>
      <c r="G206" s="30"/>
      <c r="H206" s="145">
        <v>0.51749999999999996</v>
      </c>
      <c r="I206" s="145">
        <v>1.04</v>
      </c>
      <c r="J206" s="146"/>
      <c r="K206" s="146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spans="1:26" ht="19.95" customHeight="1">
      <c r="A207" s="29" t="s">
        <v>709</v>
      </c>
      <c r="B207" s="103"/>
      <c r="C207" s="34" t="s">
        <v>743</v>
      </c>
      <c r="D207" s="30">
        <v>3</v>
      </c>
      <c r="E207" s="30">
        <v>2.65</v>
      </c>
      <c r="F207" s="30">
        <v>0.15</v>
      </c>
      <c r="G207" s="30"/>
      <c r="H207" s="145">
        <v>0.39750000000000002</v>
      </c>
      <c r="I207" s="145">
        <v>1.19</v>
      </c>
      <c r="J207" s="146"/>
      <c r="K207" s="146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spans="1:26" ht="49.95" customHeight="1">
      <c r="A208" s="29" t="s">
        <v>213</v>
      </c>
      <c r="B208" s="33">
        <v>94971</v>
      </c>
      <c r="C208" s="150" t="s">
        <v>414</v>
      </c>
      <c r="D208" s="30"/>
      <c r="E208" s="30"/>
      <c r="F208" s="30"/>
      <c r="G208" s="30"/>
      <c r="H208" s="30"/>
      <c r="I208" s="30"/>
      <c r="J208" s="151">
        <v>1.32</v>
      </c>
      <c r="K208" s="146" t="s">
        <v>623</v>
      </c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spans="1:26" ht="19.95" customHeight="1">
      <c r="A209" s="29" t="s">
        <v>710</v>
      </c>
      <c r="B209" s="103"/>
      <c r="C209" s="34" t="s">
        <v>744</v>
      </c>
      <c r="D209" s="30">
        <v>1</v>
      </c>
      <c r="E209" s="30">
        <v>0.6</v>
      </c>
      <c r="F209" s="30"/>
      <c r="G209" s="30"/>
      <c r="H209" s="30">
        <v>0.6</v>
      </c>
      <c r="I209" s="30">
        <v>0.6</v>
      </c>
      <c r="J209" s="146"/>
      <c r="K209" s="146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spans="1:26" ht="19.95" customHeight="1">
      <c r="A210" s="29" t="s">
        <v>711</v>
      </c>
      <c r="B210" s="103"/>
      <c r="C210" s="34" t="s">
        <v>745</v>
      </c>
      <c r="D210" s="30">
        <v>1</v>
      </c>
      <c r="E210" s="30">
        <v>0.72</v>
      </c>
      <c r="F210" s="30"/>
      <c r="G210" s="30"/>
      <c r="H210" s="30">
        <v>0.72</v>
      </c>
      <c r="I210" s="30">
        <v>0.72</v>
      </c>
      <c r="J210" s="146"/>
      <c r="K210" s="146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spans="1:26" ht="49.95" customHeight="1">
      <c r="A211" s="29" t="s">
        <v>214</v>
      </c>
      <c r="B211" s="33">
        <v>103670</v>
      </c>
      <c r="C211" s="150" t="s">
        <v>415</v>
      </c>
      <c r="D211" s="30"/>
      <c r="E211" s="30"/>
      <c r="F211" s="30"/>
      <c r="G211" s="30"/>
      <c r="H211" s="30"/>
      <c r="I211" s="30"/>
      <c r="J211" s="151">
        <v>1.32</v>
      </c>
      <c r="K211" s="146" t="s">
        <v>623</v>
      </c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spans="1:26" ht="19.8" customHeight="1">
      <c r="A212" s="29" t="s">
        <v>712</v>
      </c>
      <c r="B212" s="103"/>
      <c r="C212" s="34" t="s">
        <v>688</v>
      </c>
      <c r="D212" s="30">
        <v>1</v>
      </c>
      <c r="E212" s="30">
        <v>1.32</v>
      </c>
      <c r="F212" s="30"/>
      <c r="G212" s="30"/>
      <c r="H212" s="30">
        <v>1.32</v>
      </c>
      <c r="I212" s="30">
        <v>1.32</v>
      </c>
      <c r="J212" s="146"/>
      <c r="K212" s="146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spans="1:26" ht="49.95" customHeight="1">
      <c r="A213" s="29" t="s">
        <v>215</v>
      </c>
      <c r="B213" s="33">
        <v>104927</v>
      </c>
      <c r="C213" s="150" t="s">
        <v>416</v>
      </c>
      <c r="D213" s="30"/>
      <c r="E213" s="30"/>
      <c r="F213" s="30"/>
      <c r="G213" s="30"/>
      <c r="H213" s="30"/>
      <c r="I213" s="30"/>
      <c r="J213" s="151">
        <v>3.1</v>
      </c>
      <c r="K213" s="146" t="s">
        <v>610</v>
      </c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spans="1:26" ht="19.8" customHeight="1">
      <c r="A214" s="29" t="s">
        <v>713</v>
      </c>
      <c r="B214" s="103"/>
      <c r="C214" s="34" t="s">
        <v>744</v>
      </c>
      <c r="D214" s="30">
        <v>1</v>
      </c>
      <c r="E214" s="30">
        <v>3.1</v>
      </c>
      <c r="F214" s="30"/>
      <c r="G214" s="30"/>
      <c r="H214" s="30">
        <v>3.1</v>
      </c>
      <c r="I214" s="30">
        <v>3.1</v>
      </c>
      <c r="J214" s="146"/>
      <c r="K214" s="146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spans="1:26" ht="49.95" customHeight="1">
      <c r="A215" s="29" t="s">
        <v>216</v>
      </c>
      <c r="B215" s="33">
        <v>96542</v>
      </c>
      <c r="C215" s="150" t="s">
        <v>526</v>
      </c>
      <c r="D215" s="30"/>
      <c r="E215" s="30"/>
      <c r="F215" s="30"/>
      <c r="G215" s="30"/>
      <c r="H215" s="30"/>
      <c r="I215" s="30"/>
      <c r="J215" s="151">
        <v>11.93</v>
      </c>
      <c r="K215" s="146" t="s">
        <v>610</v>
      </c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spans="1:26" ht="19.8" customHeight="1">
      <c r="A216" s="29" t="s">
        <v>714</v>
      </c>
      <c r="B216" s="103"/>
      <c r="C216" s="34" t="s">
        <v>745</v>
      </c>
      <c r="D216" s="30">
        <v>1</v>
      </c>
      <c r="E216" s="30">
        <v>11.93</v>
      </c>
      <c r="F216" s="30"/>
      <c r="G216" s="30"/>
      <c r="H216" s="30">
        <v>11.93</v>
      </c>
      <c r="I216" s="30">
        <v>11.93</v>
      </c>
      <c r="J216" s="146"/>
      <c r="K216" s="146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spans="1:26" ht="49.95" customHeight="1">
      <c r="A217" s="29" t="s">
        <v>217</v>
      </c>
      <c r="B217" s="33">
        <v>104917</v>
      </c>
      <c r="C217" s="150" t="s">
        <v>418</v>
      </c>
      <c r="D217" s="30"/>
      <c r="E217" s="30"/>
      <c r="F217" s="30"/>
      <c r="G217" s="30"/>
      <c r="H217" s="30"/>
      <c r="I217" s="30"/>
      <c r="J217" s="151">
        <v>17.600000000000001</v>
      </c>
      <c r="K217" s="146" t="s">
        <v>42</v>
      </c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spans="1:26" ht="19.8" customHeight="1">
      <c r="A218" s="29" t="s">
        <v>715</v>
      </c>
      <c r="B218" s="103"/>
      <c r="C218" s="34" t="s">
        <v>685</v>
      </c>
      <c r="D218" s="30">
        <v>1</v>
      </c>
      <c r="E218" s="30">
        <v>17.600000000000001</v>
      </c>
      <c r="F218" s="30"/>
      <c r="G218" s="30"/>
      <c r="H218" s="30">
        <v>17.600000000000001</v>
      </c>
      <c r="I218" s="30">
        <v>17.600000000000001</v>
      </c>
      <c r="J218" s="146"/>
      <c r="K218" s="146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spans="1:26" ht="49.95" customHeight="1">
      <c r="A219" s="29" t="s">
        <v>218</v>
      </c>
      <c r="B219" s="33">
        <v>104916</v>
      </c>
      <c r="C219" s="150" t="s">
        <v>419</v>
      </c>
      <c r="D219" s="30"/>
      <c r="E219" s="30"/>
      <c r="F219" s="30"/>
      <c r="G219" s="30"/>
      <c r="H219" s="30"/>
      <c r="I219" s="30"/>
      <c r="J219" s="151">
        <v>11.2</v>
      </c>
      <c r="K219" s="146" t="s">
        <v>42</v>
      </c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spans="1:26" ht="19.8" customHeight="1">
      <c r="A220" s="29" t="s">
        <v>716</v>
      </c>
      <c r="B220" s="103"/>
      <c r="C220" s="34" t="s">
        <v>689</v>
      </c>
      <c r="D220" s="30">
        <v>1</v>
      </c>
      <c r="E220" s="30">
        <v>11.2</v>
      </c>
      <c r="F220" s="30"/>
      <c r="G220" s="30"/>
      <c r="H220" s="30">
        <v>11.2</v>
      </c>
      <c r="I220" s="30">
        <v>11.2</v>
      </c>
      <c r="J220" s="146"/>
      <c r="K220" s="146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spans="1:26" ht="49.95" customHeight="1">
      <c r="A221" s="29" t="s">
        <v>219</v>
      </c>
      <c r="B221" s="33">
        <v>104918</v>
      </c>
      <c r="C221" s="150" t="s">
        <v>420</v>
      </c>
      <c r="D221" s="30"/>
      <c r="E221" s="30"/>
      <c r="F221" s="30"/>
      <c r="G221" s="30"/>
      <c r="H221" s="30"/>
      <c r="I221" s="30"/>
      <c r="J221" s="151">
        <v>28.8</v>
      </c>
      <c r="K221" s="146" t="s">
        <v>42</v>
      </c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spans="1:26" ht="19.8" customHeight="1">
      <c r="A222" s="29" t="s">
        <v>717</v>
      </c>
      <c r="B222" s="103"/>
      <c r="C222" s="34" t="s">
        <v>689</v>
      </c>
      <c r="D222" s="30">
        <v>1</v>
      </c>
      <c r="E222" s="30">
        <v>28.8</v>
      </c>
      <c r="F222" s="30"/>
      <c r="G222" s="30"/>
      <c r="H222" s="30">
        <v>28.8</v>
      </c>
      <c r="I222" s="30">
        <v>28.8</v>
      </c>
      <c r="J222" s="146"/>
      <c r="K222" s="146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spans="1:26" ht="49.95" customHeight="1">
      <c r="A223" s="29" t="s">
        <v>220</v>
      </c>
      <c r="B223" s="33">
        <v>98557</v>
      </c>
      <c r="C223" s="149" t="s">
        <v>421</v>
      </c>
      <c r="D223" s="30"/>
      <c r="E223" s="30"/>
      <c r="F223" s="133" t="s">
        <v>692</v>
      </c>
      <c r="G223" s="30"/>
      <c r="H223" s="30"/>
      <c r="I223" s="30"/>
      <c r="J223" s="151">
        <v>13.37</v>
      </c>
      <c r="K223" s="146" t="s">
        <v>610</v>
      </c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spans="1:26" ht="19.8" customHeight="1">
      <c r="A224" s="29" t="s">
        <v>718</v>
      </c>
      <c r="B224" s="103"/>
      <c r="C224" s="34" t="s">
        <v>746</v>
      </c>
      <c r="D224" s="30">
        <v>2</v>
      </c>
      <c r="E224" s="30">
        <v>3.45</v>
      </c>
      <c r="F224" s="30">
        <v>0.9</v>
      </c>
      <c r="G224" s="30"/>
      <c r="H224" s="145"/>
      <c r="I224" s="145"/>
      <c r="J224" s="146"/>
      <c r="K224" s="146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spans="1:26" ht="19.8" customHeight="1">
      <c r="A225" s="29" t="s">
        <v>719</v>
      </c>
      <c r="B225" s="103"/>
      <c r="C225" s="34" t="s">
        <v>747</v>
      </c>
      <c r="D225" s="30">
        <v>3</v>
      </c>
      <c r="E225" s="30">
        <v>2.65</v>
      </c>
      <c r="F225" s="30">
        <v>0.9</v>
      </c>
      <c r="G225" s="30"/>
      <c r="H225" s="145"/>
      <c r="I225" s="145"/>
      <c r="J225" s="146"/>
      <c r="K225" s="146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spans="1:26" ht="25.05" customHeight="1">
      <c r="A226" s="87" t="s">
        <v>221</v>
      </c>
      <c r="B226" s="208" t="s">
        <v>39</v>
      </c>
      <c r="C226" s="208"/>
      <c r="D226" s="141"/>
      <c r="E226" s="141"/>
      <c r="F226" s="141"/>
      <c r="G226" s="141"/>
      <c r="H226" s="144"/>
      <c r="I226" s="144"/>
      <c r="J226" s="144"/>
      <c r="K226" s="144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spans="1:26" ht="49.95" customHeight="1">
      <c r="A227" s="29" t="s">
        <v>222</v>
      </c>
      <c r="B227" s="33">
        <v>92429</v>
      </c>
      <c r="C227" s="150" t="s">
        <v>422</v>
      </c>
      <c r="D227" s="30"/>
      <c r="E227" s="30"/>
      <c r="F227" s="30"/>
      <c r="G227" s="30"/>
      <c r="H227" s="30"/>
      <c r="I227" s="30"/>
      <c r="J227" s="151">
        <v>18.72</v>
      </c>
      <c r="K227" s="146" t="s">
        <v>610</v>
      </c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spans="1:26" ht="19.8" customHeight="1">
      <c r="A228" s="29" t="s">
        <v>720</v>
      </c>
      <c r="B228" s="103"/>
      <c r="C228" s="34" t="s">
        <v>748</v>
      </c>
      <c r="D228" s="30">
        <v>1</v>
      </c>
      <c r="E228" s="30">
        <v>18.72</v>
      </c>
      <c r="F228" s="30"/>
      <c r="G228" s="30"/>
      <c r="H228" s="30">
        <v>18.72</v>
      </c>
      <c r="I228" s="30">
        <v>18.72</v>
      </c>
      <c r="J228" s="146"/>
      <c r="K228" s="146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spans="1:26" ht="49.95" customHeight="1">
      <c r="A229" s="29" t="s">
        <v>223</v>
      </c>
      <c r="B229" s="33">
        <v>92476</v>
      </c>
      <c r="C229" s="166" t="s">
        <v>423</v>
      </c>
      <c r="D229" s="30"/>
      <c r="E229" s="30"/>
      <c r="F229" s="30"/>
      <c r="G229" s="30"/>
      <c r="H229" s="30"/>
      <c r="I229" s="30"/>
      <c r="J229" s="151">
        <v>17.04</v>
      </c>
      <c r="K229" s="146" t="s">
        <v>610</v>
      </c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spans="1:26" ht="19.8" customHeight="1">
      <c r="A230" s="29" t="s">
        <v>721</v>
      </c>
      <c r="B230" s="103"/>
      <c r="C230" s="34" t="s">
        <v>749</v>
      </c>
      <c r="D230" s="30">
        <v>1</v>
      </c>
      <c r="E230" s="30">
        <v>9.83</v>
      </c>
      <c r="F230" s="30"/>
      <c r="G230" s="30"/>
      <c r="H230" s="30">
        <v>9.83</v>
      </c>
      <c r="I230" s="30">
        <v>9.83</v>
      </c>
      <c r="J230" s="146"/>
      <c r="K230" s="146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spans="1:26" ht="19.8" customHeight="1">
      <c r="A231" s="29" t="s">
        <v>722</v>
      </c>
      <c r="B231" s="103"/>
      <c r="C231" s="34" t="s">
        <v>750</v>
      </c>
      <c r="D231" s="30">
        <v>1</v>
      </c>
      <c r="E231" s="30">
        <v>7.21</v>
      </c>
      <c r="F231" s="30"/>
      <c r="G231" s="30"/>
      <c r="H231" s="30">
        <v>7.21</v>
      </c>
      <c r="I231" s="30">
        <v>7.21</v>
      </c>
      <c r="J231" s="146"/>
      <c r="K231" s="146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spans="1:26" ht="49.95" customHeight="1">
      <c r="A232" s="29" t="s">
        <v>224</v>
      </c>
      <c r="B232" s="33">
        <v>92759</v>
      </c>
      <c r="C232" s="150" t="s">
        <v>425</v>
      </c>
      <c r="D232" s="30"/>
      <c r="E232" s="30"/>
      <c r="F232" s="30"/>
      <c r="G232" s="30"/>
      <c r="H232" s="30"/>
      <c r="I232" s="30"/>
      <c r="J232" s="151">
        <v>43.2</v>
      </c>
      <c r="K232" s="146" t="s">
        <v>42</v>
      </c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spans="1:26" ht="19.8" customHeight="1">
      <c r="A233" s="29" t="s">
        <v>723</v>
      </c>
      <c r="B233" s="103"/>
      <c r="C233" s="34" t="s">
        <v>693</v>
      </c>
      <c r="D233" s="30">
        <v>1</v>
      </c>
      <c r="E233" s="30">
        <v>21.2</v>
      </c>
      <c r="F233" s="30"/>
      <c r="G233" s="30"/>
      <c r="H233" s="30">
        <v>21.2</v>
      </c>
      <c r="I233" s="30">
        <v>21.2</v>
      </c>
      <c r="J233" s="146"/>
      <c r="K233" s="146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spans="1:26" ht="19.8" customHeight="1">
      <c r="A234" s="29" t="s">
        <v>724</v>
      </c>
      <c r="B234" s="103"/>
      <c r="C234" s="34" t="s">
        <v>749</v>
      </c>
      <c r="D234" s="30">
        <v>1</v>
      </c>
      <c r="E234" s="30">
        <v>9.1</v>
      </c>
      <c r="F234" s="30"/>
      <c r="G234" s="30"/>
      <c r="H234" s="30">
        <v>9.1</v>
      </c>
      <c r="I234" s="30">
        <v>9.1</v>
      </c>
      <c r="J234" s="146"/>
      <c r="K234" s="146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spans="1:26" ht="19.8" customHeight="1">
      <c r="A235" s="29" t="s">
        <v>725</v>
      </c>
      <c r="B235" s="103"/>
      <c r="C235" s="34" t="s">
        <v>750</v>
      </c>
      <c r="D235" s="30">
        <v>1</v>
      </c>
      <c r="E235" s="30">
        <v>12.9</v>
      </c>
      <c r="F235" s="30"/>
      <c r="G235" s="30"/>
      <c r="H235" s="30">
        <v>12.9</v>
      </c>
      <c r="I235" s="30">
        <v>12.9</v>
      </c>
      <c r="J235" s="146"/>
      <c r="K235" s="146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spans="1:26" ht="49.95" customHeight="1">
      <c r="A236" s="29" t="s">
        <v>225</v>
      </c>
      <c r="B236" s="33">
        <v>104108</v>
      </c>
      <c r="C236" s="166" t="s">
        <v>426</v>
      </c>
      <c r="D236" s="30"/>
      <c r="E236" s="30"/>
      <c r="F236" s="30"/>
      <c r="G236" s="30"/>
      <c r="H236" s="30"/>
      <c r="I236" s="30"/>
      <c r="J236" s="151">
        <v>69.900000000000006</v>
      </c>
      <c r="K236" s="146" t="s">
        <v>42</v>
      </c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spans="1:26" ht="19.8" customHeight="1">
      <c r="A237" s="29" t="s">
        <v>726</v>
      </c>
      <c r="B237" s="103"/>
      <c r="C237" s="34" t="s">
        <v>693</v>
      </c>
      <c r="D237" s="30">
        <v>1</v>
      </c>
      <c r="E237" s="30">
        <v>60.3</v>
      </c>
      <c r="F237" s="30"/>
      <c r="G237" s="30"/>
      <c r="H237" s="30">
        <v>60.3</v>
      </c>
      <c r="I237" s="30">
        <v>60.3</v>
      </c>
      <c r="J237" s="146"/>
      <c r="K237" s="146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spans="1:26" ht="19.8" customHeight="1">
      <c r="A238" s="29" t="s">
        <v>727</v>
      </c>
      <c r="B238" s="103"/>
      <c r="C238" s="34" t="s">
        <v>697</v>
      </c>
      <c r="D238" s="30">
        <v>1</v>
      </c>
      <c r="E238" s="30">
        <v>9.6</v>
      </c>
      <c r="F238" s="30"/>
      <c r="G238" s="30"/>
      <c r="H238" s="30">
        <v>9.6</v>
      </c>
      <c r="I238" s="30">
        <v>9.6</v>
      </c>
      <c r="J238" s="146"/>
      <c r="K238" s="146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spans="1:26" ht="49.95" customHeight="1">
      <c r="A239" s="29" t="s">
        <v>226</v>
      </c>
      <c r="B239" s="33">
        <v>92761</v>
      </c>
      <c r="C239" s="166" t="s">
        <v>427</v>
      </c>
      <c r="D239" s="30"/>
      <c r="E239" s="30"/>
      <c r="F239" s="30"/>
      <c r="G239" s="30"/>
      <c r="H239" s="30"/>
      <c r="I239" s="30"/>
      <c r="J239" s="151">
        <v>36.5</v>
      </c>
      <c r="K239" s="146" t="s">
        <v>42</v>
      </c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spans="1:26" ht="19.8" customHeight="1">
      <c r="A240" s="29" t="s">
        <v>728</v>
      </c>
      <c r="B240" s="103"/>
      <c r="C240" s="34" t="s">
        <v>749</v>
      </c>
      <c r="D240" s="30">
        <v>1</v>
      </c>
      <c r="E240" s="30">
        <v>15.5</v>
      </c>
      <c r="F240" s="30"/>
      <c r="G240" s="30"/>
      <c r="H240" s="30">
        <v>15.5</v>
      </c>
      <c r="I240" s="30">
        <v>15.5</v>
      </c>
      <c r="J240" s="146"/>
      <c r="K240" s="146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spans="1:26" ht="19.8" customHeight="1">
      <c r="A241" s="29" t="s">
        <v>729</v>
      </c>
      <c r="B241" s="103"/>
      <c r="C241" s="34" t="s">
        <v>750</v>
      </c>
      <c r="D241" s="30">
        <v>1</v>
      </c>
      <c r="E241" s="30">
        <v>21</v>
      </c>
      <c r="F241" s="30"/>
      <c r="G241" s="30"/>
      <c r="H241" s="30">
        <v>21</v>
      </c>
      <c r="I241" s="30">
        <v>21</v>
      </c>
      <c r="J241" s="146"/>
      <c r="K241" s="146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spans="1:26" ht="49.95" customHeight="1">
      <c r="A242" s="29" t="s">
        <v>227</v>
      </c>
      <c r="B242" s="33">
        <v>94971</v>
      </c>
      <c r="C242" s="150" t="s">
        <v>414</v>
      </c>
      <c r="D242" s="30"/>
      <c r="E242" s="30"/>
      <c r="F242" s="30"/>
      <c r="G242" s="30"/>
      <c r="H242" s="30"/>
      <c r="I242" s="30"/>
      <c r="J242" s="151">
        <v>2.61</v>
      </c>
      <c r="K242" s="146" t="s">
        <v>623</v>
      </c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spans="1:26" ht="19.8" customHeight="1">
      <c r="A243" s="29" t="s">
        <v>730</v>
      </c>
      <c r="B243" s="103"/>
      <c r="C243" s="34" t="s">
        <v>693</v>
      </c>
      <c r="D243" s="30">
        <v>1</v>
      </c>
      <c r="E243" s="30">
        <v>0.94</v>
      </c>
      <c r="F243" s="30"/>
      <c r="G243" s="30"/>
      <c r="H243" s="30">
        <v>0.94</v>
      </c>
      <c r="I243" s="30">
        <v>0.94</v>
      </c>
      <c r="J243" s="146"/>
      <c r="K243" s="146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spans="1:26" ht="19.8" customHeight="1">
      <c r="A244" s="29" t="s">
        <v>731</v>
      </c>
      <c r="B244" s="103"/>
      <c r="C244" s="34" t="s">
        <v>749</v>
      </c>
      <c r="D244" s="30">
        <v>1</v>
      </c>
      <c r="E244" s="30">
        <v>0.59</v>
      </c>
      <c r="F244" s="30"/>
      <c r="G244" s="30"/>
      <c r="H244" s="30">
        <v>0.59</v>
      </c>
      <c r="I244" s="30">
        <v>0.59</v>
      </c>
      <c r="J244" s="146"/>
      <c r="K244" s="146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spans="1:26" ht="19.8" customHeight="1">
      <c r="A245" s="29" t="s">
        <v>732</v>
      </c>
      <c r="B245" s="103"/>
      <c r="C245" s="34" t="s">
        <v>750</v>
      </c>
      <c r="D245" s="30">
        <v>1</v>
      </c>
      <c r="E245" s="30">
        <v>0.39</v>
      </c>
      <c r="F245" s="30"/>
      <c r="G245" s="30"/>
      <c r="H245" s="30">
        <v>0.39</v>
      </c>
      <c r="I245" s="30">
        <v>0.39</v>
      </c>
      <c r="J245" s="146"/>
      <c r="K245" s="146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spans="1:26" ht="19.8" customHeight="1">
      <c r="A246" s="29" t="s">
        <v>733</v>
      </c>
      <c r="B246" s="103"/>
      <c r="C246" s="34" t="s">
        <v>699</v>
      </c>
      <c r="D246" s="30">
        <v>1</v>
      </c>
      <c r="E246" s="30">
        <v>0.69</v>
      </c>
      <c r="F246" s="30"/>
      <c r="G246" s="30"/>
      <c r="H246" s="30">
        <v>0.69</v>
      </c>
      <c r="I246" s="30">
        <v>0.69</v>
      </c>
      <c r="J246" s="146"/>
      <c r="K246" s="146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spans="1:26" ht="49.95" customHeight="1">
      <c r="A247" s="29" t="s">
        <v>228</v>
      </c>
      <c r="B247" s="33">
        <v>103670</v>
      </c>
      <c r="C247" s="166" t="s">
        <v>415</v>
      </c>
      <c r="D247" s="30"/>
      <c r="E247" s="30"/>
      <c r="F247" s="30"/>
      <c r="G247" s="30"/>
      <c r="H247" s="30"/>
      <c r="I247" s="30"/>
      <c r="J247" s="151">
        <v>2.61</v>
      </c>
      <c r="K247" s="146" t="s">
        <v>623</v>
      </c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spans="1:26" ht="19.8" customHeight="1">
      <c r="A248" s="29" t="s">
        <v>734</v>
      </c>
      <c r="B248" s="103"/>
      <c r="C248" s="34" t="s">
        <v>693</v>
      </c>
      <c r="D248" s="30">
        <v>1</v>
      </c>
      <c r="E248" s="30">
        <v>0.94</v>
      </c>
      <c r="F248" s="30"/>
      <c r="G248" s="30"/>
      <c r="H248" s="30">
        <v>0.94</v>
      </c>
      <c r="I248" s="30">
        <v>0.94</v>
      </c>
      <c r="J248" s="146"/>
      <c r="K248" s="146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spans="1:26" ht="19.8" customHeight="1">
      <c r="A249" s="29" t="s">
        <v>751</v>
      </c>
      <c r="B249" s="103"/>
      <c r="C249" s="34" t="s">
        <v>749</v>
      </c>
      <c r="D249" s="30">
        <v>1</v>
      </c>
      <c r="E249" s="30">
        <v>0.59</v>
      </c>
      <c r="F249" s="30"/>
      <c r="G249" s="30"/>
      <c r="H249" s="30">
        <v>0.59</v>
      </c>
      <c r="I249" s="30">
        <v>0.59</v>
      </c>
      <c r="J249" s="146"/>
      <c r="K249" s="146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ht="19.8" customHeight="1">
      <c r="A250" s="29" t="s">
        <v>752</v>
      </c>
      <c r="B250" s="103"/>
      <c r="C250" s="34" t="s">
        <v>750</v>
      </c>
      <c r="D250" s="30">
        <v>1</v>
      </c>
      <c r="E250" s="30">
        <v>0.39</v>
      </c>
      <c r="F250" s="30"/>
      <c r="G250" s="30"/>
      <c r="H250" s="30">
        <v>0.39</v>
      </c>
      <c r="I250" s="30">
        <v>0.39</v>
      </c>
      <c r="J250" s="146"/>
      <c r="K250" s="146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ht="19.8" customHeight="1">
      <c r="A251" s="29" t="s">
        <v>753</v>
      </c>
      <c r="B251" s="103"/>
      <c r="C251" s="34" t="s">
        <v>699</v>
      </c>
      <c r="D251" s="30">
        <v>1</v>
      </c>
      <c r="E251" s="30">
        <v>0.69</v>
      </c>
      <c r="F251" s="30"/>
      <c r="G251" s="30"/>
      <c r="H251" s="30">
        <v>0.69</v>
      </c>
      <c r="I251" s="30">
        <v>0.69</v>
      </c>
      <c r="J251" s="146"/>
      <c r="K251" s="146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ht="49.95" customHeight="1">
      <c r="A252" s="29" t="s">
        <v>229</v>
      </c>
      <c r="B252" s="33">
        <v>92486</v>
      </c>
      <c r="C252" s="150" t="s">
        <v>424</v>
      </c>
      <c r="D252" s="30"/>
      <c r="E252" s="30"/>
      <c r="F252" s="30"/>
      <c r="G252" s="30"/>
      <c r="H252" s="30"/>
      <c r="I252" s="30"/>
      <c r="J252" s="151">
        <v>8.67</v>
      </c>
      <c r="K252" s="146" t="s">
        <v>610</v>
      </c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spans="1:26" ht="19.8" customHeight="1">
      <c r="A253" s="29" t="s">
        <v>735</v>
      </c>
      <c r="B253" s="103"/>
      <c r="C253" s="34"/>
      <c r="D253" s="30">
        <v>1</v>
      </c>
      <c r="E253" s="30">
        <v>8.67</v>
      </c>
      <c r="F253" s="30"/>
      <c r="G253" s="30"/>
      <c r="H253" s="30">
        <v>8.67</v>
      </c>
      <c r="I253" s="30">
        <v>8.67</v>
      </c>
      <c r="J253" s="146"/>
      <c r="K253" s="146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spans="1:26" ht="49.95" customHeight="1">
      <c r="A254" s="29" t="s">
        <v>230</v>
      </c>
      <c r="B254" s="33">
        <v>92769</v>
      </c>
      <c r="C254" s="166" t="s">
        <v>430</v>
      </c>
      <c r="D254" s="30"/>
      <c r="E254" s="30"/>
      <c r="F254" s="30"/>
      <c r="G254" s="30"/>
      <c r="H254" s="30"/>
      <c r="I254" s="30"/>
      <c r="J254" s="151">
        <v>16.3</v>
      </c>
      <c r="K254" s="146" t="s">
        <v>42</v>
      </c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spans="1:26" ht="19.8" customHeight="1">
      <c r="A255" s="29" t="s">
        <v>736</v>
      </c>
      <c r="B255" s="103"/>
      <c r="C255" s="34"/>
      <c r="D255" s="30">
        <v>1</v>
      </c>
      <c r="E255" s="30">
        <v>16.3</v>
      </c>
      <c r="F255" s="30"/>
      <c r="G255" s="30"/>
      <c r="H255" s="30">
        <v>16.3</v>
      </c>
      <c r="I255" s="30">
        <v>16.3</v>
      </c>
      <c r="J255" s="146"/>
      <c r="K255" s="146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spans="1:26" ht="49.95" customHeight="1">
      <c r="A256" s="29" t="s">
        <v>231</v>
      </c>
      <c r="B256" s="33">
        <v>92770</v>
      </c>
      <c r="C256" s="166" t="s">
        <v>527</v>
      </c>
      <c r="D256" s="30"/>
      <c r="E256" s="30"/>
      <c r="F256" s="30"/>
      <c r="G256" s="30"/>
      <c r="H256" s="30"/>
      <c r="I256" s="30"/>
      <c r="J256" s="151">
        <v>34.6</v>
      </c>
      <c r="K256" s="146" t="s">
        <v>42</v>
      </c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spans="1:26" ht="19.8" customHeight="1">
      <c r="A257" s="29" t="s">
        <v>737</v>
      </c>
      <c r="B257" s="103"/>
      <c r="C257" s="34"/>
      <c r="D257" s="30">
        <v>1</v>
      </c>
      <c r="E257" s="30">
        <v>34.6</v>
      </c>
      <c r="F257" s="30"/>
      <c r="G257" s="30"/>
      <c r="H257" s="30">
        <v>34.6</v>
      </c>
      <c r="I257" s="30">
        <v>34.6</v>
      </c>
      <c r="J257" s="146"/>
      <c r="K257" s="146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spans="1:26" ht="25.05" customHeight="1">
      <c r="A258" s="87" t="s">
        <v>232</v>
      </c>
      <c r="B258" s="208" t="s">
        <v>105</v>
      </c>
      <c r="C258" s="208"/>
      <c r="D258" s="141"/>
      <c r="E258" s="141"/>
      <c r="F258" s="141"/>
      <c r="G258" s="141"/>
      <c r="H258" s="144"/>
      <c r="I258" s="144"/>
      <c r="J258" s="144"/>
      <c r="K258" s="144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spans="1:26" ht="49.95" customHeight="1">
      <c r="A259" s="29" t="s">
        <v>233</v>
      </c>
      <c r="B259" s="33">
        <v>103356</v>
      </c>
      <c r="C259" s="150" t="s">
        <v>431</v>
      </c>
      <c r="D259" s="30"/>
      <c r="E259" s="30"/>
      <c r="F259" s="30"/>
      <c r="G259" s="30"/>
      <c r="H259" s="30"/>
      <c r="I259" s="30"/>
      <c r="J259" s="151"/>
      <c r="K259" s="146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spans="1:26" ht="49.95" customHeight="1">
      <c r="A260" s="29" t="s">
        <v>234</v>
      </c>
      <c r="B260" s="33">
        <v>105023</v>
      </c>
      <c r="C260" s="150" t="s">
        <v>432</v>
      </c>
      <c r="D260" s="30"/>
      <c r="E260" s="30"/>
      <c r="F260" s="30"/>
      <c r="G260" s="30"/>
      <c r="H260" s="30"/>
      <c r="I260" s="30"/>
      <c r="J260" s="151"/>
      <c r="K260" s="146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spans="1:26" ht="49.95" customHeight="1">
      <c r="A261" s="29" t="s">
        <v>235</v>
      </c>
      <c r="B261" s="33">
        <v>105029</v>
      </c>
      <c r="C261" s="150" t="s">
        <v>433</v>
      </c>
      <c r="D261" s="30"/>
      <c r="E261" s="30"/>
      <c r="F261" s="30"/>
      <c r="G261" s="30"/>
      <c r="H261" s="30"/>
      <c r="I261" s="30"/>
      <c r="J261" s="151"/>
      <c r="K261" s="146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spans="1:26" ht="25.05" customHeight="1">
      <c r="A262" s="87" t="s">
        <v>236</v>
      </c>
      <c r="B262" s="208" t="s">
        <v>45</v>
      </c>
      <c r="C262" s="208"/>
      <c r="D262" s="141"/>
      <c r="E262" s="141"/>
      <c r="F262" s="141"/>
      <c r="G262" s="141"/>
      <c r="H262" s="144"/>
      <c r="I262" s="144"/>
      <c r="J262" s="144"/>
      <c r="K262" s="144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spans="1:26" ht="49.95" customHeight="1">
      <c r="A263" s="29" t="s">
        <v>237</v>
      </c>
      <c r="B263" s="30">
        <v>87878</v>
      </c>
      <c r="C263" s="150" t="s">
        <v>434</v>
      </c>
      <c r="D263" s="30"/>
      <c r="E263" s="30"/>
      <c r="F263" s="30"/>
      <c r="G263" s="30"/>
      <c r="H263" s="30"/>
      <c r="I263" s="30"/>
      <c r="J263" s="151"/>
      <c r="K263" s="146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spans="1:26" ht="49.95" customHeight="1">
      <c r="A264" s="29" t="s">
        <v>238</v>
      </c>
      <c r="B264" s="30">
        <v>87545</v>
      </c>
      <c r="C264" s="150" t="s">
        <v>435</v>
      </c>
      <c r="D264" s="30"/>
      <c r="E264" s="30"/>
      <c r="F264" s="30"/>
      <c r="G264" s="30"/>
      <c r="H264" s="30"/>
      <c r="I264" s="30"/>
      <c r="J264" s="151"/>
      <c r="K264" s="146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spans="1:26" ht="49.95" customHeight="1">
      <c r="A265" s="29" t="s">
        <v>239</v>
      </c>
      <c r="B265" s="30">
        <v>87529</v>
      </c>
      <c r="C265" s="150" t="s">
        <v>436</v>
      </c>
      <c r="D265" s="30"/>
      <c r="E265" s="30"/>
      <c r="F265" s="30"/>
      <c r="G265" s="30"/>
      <c r="H265" s="30"/>
      <c r="I265" s="30"/>
      <c r="J265" s="151"/>
      <c r="K265" s="146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spans="1:26" ht="49.95" customHeight="1">
      <c r="A266" s="29" t="s">
        <v>240</v>
      </c>
      <c r="B266" s="30">
        <v>87908</v>
      </c>
      <c r="C266" s="150" t="s">
        <v>438</v>
      </c>
      <c r="D266" s="30"/>
      <c r="E266" s="30"/>
      <c r="F266" s="30"/>
      <c r="G266" s="30"/>
      <c r="H266" s="30"/>
      <c r="I266" s="30"/>
      <c r="J266" s="151"/>
      <c r="K266" s="146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spans="1:26" ht="49.95" customHeight="1">
      <c r="A267" s="29" t="s">
        <v>241</v>
      </c>
      <c r="B267" s="30">
        <v>104218</v>
      </c>
      <c r="C267" s="150" t="s">
        <v>439</v>
      </c>
      <c r="D267" s="30"/>
      <c r="E267" s="30"/>
      <c r="F267" s="30"/>
      <c r="G267" s="30"/>
      <c r="H267" s="30"/>
      <c r="I267" s="30"/>
      <c r="J267" s="151"/>
      <c r="K267" s="146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spans="1:26" ht="49.95" customHeight="1">
      <c r="A268" s="29" t="s">
        <v>242</v>
      </c>
      <c r="B268" s="30">
        <v>88497</v>
      </c>
      <c r="C268" s="150" t="s">
        <v>528</v>
      </c>
      <c r="D268" s="30"/>
      <c r="E268" s="30"/>
      <c r="F268" s="30"/>
      <c r="G268" s="30"/>
      <c r="H268" s="30"/>
      <c r="I268" s="30"/>
      <c r="J268" s="151"/>
      <c r="K268" s="146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spans="1:26" ht="49.95" customHeight="1">
      <c r="A269" s="29" t="s">
        <v>243</v>
      </c>
      <c r="B269" s="30">
        <v>88489</v>
      </c>
      <c r="C269" s="150" t="s">
        <v>529</v>
      </c>
      <c r="D269" s="30"/>
      <c r="E269" s="30"/>
      <c r="F269" s="30"/>
      <c r="G269" s="30"/>
      <c r="H269" s="30"/>
      <c r="I269" s="30"/>
      <c r="J269" s="151"/>
      <c r="K269" s="146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spans="1:26" ht="25.05" customHeight="1">
      <c r="A270" s="87" t="s">
        <v>244</v>
      </c>
      <c r="B270" s="208" t="s">
        <v>245</v>
      </c>
      <c r="C270" s="208"/>
      <c r="D270" s="141"/>
      <c r="E270" s="141"/>
      <c r="F270" s="141"/>
      <c r="G270" s="141"/>
      <c r="H270" s="144"/>
      <c r="I270" s="144"/>
      <c r="J270" s="144"/>
      <c r="K270" s="144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spans="1:26" ht="49.95" customHeight="1">
      <c r="A271" s="29" t="s">
        <v>246</v>
      </c>
      <c r="B271" s="40">
        <v>88485</v>
      </c>
      <c r="C271" s="150" t="s">
        <v>530</v>
      </c>
      <c r="D271" s="30"/>
      <c r="E271" s="30"/>
      <c r="F271" s="30"/>
      <c r="G271" s="30"/>
      <c r="H271" s="30"/>
      <c r="I271" s="30"/>
      <c r="J271" s="151"/>
      <c r="K271" s="146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spans="1:26" ht="49.95" customHeight="1">
      <c r="A272" s="29" t="s">
        <v>247</v>
      </c>
      <c r="B272" s="40">
        <v>88497</v>
      </c>
      <c r="C272" s="150" t="s">
        <v>528</v>
      </c>
      <c r="D272" s="30"/>
      <c r="E272" s="30"/>
      <c r="F272" s="30"/>
      <c r="G272" s="30"/>
      <c r="H272" s="30"/>
      <c r="I272" s="30"/>
      <c r="J272" s="151"/>
      <c r="K272" s="146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spans="1:26" ht="49.95" customHeight="1">
      <c r="A273" s="29" t="s">
        <v>248</v>
      </c>
      <c r="B273" s="40">
        <v>88489</v>
      </c>
      <c r="C273" s="150" t="s">
        <v>529</v>
      </c>
      <c r="D273" s="30"/>
      <c r="E273" s="30"/>
      <c r="F273" s="30"/>
      <c r="G273" s="30"/>
      <c r="H273" s="30"/>
      <c r="I273" s="30"/>
      <c r="J273" s="151"/>
      <c r="K273" s="146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spans="1:26" ht="49.95" customHeight="1">
      <c r="A274" s="29" t="s">
        <v>249</v>
      </c>
      <c r="B274" s="40">
        <v>96486</v>
      </c>
      <c r="C274" s="150" t="s">
        <v>442</v>
      </c>
      <c r="D274" s="30"/>
      <c r="E274" s="30"/>
      <c r="F274" s="30"/>
      <c r="G274" s="30"/>
      <c r="H274" s="30"/>
      <c r="I274" s="30"/>
      <c r="J274" s="151"/>
      <c r="K274" s="146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spans="1:26" ht="25.05" customHeight="1">
      <c r="A275" s="87" t="s">
        <v>250</v>
      </c>
      <c r="B275" s="208" t="s">
        <v>46</v>
      </c>
      <c r="C275" s="208"/>
      <c r="D275" s="141"/>
      <c r="E275" s="141"/>
      <c r="F275" s="141"/>
      <c r="G275" s="141"/>
      <c r="H275" s="144"/>
      <c r="I275" s="144"/>
      <c r="J275" s="144"/>
      <c r="K275" s="144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spans="1:26" ht="49.95" customHeight="1">
      <c r="A276" s="29" t="s">
        <v>251</v>
      </c>
      <c r="B276" s="40">
        <v>95241</v>
      </c>
      <c r="C276" s="150" t="s">
        <v>444</v>
      </c>
      <c r="D276" s="30"/>
      <c r="E276" s="30"/>
      <c r="F276" s="30"/>
      <c r="G276" s="30"/>
      <c r="H276" s="30"/>
      <c r="I276" s="30"/>
      <c r="J276" s="151"/>
      <c r="K276" s="146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spans="1:26" ht="49.95" customHeight="1">
      <c r="A277" s="29" t="s">
        <v>252</v>
      </c>
      <c r="B277" s="40">
        <v>87622</v>
      </c>
      <c r="C277" s="150" t="s">
        <v>445</v>
      </c>
      <c r="D277" s="30"/>
      <c r="E277" s="30"/>
      <c r="F277" s="30"/>
      <c r="G277" s="30"/>
      <c r="H277" s="30"/>
      <c r="I277" s="30"/>
      <c r="J277" s="151"/>
      <c r="K277" s="146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spans="1:26" ht="49.95" customHeight="1">
      <c r="A278" s="29" t="s">
        <v>253</v>
      </c>
      <c r="B278" s="40" t="s">
        <v>409</v>
      </c>
      <c r="C278" s="150" t="s">
        <v>437</v>
      </c>
      <c r="D278" s="30"/>
      <c r="E278" s="30"/>
      <c r="F278" s="30"/>
      <c r="G278" s="30"/>
      <c r="H278" s="30"/>
      <c r="I278" s="30"/>
      <c r="J278" s="151"/>
      <c r="K278" s="146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spans="1:26" ht="25.05" customHeight="1">
      <c r="A279" s="87" t="s">
        <v>254</v>
      </c>
      <c r="B279" s="208" t="s">
        <v>125</v>
      </c>
      <c r="C279" s="208"/>
      <c r="D279" s="141"/>
      <c r="E279" s="141"/>
      <c r="F279" s="141"/>
      <c r="G279" s="141"/>
      <c r="H279" s="144"/>
      <c r="I279" s="144"/>
      <c r="J279" s="144"/>
      <c r="K279" s="144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spans="1:26" ht="25.05" customHeight="1">
      <c r="A280" s="87" t="s">
        <v>255</v>
      </c>
      <c r="B280" s="208" t="s">
        <v>47</v>
      </c>
      <c r="C280" s="208"/>
      <c r="D280" s="141"/>
      <c r="E280" s="141"/>
      <c r="F280" s="141"/>
      <c r="G280" s="141"/>
      <c r="H280" s="144"/>
      <c r="I280" s="144"/>
      <c r="J280" s="144"/>
      <c r="K280" s="144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spans="1:26" ht="49.95" customHeight="1">
      <c r="A281" s="29" t="s">
        <v>256</v>
      </c>
      <c r="B281" s="40">
        <v>102611</v>
      </c>
      <c r="C281" s="149" t="s">
        <v>531</v>
      </c>
      <c r="D281" s="30"/>
      <c r="E281" s="30"/>
      <c r="F281" s="30"/>
      <c r="G281" s="30"/>
      <c r="H281" s="30"/>
      <c r="I281" s="30"/>
      <c r="J281" s="151"/>
      <c r="K281" s="146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spans="1:26" ht="49.95" customHeight="1">
      <c r="A282" s="29" t="s">
        <v>257</v>
      </c>
      <c r="B282" s="40">
        <v>11762</v>
      </c>
      <c r="C282" s="149" t="s">
        <v>532</v>
      </c>
      <c r="D282" s="30"/>
      <c r="E282" s="30"/>
      <c r="F282" s="30"/>
      <c r="G282" s="30"/>
      <c r="H282" s="30"/>
      <c r="I282" s="30"/>
      <c r="J282" s="151"/>
      <c r="K282" s="146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spans="1:26" ht="49.95" customHeight="1">
      <c r="A283" s="29" t="s">
        <v>258</v>
      </c>
      <c r="B283" s="40">
        <v>86888</v>
      </c>
      <c r="C283" s="149" t="s">
        <v>448</v>
      </c>
      <c r="D283" s="30"/>
      <c r="E283" s="30"/>
      <c r="F283" s="30"/>
      <c r="G283" s="30"/>
      <c r="H283" s="30"/>
      <c r="I283" s="30"/>
      <c r="J283" s="151"/>
      <c r="K283" s="146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spans="1:26" ht="49.95" customHeight="1">
      <c r="A284" s="29" t="s">
        <v>259</v>
      </c>
      <c r="B284" s="40">
        <v>1370</v>
      </c>
      <c r="C284" s="149" t="s">
        <v>449</v>
      </c>
      <c r="D284" s="30"/>
      <c r="E284" s="30"/>
      <c r="F284" s="30"/>
      <c r="G284" s="30"/>
      <c r="H284" s="30"/>
      <c r="I284" s="30"/>
      <c r="J284" s="151"/>
      <c r="K284" s="146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spans="1:26" ht="49.95" customHeight="1">
      <c r="A285" s="29" t="s">
        <v>260</v>
      </c>
      <c r="B285" s="40">
        <v>10427</v>
      </c>
      <c r="C285" s="149" t="s">
        <v>450</v>
      </c>
      <c r="D285" s="30"/>
      <c r="E285" s="30"/>
      <c r="F285" s="30"/>
      <c r="G285" s="30"/>
      <c r="H285" s="30"/>
      <c r="I285" s="30"/>
      <c r="J285" s="151"/>
      <c r="K285" s="146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spans="1:26" ht="49.95" customHeight="1">
      <c r="A286" s="29" t="s">
        <v>261</v>
      </c>
      <c r="B286" s="40">
        <v>6136</v>
      </c>
      <c r="C286" s="149" t="s">
        <v>451</v>
      </c>
      <c r="D286" s="30"/>
      <c r="E286" s="30"/>
      <c r="F286" s="30"/>
      <c r="G286" s="30"/>
      <c r="H286" s="30"/>
      <c r="I286" s="30"/>
      <c r="J286" s="151"/>
      <c r="K286" s="146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spans="1:26" ht="49.95" customHeight="1">
      <c r="A287" s="29" t="s">
        <v>262</v>
      </c>
      <c r="B287" s="40">
        <v>86886</v>
      </c>
      <c r="C287" s="149" t="s">
        <v>452</v>
      </c>
      <c r="D287" s="30"/>
      <c r="E287" s="30"/>
      <c r="F287" s="30"/>
      <c r="G287" s="30"/>
      <c r="H287" s="30"/>
      <c r="I287" s="30"/>
      <c r="J287" s="151"/>
      <c r="K287" s="146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spans="1:26" ht="49.95" customHeight="1">
      <c r="A288" s="29" t="s">
        <v>263</v>
      </c>
      <c r="B288" s="40">
        <v>100860</v>
      </c>
      <c r="C288" s="149" t="s">
        <v>533</v>
      </c>
      <c r="D288" s="30"/>
      <c r="E288" s="30"/>
      <c r="F288" s="30"/>
      <c r="G288" s="30"/>
      <c r="H288" s="30"/>
      <c r="I288" s="30"/>
      <c r="J288" s="151"/>
      <c r="K288" s="146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spans="1:26" ht="49.95" customHeight="1">
      <c r="A289" s="29" t="s">
        <v>264</v>
      </c>
      <c r="B289" s="40">
        <v>89987</v>
      </c>
      <c r="C289" s="149" t="s">
        <v>534</v>
      </c>
      <c r="D289" s="30"/>
      <c r="E289" s="30"/>
      <c r="F289" s="30"/>
      <c r="G289" s="30"/>
      <c r="H289" s="30"/>
      <c r="I289" s="30"/>
      <c r="J289" s="151"/>
      <c r="K289" s="146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spans="1:26" ht="49.95" customHeight="1">
      <c r="A290" s="29" t="s">
        <v>265</v>
      </c>
      <c r="B290" s="40">
        <v>89351</v>
      </c>
      <c r="C290" s="149" t="s">
        <v>535</v>
      </c>
      <c r="D290" s="30"/>
      <c r="E290" s="30"/>
      <c r="F290" s="30"/>
      <c r="G290" s="30"/>
      <c r="H290" s="30"/>
      <c r="I290" s="30"/>
      <c r="J290" s="151"/>
      <c r="K290" s="146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spans="1:26" ht="49.95" customHeight="1">
      <c r="A291" s="29" t="s">
        <v>266</v>
      </c>
      <c r="B291" s="40">
        <v>94489</v>
      </c>
      <c r="C291" s="149" t="s">
        <v>458</v>
      </c>
      <c r="D291" s="30"/>
      <c r="E291" s="30"/>
      <c r="F291" s="30"/>
      <c r="G291" s="30"/>
      <c r="H291" s="30"/>
      <c r="I291" s="30"/>
      <c r="J291" s="151"/>
      <c r="K291" s="146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spans="1:26" ht="49.95" customHeight="1">
      <c r="A292" s="29" t="s">
        <v>267</v>
      </c>
      <c r="B292" s="40">
        <v>94490</v>
      </c>
      <c r="C292" s="149" t="s">
        <v>536</v>
      </c>
      <c r="D292" s="30"/>
      <c r="E292" s="30"/>
      <c r="F292" s="30"/>
      <c r="G292" s="30"/>
      <c r="H292" s="30"/>
      <c r="I292" s="30"/>
      <c r="J292" s="151"/>
      <c r="K292" s="146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spans="1:26" ht="49.95" customHeight="1">
      <c r="A293" s="29" t="s">
        <v>268</v>
      </c>
      <c r="B293" s="40">
        <v>94656</v>
      </c>
      <c r="C293" s="149" t="s">
        <v>459</v>
      </c>
      <c r="D293" s="30"/>
      <c r="E293" s="30"/>
      <c r="F293" s="30"/>
      <c r="G293" s="30"/>
      <c r="H293" s="30"/>
      <c r="I293" s="30"/>
      <c r="J293" s="151"/>
      <c r="K293" s="146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spans="1:26" ht="49.95" customHeight="1">
      <c r="A294" s="29" t="s">
        <v>269</v>
      </c>
      <c r="B294" s="40">
        <v>89364</v>
      </c>
      <c r="C294" s="149" t="s">
        <v>461</v>
      </c>
      <c r="D294" s="30"/>
      <c r="E294" s="30"/>
      <c r="F294" s="30"/>
      <c r="G294" s="30"/>
      <c r="H294" s="30"/>
      <c r="I294" s="30"/>
      <c r="J294" s="151"/>
      <c r="K294" s="146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spans="1:26" ht="49.95" customHeight="1">
      <c r="A295" s="29" t="s">
        <v>270</v>
      </c>
      <c r="B295" s="40">
        <v>89365</v>
      </c>
      <c r="C295" s="149" t="s">
        <v>537</v>
      </c>
      <c r="D295" s="30"/>
      <c r="E295" s="30"/>
      <c r="F295" s="30"/>
      <c r="G295" s="30"/>
      <c r="H295" s="30"/>
      <c r="I295" s="30"/>
      <c r="J295" s="151"/>
      <c r="K295" s="146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spans="1:26" ht="49.95" customHeight="1">
      <c r="A296" s="29" t="s">
        <v>271</v>
      </c>
      <c r="B296" s="40">
        <v>89363</v>
      </c>
      <c r="C296" s="149" t="s">
        <v>463</v>
      </c>
      <c r="D296" s="30"/>
      <c r="E296" s="30"/>
      <c r="F296" s="30"/>
      <c r="G296" s="30"/>
      <c r="H296" s="30"/>
      <c r="I296" s="30"/>
      <c r="J296" s="151"/>
      <c r="K296" s="146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spans="1:26" ht="49.95" customHeight="1">
      <c r="A297" s="29" t="s">
        <v>272</v>
      </c>
      <c r="B297" s="40">
        <v>89408</v>
      </c>
      <c r="C297" s="149" t="s">
        <v>464</v>
      </c>
      <c r="D297" s="30"/>
      <c r="E297" s="30"/>
      <c r="F297" s="30"/>
      <c r="G297" s="30"/>
      <c r="H297" s="30"/>
      <c r="I297" s="30"/>
      <c r="J297" s="151"/>
      <c r="K297" s="146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spans="1:26" ht="49.95" customHeight="1">
      <c r="A298" s="29" t="s">
        <v>273</v>
      </c>
      <c r="B298" s="40">
        <v>89367</v>
      </c>
      <c r="C298" s="149" t="s">
        <v>538</v>
      </c>
      <c r="D298" s="30"/>
      <c r="E298" s="30"/>
      <c r="F298" s="30"/>
      <c r="G298" s="30"/>
      <c r="H298" s="30"/>
      <c r="I298" s="30"/>
      <c r="J298" s="151"/>
      <c r="K298" s="146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spans="1:26" ht="49.95" customHeight="1">
      <c r="A299" s="29" t="s">
        <v>274</v>
      </c>
      <c r="B299" s="40">
        <v>89528</v>
      </c>
      <c r="C299" s="149" t="s">
        <v>539</v>
      </c>
      <c r="D299" s="30"/>
      <c r="E299" s="30"/>
      <c r="F299" s="30"/>
      <c r="G299" s="30"/>
      <c r="H299" s="30"/>
      <c r="I299" s="30"/>
      <c r="J299" s="151"/>
      <c r="K299" s="146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spans="1:26" ht="49.95" customHeight="1">
      <c r="A300" s="29" t="s">
        <v>275</v>
      </c>
      <c r="B300" s="40">
        <v>89381</v>
      </c>
      <c r="C300" s="149" t="s">
        <v>540</v>
      </c>
      <c r="D300" s="30"/>
      <c r="E300" s="30"/>
      <c r="F300" s="30"/>
      <c r="G300" s="30"/>
      <c r="H300" s="30"/>
      <c r="I300" s="30"/>
      <c r="J300" s="151"/>
      <c r="K300" s="146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spans="1:26" ht="49.95" customHeight="1">
      <c r="A301" s="29" t="s">
        <v>276</v>
      </c>
      <c r="B301" s="40">
        <v>89617</v>
      </c>
      <c r="C301" s="149" t="s">
        <v>467</v>
      </c>
      <c r="D301" s="30"/>
      <c r="E301" s="30"/>
      <c r="F301" s="30"/>
      <c r="G301" s="30"/>
      <c r="H301" s="30"/>
      <c r="I301" s="30"/>
      <c r="J301" s="151"/>
      <c r="K301" s="146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spans="1:26" ht="49.95" customHeight="1">
      <c r="A302" s="29" t="s">
        <v>277</v>
      </c>
      <c r="B302" s="40">
        <v>89620</v>
      </c>
      <c r="C302" s="149" t="s">
        <v>541</v>
      </c>
      <c r="D302" s="30"/>
      <c r="E302" s="30"/>
      <c r="F302" s="30"/>
      <c r="G302" s="30"/>
      <c r="H302" s="30"/>
      <c r="I302" s="30"/>
      <c r="J302" s="151"/>
      <c r="K302" s="146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spans="1:26" ht="49.95" customHeight="1">
      <c r="A303" s="29" t="s">
        <v>278</v>
      </c>
      <c r="B303" s="40">
        <v>89446</v>
      </c>
      <c r="C303" s="149" t="s">
        <v>469</v>
      </c>
      <c r="D303" s="30"/>
      <c r="E303" s="30"/>
      <c r="F303" s="30"/>
      <c r="G303" s="30"/>
      <c r="H303" s="30"/>
      <c r="I303" s="30"/>
      <c r="J303" s="151"/>
      <c r="K303" s="146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spans="1:26" ht="49.95" customHeight="1">
      <c r="A304" s="29" t="s">
        <v>279</v>
      </c>
      <c r="B304" s="54">
        <v>89447</v>
      </c>
      <c r="C304" s="150" t="s">
        <v>542</v>
      </c>
      <c r="D304" s="30"/>
      <c r="E304" s="30"/>
      <c r="F304" s="30"/>
      <c r="G304" s="30"/>
      <c r="H304" s="30"/>
      <c r="I304" s="30"/>
      <c r="J304" s="151"/>
      <c r="K304" s="146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spans="1:26" ht="25.05" customHeight="1">
      <c r="A305" s="87" t="s">
        <v>280</v>
      </c>
      <c r="B305" s="208" t="s">
        <v>281</v>
      </c>
      <c r="C305" s="208"/>
      <c r="D305" s="141"/>
      <c r="E305" s="141"/>
      <c r="F305" s="141"/>
      <c r="G305" s="141"/>
      <c r="H305" s="144"/>
      <c r="I305" s="144"/>
      <c r="J305" s="144"/>
      <c r="K305" s="144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spans="1:26" ht="49.95" customHeight="1">
      <c r="A306" s="29" t="s">
        <v>282</v>
      </c>
      <c r="B306" s="33">
        <v>91893</v>
      </c>
      <c r="C306" s="150" t="s">
        <v>543</v>
      </c>
      <c r="D306" s="30"/>
      <c r="E306" s="30"/>
      <c r="F306" s="30"/>
      <c r="G306" s="30"/>
      <c r="H306" s="30"/>
      <c r="I306" s="30"/>
      <c r="J306" s="151"/>
      <c r="K306" s="146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spans="1:26" ht="49.95" customHeight="1">
      <c r="A307" s="29" t="s">
        <v>283</v>
      </c>
      <c r="B307" s="30">
        <v>95741</v>
      </c>
      <c r="C307" s="150" t="s">
        <v>544</v>
      </c>
      <c r="D307" s="30"/>
      <c r="E307" s="30"/>
      <c r="F307" s="30"/>
      <c r="G307" s="30"/>
      <c r="H307" s="30"/>
      <c r="I307" s="30"/>
      <c r="J307" s="151"/>
      <c r="K307" s="146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spans="1:26" ht="49.95" customHeight="1">
      <c r="A308" s="29" t="s">
        <v>284</v>
      </c>
      <c r="B308" s="33">
        <v>104447</v>
      </c>
      <c r="C308" s="150" t="s">
        <v>545</v>
      </c>
      <c r="D308" s="30"/>
      <c r="E308" s="30"/>
      <c r="F308" s="30"/>
      <c r="G308" s="30"/>
      <c r="H308" s="30"/>
      <c r="I308" s="30"/>
      <c r="J308" s="151"/>
      <c r="K308" s="146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spans="1:26" ht="49.95" customHeight="1">
      <c r="A309" s="29" t="s">
        <v>285</v>
      </c>
      <c r="B309" s="33">
        <v>91953</v>
      </c>
      <c r="C309" s="150" t="s">
        <v>478</v>
      </c>
      <c r="D309" s="30"/>
      <c r="E309" s="30"/>
      <c r="F309" s="30"/>
      <c r="G309" s="30"/>
      <c r="H309" s="30"/>
      <c r="I309" s="30"/>
      <c r="J309" s="151"/>
      <c r="K309" s="146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spans="1:26" ht="49.95" customHeight="1">
      <c r="A310" s="29" t="s">
        <v>286</v>
      </c>
      <c r="B310" s="33">
        <v>92023</v>
      </c>
      <c r="C310" s="150" t="s">
        <v>546</v>
      </c>
      <c r="D310" s="30"/>
      <c r="E310" s="30"/>
      <c r="F310" s="30"/>
      <c r="G310" s="30"/>
      <c r="H310" s="30"/>
      <c r="I310" s="30"/>
      <c r="J310" s="151"/>
      <c r="K310" s="146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spans="1:26" ht="49.95" customHeight="1">
      <c r="A311" s="29" t="s">
        <v>287</v>
      </c>
      <c r="B311" s="33">
        <v>1872</v>
      </c>
      <c r="C311" s="150" t="s">
        <v>547</v>
      </c>
      <c r="D311" s="30"/>
      <c r="E311" s="30"/>
      <c r="F311" s="30"/>
      <c r="G311" s="30"/>
      <c r="H311" s="30"/>
      <c r="I311" s="30"/>
      <c r="J311" s="151"/>
      <c r="K311" s="146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spans="1:26" ht="49.95" customHeight="1">
      <c r="A312" s="29" t="s">
        <v>288</v>
      </c>
      <c r="B312" s="33">
        <v>101876</v>
      </c>
      <c r="C312" s="150" t="s">
        <v>548</v>
      </c>
      <c r="D312" s="30"/>
      <c r="E312" s="30"/>
      <c r="F312" s="30"/>
      <c r="G312" s="30"/>
      <c r="H312" s="30"/>
      <c r="I312" s="30"/>
      <c r="J312" s="151"/>
      <c r="K312" s="146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spans="1:26" ht="49.95" customHeight="1">
      <c r="A313" s="29" t="s">
        <v>289</v>
      </c>
      <c r="B313" s="33">
        <v>91996</v>
      </c>
      <c r="C313" s="150" t="s">
        <v>549</v>
      </c>
      <c r="D313" s="30"/>
      <c r="E313" s="30"/>
      <c r="F313" s="30"/>
      <c r="G313" s="30"/>
      <c r="H313" s="30"/>
      <c r="I313" s="30"/>
      <c r="J313" s="151"/>
      <c r="K313" s="146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spans="1:26" ht="49.95" customHeight="1">
      <c r="A314" s="29" t="s">
        <v>290</v>
      </c>
      <c r="B314" s="33">
        <v>92004</v>
      </c>
      <c r="C314" s="150" t="s">
        <v>484</v>
      </c>
      <c r="D314" s="30"/>
      <c r="E314" s="30"/>
      <c r="F314" s="30"/>
      <c r="G314" s="30"/>
      <c r="H314" s="30"/>
      <c r="I314" s="30"/>
      <c r="J314" s="151"/>
      <c r="K314" s="146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spans="1:26" ht="49.95" customHeight="1">
      <c r="A315" s="29" t="s">
        <v>291</v>
      </c>
      <c r="B315" s="30">
        <v>91924</v>
      </c>
      <c r="C315" s="150" t="s">
        <v>486</v>
      </c>
      <c r="D315" s="30"/>
      <c r="E315" s="30"/>
      <c r="F315" s="30"/>
      <c r="G315" s="30"/>
      <c r="H315" s="30"/>
      <c r="I315" s="30"/>
      <c r="J315" s="151"/>
      <c r="K315" s="146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spans="1:26" ht="49.95" customHeight="1">
      <c r="A316" s="29" t="s">
        <v>292</v>
      </c>
      <c r="B316" s="33">
        <v>91926</v>
      </c>
      <c r="C316" s="150" t="s">
        <v>487</v>
      </c>
      <c r="D316" s="30"/>
      <c r="E316" s="30"/>
      <c r="F316" s="30"/>
      <c r="G316" s="30"/>
      <c r="H316" s="30"/>
      <c r="I316" s="30"/>
      <c r="J316" s="151"/>
      <c r="K316" s="146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spans="1:26" ht="49.95" customHeight="1">
      <c r="A317" s="29" t="s">
        <v>293</v>
      </c>
      <c r="B317" s="33">
        <v>91931</v>
      </c>
      <c r="C317" s="150" t="s">
        <v>485</v>
      </c>
      <c r="D317" s="30"/>
      <c r="E317" s="30"/>
      <c r="F317" s="30"/>
      <c r="G317" s="30"/>
      <c r="H317" s="30"/>
      <c r="I317" s="30"/>
      <c r="J317" s="151"/>
      <c r="K317" s="146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spans="1:26" ht="49.95" customHeight="1">
      <c r="A318" s="29" t="s">
        <v>294</v>
      </c>
      <c r="B318" s="33">
        <v>91869</v>
      </c>
      <c r="C318" s="150" t="s">
        <v>550</v>
      </c>
      <c r="D318" s="30"/>
      <c r="E318" s="30"/>
      <c r="F318" s="30"/>
      <c r="G318" s="30"/>
      <c r="H318" s="30"/>
      <c r="I318" s="30"/>
      <c r="J318" s="151"/>
      <c r="K318" s="146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spans="1:26" ht="49.95" customHeight="1">
      <c r="A319" s="29" t="s">
        <v>295</v>
      </c>
      <c r="B319" s="33">
        <v>95728</v>
      </c>
      <c r="C319" s="150" t="s">
        <v>551</v>
      </c>
      <c r="D319" s="30"/>
      <c r="E319" s="30"/>
      <c r="F319" s="30"/>
      <c r="G319" s="30"/>
      <c r="H319" s="30"/>
      <c r="I319" s="30"/>
      <c r="J319" s="151"/>
      <c r="K319" s="146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spans="1:26" ht="49.95" customHeight="1">
      <c r="A320" s="29" t="s">
        <v>296</v>
      </c>
      <c r="B320" s="33">
        <v>91854</v>
      </c>
      <c r="C320" s="150" t="s">
        <v>490</v>
      </c>
      <c r="D320" s="30"/>
      <c r="E320" s="30"/>
      <c r="F320" s="30"/>
      <c r="G320" s="30"/>
      <c r="H320" s="30"/>
      <c r="I320" s="30"/>
      <c r="J320" s="151"/>
      <c r="K320" s="146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spans="1:26" ht="49.95" customHeight="1">
      <c r="A321" s="29" t="s">
        <v>297</v>
      </c>
      <c r="B321" s="33">
        <v>39469</v>
      </c>
      <c r="C321" s="150" t="s">
        <v>552</v>
      </c>
      <c r="D321" s="30"/>
      <c r="E321" s="30"/>
      <c r="F321" s="30"/>
      <c r="G321" s="30"/>
      <c r="H321" s="30"/>
      <c r="I321" s="30"/>
      <c r="J321" s="151"/>
      <c r="K321" s="146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spans="1:26" ht="49.95" customHeight="1">
      <c r="A322" s="29" t="s">
        <v>298</v>
      </c>
      <c r="B322" s="33">
        <v>39470</v>
      </c>
      <c r="C322" s="150" t="s">
        <v>473</v>
      </c>
      <c r="D322" s="30"/>
      <c r="E322" s="30"/>
      <c r="F322" s="30"/>
      <c r="G322" s="30"/>
      <c r="H322" s="30"/>
      <c r="I322" s="30"/>
      <c r="J322" s="151"/>
      <c r="K322" s="146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spans="1:26" ht="49.95" customHeight="1">
      <c r="A323" s="29" t="s">
        <v>299</v>
      </c>
      <c r="B323" s="33">
        <v>16</v>
      </c>
      <c r="C323" s="150" t="s">
        <v>474</v>
      </c>
      <c r="D323" s="30"/>
      <c r="E323" s="30"/>
      <c r="F323" s="30"/>
      <c r="G323" s="30"/>
      <c r="H323" s="30"/>
      <c r="I323" s="30"/>
      <c r="J323" s="151"/>
      <c r="K323" s="146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spans="1:26" ht="49.95" customHeight="1">
      <c r="A324" s="29" t="s">
        <v>300</v>
      </c>
      <c r="B324" s="33">
        <v>93653</v>
      </c>
      <c r="C324" s="150" t="s">
        <v>475</v>
      </c>
      <c r="D324" s="30"/>
      <c r="E324" s="30"/>
      <c r="F324" s="30"/>
      <c r="G324" s="30"/>
      <c r="H324" s="30"/>
      <c r="I324" s="30"/>
      <c r="J324" s="151"/>
      <c r="K324" s="146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spans="1:26" ht="49.95" customHeight="1">
      <c r="A325" s="29" t="s">
        <v>301</v>
      </c>
      <c r="B325" s="33">
        <v>93657</v>
      </c>
      <c r="C325" s="150" t="s">
        <v>477</v>
      </c>
      <c r="D325" s="30"/>
      <c r="E325" s="30"/>
      <c r="F325" s="30"/>
      <c r="G325" s="30"/>
      <c r="H325" s="30"/>
      <c r="I325" s="30"/>
      <c r="J325" s="151"/>
      <c r="K325" s="146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spans="1:26" ht="25.05" customHeight="1">
      <c r="A326" s="87" t="s">
        <v>302</v>
      </c>
      <c r="B326" s="208" t="s">
        <v>303</v>
      </c>
      <c r="C326" s="208"/>
      <c r="D326" s="141"/>
      <c r="E326" s="141"/>
      <c r="F326" s="141"/>
      <c r="G326" s="141"/>
      <c r="H326" s="144"/>
      <c r="I326" s="144"/>
      <c r="J326" s="144"/>
      <c r="K326" s="144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spans="1:26" ht="49.95" customHeight="1">
      <c r="A327" s="29" t="s">
        <v>304</v>
      </c>
      <c r="B327" s="33">
        <v>98102</v>
      </c>
      <c r="C327" s="150" t="s">
        <v>553</v>
      </c>
      <c r="D327" s="30"/>
      <c r="E327" s="30"/>
      <c r="F327" s="30"/>
      <c r="G327" s="30"/>
      <c r="H327" s="30"/>
      <c r="I327" s="30"/>
      <c r="J327" s="151"/>
      <c r="K327" s="146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spans="1:26" ht="49.95" customHeight="1">
      <c r="A328" s="29" t="s">
        <v>305</v>
      </c>
      <c r="B328" s="30">
        <v>104063</v>
      </c>
      <c r="C328" s="150" t="s">
        <v>554</v>
      </c>
      <c r="D328" s="30"/>
      <c r="E328" s="30"/>
      <c r="F328" s="30"/>
      <c r="G328" s="30"/>
      <c r="H328" s="30"/>
      <c r="I328" s="30"/>
      <c r="J328" s="151"/>
      <c r="K328" s="146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spans="1:26" ht="49.95" customHeight="1">
      <c r="A329" s="29" t="s">
        <v>306</v>
      </c>
      <c r="B329" s="33">
        <v>89726</v>
      </c>
      <c r="C329" s="150" t="s">
        <v>498</v>
      </c>
      <c r="D329" s="30"/>
      <c r="E329" s="30"/>
      <c r="F329" s="30"/>
      <c r="G329" s="30"/>
      <c r="H329" s="30"/>
      <c r="I329" s="30"/>
      <c r="J329" s="151"/>
      <c r="K329" s="146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spans="1:26" ht="49.95" customHeight="1">
      <c r="A330" s="29" t="s">
        <v>307</v>
      </c>
      <c r="B330" s="33">
        <v>89732</v>
      </c>
      <c r="C330" s="150" t="s">
        <v>499</v>
      </c>
      <c r="D330" s="30"/>
      <c r="E330" s="30"/>
      <c r="F330" s="30"/>
      <c r="G330" s="30"/>
      <c r="H330" s="30"/>
      <c r="I330" s="30"/>
      <c r="J330" s="151"/>
      <c r="K330" s="146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spans="1:26" ht="49.95" customHeight="1">
      <c r="A331" s="29" t="s">
        <v>308</v>
      </c>
      <c r="B331" s="33">
        <v>89724</v>
      </c>
      <c r="C331" s="150" t="s">
        <v>500</v>
      </c>
      <c r="D331" s="30"/>
      <c r="E331" s="30"/>
      <c r="F331" s="30"/>
      <c r="G331" s="30"/>
      <c r="H331" s="30"/>
      <c r="I331" s="30"/>
      <c r="J331" s="151"/>
      <c r="K331" s="146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spans="1:26" ht="49.95" customHeight="1">
      <c r="A332" s="29" t="s">
        <v>309</v>
      </c>
      <c r="B332" s="33">
        <v>89731</v>
      </c>
      <c r="C332" s="150" t="s">
        <v>465</v>
      </c>
      <c r="D332" s="30"/>
      <c r="E332" s="30"/>
      <c r="F332" s="30"/>
      <c r="G332" s="30"/>
      <c r="H332" s="30"/>
      <c r="I332" s="30"/>
      <c r="J332" s="151"/>
      <c r="K332" s="146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spans="1:26" ht="49.95" customHeight="1">
      <c r="A333" s="29" t="s">
        <v>310</v>
      </c>
      <c r="B333" s="33">
        <v>89744</v>
      </c>
      <c r="C333" s="150" t="s">
        <v>501</v>
      </c>
      <c r="D333" s="30"/>
      <c r="E333" s="30"/>
      <c r="F333" s="30"/>
      <c r="G333" s="30"/>
      <c r="H333" s="30"/>
      <c r="I333" s="30"/>
      <c r="J333" s="151"/>
      <c r="K333" s="146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spans="1:26" ht="49.95" customHeight="1">
      <c r="A334" s="29" t="s">
        <v>311</v>
      </c>
      <c r="B334" s="33">
        <v>104353</v>
      </c>
      <c r="C334" s="150" t="s">
        <v>503</v>
      </c>
      <c r="D334" s="30"/>
      <c r="E334" s="30"/>
      <c r="F334" s="30"/>
      <c r="G334" s="30"/>
      <c r="H334" s="30"/>
      <c r="I334" s="30"/>
      <c r="J334" s="151"/>
      <c r="K334" s="146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spans="1:26" ht="49.95" customHeight="1">
      <c r="A335" s="29" t="s">
        <v>312</v>
      </c>
      <c r="B335" s="33">
        <v>89779</v>
      </c>
      <c r="C335" s="150" t="s">
        <v>555</v>
      </c>
      <c r="D335" s="30"/>
      <c r="E335" s="30"/>
      <c r="F335" s="30"/>
      <c r="G335" s="30"/>
      <c r="H335" s="30"/>
      <c r="I335" s="30"/>
      <c r="J335" s="151"/>
      <c r="K335" s="146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spans="1:26" ht="49.95" customHeight="1">
      <c r="A336" s="29" t="s">
        <v>313</v>
      </c>
      <c r="B336" s="30">
        <v>104348</v>
      </c>
      <c r="C336" s="150" t="s">
        <v>504</v>
      </c>
      <c r="D336" s="30"/>
      <c r="E336" s="30"/>
      <c r="F336" s="30"/>
      <c r="G336" s="30"/>
      <c r="H336" s="30"/>
      <c r="I336" s="30"/>
      <c r="J336" s="151"/>
      <c r="K336" s="146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spans="1:26" ht="49.95" customHeight="1">
      <c r="A337" s="29" t="s">
        <v>314</v>
      </c>
      <c r="B337" s="33">
        <v>89696</v>
      </c>
      <c r="C337" s="150" t="s">
        <v>556</v>
      </c>
      <c r="D337" s="30"/>
      <c r="E337" s="30"/>
      <c r="F337" s="30"/>
      <c r="G337" s="30"/>
      <c r="H337" s="30"/>
      <c r="I337" s="30"/>
      <c r="J337" s="151"/>
      <c r="K337" s="146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spans="1:26" ht="49.95" customHeight="1">
      <c r="A338" s="29" t="s">
        <v>315</v>
      </c>
      <c r="B338" s="33">
        <v>104329</v>
      </c>
      <c r="C338" s="150" t="s">
        <v>507</v>
      </c>
      <c r="D338" s="30"/>
      <c r="E338" s="30"/>
      <c r="F338" s="30"/>
      <c r="G338" s="30"/>
      <c r="H338" s="30"/>
      <c r="I338" s="30"/>
      <c r="J338" s="151"/>
      <c r="K338" s="146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spans="1:26" ht="49.95" customHeight="1">
      <c r="A339" s="29" t="s">
        <v>316</v>
      </c>
      <c r="B339" s="30">
        <v>11745</v>
      </c>
      <c r="C339" s="150" t="s">
        <v>557</v>
      </c>
      <c r="D339" s="30"/>
      <c r="E339" s="30"/>
      <c r="F339" s="30"/>
      <c r="G339" s="30"/>
      <c r="H339" s="30"/>
      <c r="I339" s="30"/>
      <c r="J339" s="151"/>
      <c r="K339" s="146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spans="1:26" ht="49.95" customHeight="1">
      <c r="A340" s="29" t="s">
        <v>317</v>
      </c>
      <c r="B340" s="33">
        <v>89711</v>
      </c>
      <c r="C340" s="150" t="s">
        <v>558</v>
      </c>
      <c r="D340" s="30"/>
      <c r="E340" s="30"/>
      <c r="F340" s="30"/>
      <c r="G340" s="30"/>
      <c r="H340" s="30"/>
      <c r="I340" s="30"/>
      <c r="J340" s="151"/>
      <c r="K340" s="146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spans="1:26" ht="49.95" customHeight="1">
      <c r="A341" s="29" t="s">
        <v>318</v>
      </c>
      <c r="B341" s="33">
        <v>89712</v>
      </c>
      <c r="C341" s="150" t="s">
        <v>509</v>
      </c>
      <c r="D341" s="30"/>
      <c r="E341" s="30"/>
      <c r="F341" s="30"/>
      <c r="G341" s="30"/>
      <c r="H341" s="30"/>
      <c r="I341" s="30"/>
      <c r="J341" s="151"/>
      <c r="K341" s="146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spans="1:26" ht="49.95" customHeight="1">
      <c r="A342" s="29" t="s">
        <v>319</v>
      </c>
      <c r="B342" s="33">
        <v>89714</v>
      </c>
      <c r="C342" s="150" t="s">
        <v>510</v>
      </c>
      <c r="D342" s="30"/>
      <c r="E342" s="30"/>
      <c r="F342" s="30"/>
      <c r="G342" s="30"/>
      <c r="H342" s="30"/>
      <c r="I342" s="30"/>
      <c r="J342" s="151"/>
      <c r="K342" s="146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spans="1:26" ht="49.95" customHeight="1">
      <c r="A343" s="29" t="s">
        <v>320</v>
      </c>
      <c r="B343" s="33">
        <v>89696</v>
      </c>
      <c r="C343" s="150" t="s">
        <v>556</v>
      </c>
      <c r="D343" s="30"/>
      <c r="E343" s="30"/>
      <c r="F343" s="30"/>
      <c r="G343" s="30"/>
      <c r="H343" s="30"/>
      <c r="I343" s="30"/>
      <c r="J343" s="151"/>
      <c r="K343" s="146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spans="1:26" ht="49.95" customHeight="1">
      <c r="A344" s="29" t="s">
        <v>321</v>
      </c>
      <c r="B344" s="33">
        <v>98083</v>
      </c>
      <c r="C344" s="150" t="s">
        <v>559</v>
      </c>
      <c r="D344" s="30"/>
      <c r="E344" s="30"/>
      <c r="F344" s="30"/>
      <c r="G344" s="30"/>
      <c r="H344" s="30"/>
      <c r="I344" s="30"/>
      <c r="J344" s="151"/>
      <c r="K344" s="146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spans="1:26" ht="25.05" customHeight="1">
      <c r="A345" s="87" t="s">
        <v>322</v>
      </c>
      <c r="B345" s="208" t="s">
        <v>21</v>
      </c>
      <c r="C345" s="208"/>
      <c r="D345" s="141"/>
      <c r="E345" s="141"/>
      <c r="F345" s="141"/>
      <c r="G345" s="141"/>
      <c r="H345" s="144"/>
      <c r="I345" s="144"/>
      <c r="J345" s="144"/>
      <c r="K345" s="144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spans="1:26" ht="49.95" customHeight="1">
      <c r="A346" s="29" t="s">
        <v>323</v>
      </c>
      <c r="B346" s="33">
        <v>94204</v>
      </c>
      <c r="C346" s="150" t="s">
        <v>517</v>
      </c>
      <c r="D346" s="30"/>
      <c r="E346" s="30"/>
      <c r="F346" s="30"/>
      <c r="G346" s="30"/>
      <c r="H346" s="30"/>
      <c r="I346" s="30"/>
      <c r="J346" s="151"/>
      <c r="K346" s="146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spans="1:26" ht="49.95" customHeight="1">
      <c r="A347" s="29" t="s">
        <v>324</v>
      </c>
      <c r="B347" s="30">
        <v>92540</v>
      </c>
      <c r="C347" s="150" t="s">
        <v>518</v>
      </c>
      <c r="D347" s="30"/>
      <c r="E347" s="30"/>
      <c r="F347" s="30"/>
      <c r="G347" s="30"/>
      <c r="H347" s="30"/>
      <c r="I347" s="30"/>
      <c r="J347" s="151"/>
      <c r="K347" s="146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spans="1:26" ht="49.95" customHeight="1">
      <c r="A348" s="29" t="s">
        <v>325</v>
      </c>
      <c r="B348" s="33">
        <v>92545</v>
      </c>
      <c r="C348" s="150" t="s">
        <v>560</v>
      </c>
      <c r="D348" s="30"/>
      <c r="E348" s="30"/>
      <c r="F348" s="30"/>
      <c r="G348" s="30"/>
      <c r="H348" s="30"/>
      <c r="I348" s="30"/>
      <c r="J348" s="151"/>
      <c r="K348" s="146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spans="1:26" ht="49.95" customHeight="1">
      <c r="A349" s="29" t="s">
        <v>326</v>
      </c>
      <c r="B349" s="33">
        <v>94221</v>
      </c>
      <c r="C349" s="150" t="s">
        <v>561</v>
      </c>
      <c r="D349" s="30"/>
      <c r="E349" s="30"/>
      <c r="F349" s="30"/>
      <c r="G349" s="30"/>
      <c r="H349" s="30"/>
      <c r="I349" s="30"/>
      <c r="J349" s="151"/>
      <c r="K349" s="146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spans="1:26" ht="49.95" customHeight="1">
      <c r="A350" s="29" t="s">
        <v>327</v>
      </c>
      <c r="B350" s="33">
        <v>102233</v>
      </c>
      <c r="C350" s="150" t="s">
        <v>521</v>
      </c>
      <c r="D350" s="30"/>
      <c r="E350" s="30"/>
      <c r="F350" s="30"/>
      <c r="G350" s="30"/>
      <c r="H350" s="30"/>
      <c r="I350" s="30"/>
      <c r="J350" s="151"/>
      <c r="K350" s="146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spans="1:26" ht="25.05" customHeight="1">
      <c r="A351" s="87" t="s">
        <v>328</v>
      </c>
      <c r="B351" s="208" t="s">
        <v>48</v>
      </c>
      <c r="C351" s="208"/>
      <c r="D351" s="141"/>
      <c r="E351" s="141"/>
      <c r="F351" s="141"/>
      <c r="G351" s="141"/>
      <c r="H351" s="144"/>
      <c r="I351" s="144"/>
      <c r="J351" s="144"/>
      <c r="K351" s="144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spans="1:26" ht="49.95" customHeight="1">
      <c r="A352" s="29" t="s">
        <v>329</v>
      </c>
      <c r="B352" s="33">
        <v>90822</v>
      </c>
      <c r="C352" s="150" t="s">
        <v>562</v>
      </c>
      <c r="D352" s="30"/>
      <c r="E352" s="30"/>
      <c r="F352" s="30"/>
      <c r="G352" s="30"/>
      <c r="H352" s="30"/>
      <c r="I352" s="30"/>
      <c r="J352" s="151"/>
      <c r="K352" s="146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spans="1:26" ht="49.95" customHeight="1">
      <c r="A353" s="29" t="s">
        <v>330</v>
      </c>
      <c r="B353" s="30">
        <v>91010</v>
      </c>
      <c r="C353" s="150" t="s">
        <v>563</v>
      </c>
      <c r="D353" s="30"/>
      <c r="E353" s="30"/>
      <c r="F353" s="30"/>
      <c r="G353" s="30"/>
      <c r="H353" s="30"/>
      <c r="I353" s="30"/>
      <c r="J353" s="151"/>
      <c r="K353" s="146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spans="1:26" ht="49.95" customHeight="1">
      <c r="A354" s="29" t="s">
        <v>331</v>
      </c>
      <c r="B354" s="33">
        <v>101162</v>
      </c>
      <c r="C354" s="150" t="s">
        <v>564</v>
      </c>
      <c r="D354" s="30"/>
      <c r="E354" s="30"/>
      <c r="F354" s="30"/>
      <c r="G354" s="30"/>
      <c r="H354" s="30"/>
      <c r="I354" s="30"/>
      <c r="J354" s="151"/>
      <c r="K354" s="146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spans="1:26" ht="25.05" customHeight="1">
      <c r="A355" s="87">
        <v>4</v>
      </c>
      <c r="B355" s="208" t="s">
        <v>332</v>
      </c>
      <c r="C355" s="208"/>
      <c r="D355" s="141"/>
      <c r="E355" s="141"/>
      <c r="F355" s="141"/>
      <c r="G355" s="141"/>
      <c r="H355" s="144"/>
      <c r="I355" s="144"/>
      <c r="J355" s="144"/>
      <c r="K355" s="144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spans="1:26" ht="25.05" customHeight="1">
      <c r="A356" s="87" t="s">
        <v>22</v>
      </c>
      <c r="B356" s="208" t="s">
        <v>33</v>
      </c>
      <c r="C356" s="208"/>
      <c r="D356" s="141"/>
      <c r="E356" s="141"/>
      <c r="F356" s="141"/>
      <c r="G356" s="141"/>
      <c r="H356" s="144"/>
      <c r="I356" s="144"/>
      <c r="J356" s="144"/>
      <c r="K356" s="144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spans="1:26" ht="49.95" customHeight="1">
      <c r="A357" s="29" t="s">
        <v>335</v>
      </c>
      <c r="B357" s="33">
        <v>93358</v>
      </c>
      <c r="C357" s="150" t="s">
        <v>410</v>
      </c>
      <c r="D357" s="30"/>
      <c r="E357" s="30"/>
      <c r="F357" s="30"/>
      <c r="G357" s="30"/>
      <c r="H357" s="30"/>
      <c r="I357" s="30"/>
      <c r="J357" s="151">
        <v>30.57</v>
      </c>
      <c r="K357" s="146" t="s">
        <v>623</v>
      </c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spans="1:26" ht="19.95" customHeight="1">
      <c r="A358" s="29" t="s">
        <v>754</v>
      </c>
      <c r="B358" s="103"/>
      <c r="C358" s="34" t="s">
        <v>822</v>
      </c>
      <c r="D358" s="30">
        <v>2</v>
      </c>
      <c r="E358" s="30">
        <v>0.65</v>
      </c>
      <c r="F358" s="30">
        <v>0.7</v>
      </c>
      <c r="G358" s="30">
        <v>1.35</v>
      </c>
      <c r="H358" s="145">
        <v>0.61424999999999996</v>
      </c>
      <c r="I358" s="145">
        <v>1.23</v>
      </c>
      <c r="J358" s="146"/>
      <c r="K358" s="146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spans="1:26" ht="19.95" customHeight="1">
      <c r="A359" s="29" t="s">
        <v>755</v>
      </c>
      <c r="B359" s="103"/>
      <c r="C359" s="34" t="s">
        <v>823</v>
      </c>
      <c r="D359" s="30">
        <v>10</v>
      </c>
      <c r="E359" s="30">
        <v>0.8</v>
      </c>
      <c r="F359" s="30">
        <v>0.85</v>
      </c>
      <c r="G359" s="30">
        <v>1.35</v>
      </c>
      <c r="H359" s="145">
        <v>0.91800000000000004</v>
      </c>
      <c r="I359" s="145">
        <v>9.18</v>
      </c>
      <c r="J359" s="146"/>
      <c r="K359" s="146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spans="1:26" ht="19.95" customHeight="1">
      <c r="A360" s="29" t="s">
        <v>756</v>
      </c>
      <c r="B360" s="103"/>
      <c r="C360" s="34" t="s">
        <v>824</v>
      </c>
      <c r="D360" s="30">
        <v>13</v>
      </c>
      <c r="E360" s="30">
        <v>0.95</v>
      </c>
      <c r="F360" s="30">
        <v>0.95</v>
      </c>
      <c r="G360" s="30">
        <v>1.35</v>
      </c>
      <c r="H360" s="145">
        <v>1.218375</v>
      </c>
      <c r="I360" s="145">
        <v>15.84</v>
      </c>
      <c r="J360" s="146"/>
      <c r="K360" s="146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spans="1:26" ht="19.95" customHeight="1">
      <c r="A361" s="29" t="s">
        <v>757</v>
      </c>
      <c r="B361" s="103"/>
      <c r="C361" s="34" t="s">
        <v>825</v>
      </c>
      <c r="D361" s="30">
        <v>1</v>
      </c>
      <c r="E361" s="30">
        <v>1</v>
      </c>
      <c r="F361" s="30">
        <v>1.05</v>
      </c>
      <c r="G361" s="30">
        <v>1.35</v>
      </c>
      <c r="H361" s="145">
        <v>1.4175</v>
      </c>
      <c r="I361" s="145">
        <v>1.42</v>
      </c>
      <c r="J361" s="146"/>
      <c r="K361" s="146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spans="1:26" ht="19.95" customHeight="1">
      <c r="A362" s="29" t="s">
        <v>758</v>
      </c>
      <c r="B362" s="103"/>
      <c r="C362" s="34" t="s">
        <v>826</v>
      </c>
      <c r="D362" s="30">
        <v>2</v>
      </c>
      <c r="E362" s="30">
        <v>2.15</v>
      </c>
      <c r="F362" s="30">
        <v>0.2</v>
      </c>
      <c r="G362" s="30">
        <v>0.2</v>
      </c>
      <c r="H362" s="145">
        <v>8.5999999999999993E-2</v>
      </c>
      <c r="I362" s="145">
        <v>0.17</v>
      </c>
      <c r="J362" s="146"/>
      <c r="K362" s="146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spans="1:26" ht="19.95" customHeight="1">
      <c r="A363" s="29" t="s">
        <v>759</v>
      </c>
      <c r="B363" s="103"/>
      <c r="C363" s="34" t="s">
        <v>827</v>
      </c>
      <c r="D363" s="30">
        <v>1</v>
      </c>
      <c r="E363" s="30">
        <v>5.67</v>
      </c>
      <c r="F363" s="30">
        <v>0.2</v>
      </c>
      <c r="G363" s="30">
        <v>0.2</v>
      </c>
      <c r="H363" s="145">
        <v>0.2268</v>
      </c>
      <c r="I363" s="145">
        <v>0.23</v>
      </c>
      <c r="J363" s="146"/>
      <c r="K363" s="146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spans="1:26" ht="19.95" customHeight="1">
      <c r="A364" s="29" t="s">
        <v>760</v>
      </c>
      <c r="B364" s="103"/>
      <c r="C364" s="34" t="s">
        <v>828</v>
      </c>
      <c r="D364" s="30">
        <v>2</v>
      </c>
      <c r="E364" s="30">
        <v>3</v>
      </c>
      <c r="F364" s="30">
        <v>0.2</v>
      </c>
      <c r="G364" s="30">
        <v>0.2</v>
      </c>
      <c r="H364" s="145">
        <v>0.12</v>
      </c>
      <c r="I364" s="145">
        <v>0.24</v>
      </c>
      <c r="J364" s="146"/>
      <c r="K364" s="146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spans="1:26" ht="19.95" customHeight="1">
      <c r="A365" s="29" t="s">
        <v>761</v>
      </c>
      <c r="B365" s="103"/>
      <c r="C365" s="34" t="s">
        <v>829</v>
      </c>
      <c r="D365" s="30">
        <v>3</v>
      </c>
      <c r="E365" s="30">
        <v>3</v>
      </c>
      <c r="F365" s="30">
        <v>0.2</v>
      </c>
      <c r="G365" s="30">
        <v>0.2</v>
      </c>
      <c r="H365" s="145">
        <v>0.12</v>
      </c>
      <c r="I365" s="145">
        <v>0.36</v>
      </c>
      <c r="J365" s="146"/>
      <c r="K365" s="146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spans="1:26" ht="19.95" customHeight="1">
      <c r="A366" s="29" t="s">
        <v>762</v>
      </c>
      <c r="B366" s="103"/>
      <c r="C366" s="34" t="s">
        <v>830</v>
      </c>
      <c r="D366" s="30">
        <v>2</v>
      </c>
      <c r="E366" s="30">
        <v>3</v>
      </c>
      <c r="F366" s="30">
        <v>0.2</v>
      </c>
      <c r="G366" s="30">
        <v>0.2</v>
      </c>
      <c r="H366" s="145">
        <v>0.12</v>
      </c>
      <c r="I366" s="145">
        <v>0.24</v>
      </c>
      <c r="J366" s="146"/>
      <c r="K366" s="146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spans="1:26" ht="19.95" customHeight="1">
      <c r="A367" s="29" t="s">
        <v>763</v>
      </c>
      <c r="B367" s="103"/>
      <c r="C367" s="34" t="s">
        <v>831</v>
      </c>
      <c r="D367" s="30">
        <v>2</v>
      </c>
      <c r="E367" s="30">
        <v>3</v>
      </c>
      <c r="F367" s="30">
        <v>0.2</v>
      </c>
      <c r="G367" s="30">
        <v>0.2</v>
      </c>
      <c r="H367" s="145">
        <v>0.12</v>
      </c>
      <c r="I367" s="145">
        <v>0.24</v>
      </c>
      <c r="J367" s="146"/>
      <c r="K367" s="146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spans="1:26" ht="19.95" customHeight="1">
      <c r="A368" s="29" t="s">
        <v>764</v>
      </c>
      <c r="B368" s="103"/>
      <c r="C368" s="34" t="s">
        <v>832</v>
      </c>
      <c r="D368" s="30">
        <v>2</v>
      </c>
      <c r="E368" s="30">
        <v>3</v>
      </c>
      <c r="F368" s="30">
        <v>0.2</v>
      </c>
      <c r="G368" s="30">
        <v>0.2</v>
      </c>
      <c r="H368" s="145">
        <v>0.12</v>
      </c>
      <c r="I368" s="145">
        <v>0.24</v>
      </c>
      <c r="J368" s="146"/>
      <c r="K368" s="146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spans="1:26" ht="19.95" customHeight="1">
      <c r="A369" s="29" t="s">
        <v>765</v>
      </c>
      <c r="B369" s="103"/>
      <c r="C369" s="34" t="s">
        <v>833</v>
      </c>
      <c r="D369" s="30">
        <v>1</v>
      </c>
      <c r="E369" s="30">
        <v>5.78</v>
      </c>
      <c r="F369" s="30">
        <v>0.2</v>
      </c>
      <c r="G369" s="30">
        <v>0.2</v>
      </c>
      <c r="H369" s="145">
        <v>0.23119999999999999</v>
      </c>
      <c r="I369" s="145">
        <v>0.23</v>
      </c>
      <c r="J369" s="146"/>
      <c r="K369" s="146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spans="1:26" ht="19.95" customHeight="1">
      <c r="A370" s="29" t="s">
        <v>766</v>
      </c>
      <c r="B370" s="103"/>
      <c r="C370" s="34" t="s">
        <v>834</v>
      </c>
      <c r="D370" s="30">
        <v>1</v>
      </c>
      <c r="E370" s="30">
        <v>5.78</v>
      </c>
      <c r="F370" s="30">
        <v>0.2</v>
      </c>
      <c r="G370" s="30">
        <v>0.2</v>
      </c>
      <c r="H370" s="145">
        <v>0.23119999999999999</v>
      </c>
      <c r="I370" s="145">
        <v>0.23</v>
      </c>
      <c r="J370" s="146"/>
      <c r="K370" s="146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spans="1:26" ht="19.95" customHeight="1">
      <c r="A371" s="29" t="s">
        <v>767</v>
      </c>
      <c r="B371" s="103"/>
      <c r="C371" s="34" t="s">
        <v>835</v>
      </c>
      <c r="D371" s="30">
        <v>2</v>
      </c>
      <c r="E371" s="30">
        <v>3</v>
      </c>
      <c r="F371" s="30">
        <v>0.2</v>
      </c>
      <c r="G371" s="30">
        <v>0.2</v>
      </c>
      <c r="H371" s="145">
        <v>0.12</v>
      </c>
      <c r="I371" s="145">
        <v>0.24</v>
      </c>
      <c r="J371" s="146"/>
      <c r="K371" s="146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spans="1:26" ht="19.8" customHeight="1">
      <c r="A372" s="29" t="s">
        <v>768</v>
      </c>
      <c r="B372" s="103"/>
      <c r="C372" s="34" t="s">
        <v>836</v>
      </c>
      <c r="D372" s="30">
        <v>2</v>
      </c>
      <c r="E372" s="30">
        <v>3</v>
      </c>
      <c r="F372" s="30">
        <v>0.2</v>
      </c>
      <c r="G372" s="30">
        <v>0.2</v>
      </c>
      <c r="H372" s="145">
        <v>0.12</v>
      </c>
      <c r="I372" s="145">
        <v>0.24</v>
      </c>
      <c r="J372" s="146"/>
      <c r="K372" s="146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spans="1:26" ht="19.95" customHeight="1">
      <c r="A373" s="29" t="s">
        <v>769</v>
      </c>
      <c r="B373" s="103"/>
      <c r="C373" s="34" t="s">
        <v>837</v>
      </c>
      <c r="D373" s="30">
        <v>2</v>
      </c>
      <c r="E373" s="30">
        <v>3</v>
      </c>
      <c r="F373" s="30">
        <v>0.2</v>
      </c>
      <c r="G373" s="30">
        <v>0.2</v>
      </c>
      <c r="H373" s="145">
        <v>0.12</v>
      </c>
      <c r="I373" s="145">
        <v>0.24</v>
      </c>
      <c r="J373" s="146"/>
      <c r="K373" s="146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spans="1:26" ht="49.95" customHeight="1">
      <c r="A374" s="29" t="s">
        <v>336</v>
      </c>
      <c r="B374" s="30">
        <v>104737</v>
      </c>
      <c r="C374" s="150" t="s">
        <v>411</v>
      </c>
      <c r="D374" s="30"/>
      <c r="E374" s="30"/>
      <c r="F374" s="30"/>
      <c r="G374" s="30"/>
      <c r="H374" s="30"/>
      <c r="I374" s="30"/>
      <c r="J374" s="151">
        <v>22.43</v>
      </c>
      <c r="K374" s="146" t="s">
        <v>623</v>
      </c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spans="1:26" ht="19.95" customHeight="1">
      <c r="A375" s="29" t="s">
        <v>770</v>
      </c>
      <c r="B375" s="103"/>
      <c r="C375" s="34" t="s">
        <v>635</v>
      </c>
      <c r="D375" s="30">
        <v>1</v>
      </c>
      <c r="E375" s="30">
        <v>22.43</v>
      </c>
      <c r="F375" s="30"/>
      <c r="G375" s="30"/>
      <c r="H375" s="145">
        <v>22.43</v>
      </c>
      <c r="I375" s="145">
        <v>22.43</v>
      </c>
      <c r="J375" s="146"/>
      <c r="K375" s="146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spans="1:26" ht="25.05" customHeight="1">
      <c r="A376" s="87" t="s">
        <v>333</v>
      </c>
      <c r="B376" s="208" t="s">
        <v>40</v>
      </c>
      <c r="C376" s="208"/>
      <c r="D376" s="141"/>
      <c r="E376" s="141"/>
      <c r="F376" s="141"/>
      <c r="G376" s="141"/>
      <c r="H376" s="144"/>
      <c r="I376" s="144"/>
      <c r="J376" s="144"/>
      <c r="K376" s="144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spans="1:26" ht="49.95" customHeight="1">
      <c r="A377" s="29" t="s">
        <v>337</v>
      </c>
      <c r="B377" s="33">
        <v>96619</v>
      </c>
      <c r="C377" s="150" t="s">
        <v>412</v>
      </c>
      <c r="D377" s="30"/>
      <c r="E377" s="30"/>
      <c r="F377" s="30"/>
      <c r="G377" s="30"/>
      <c r="H377" s="30"/>
      <c r="I377" s="30"/>
      <c r="J377" s="151">
        <v>20.49</v>
      </c>
      <c r="K377" s="146" t="s">
        <v>610</v>
      </c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spans="1:26" ht="19.95" customHeight="1">
      <c r="A378" s="29" t="s">
        <v>337</v>
      </c>
      <c r="B378" s="103"/>
      <c r="C378" s="34" t="s">
        <v>822</v>
      </c>
      <c r="D378" s="30">
        <v>2</v>
      </c>
      <c r="E378" s="30">
        <v>0.65</v>
      </c>
      <c r="F378" s="30">
        <v>0.7</v>
      </c>
      <c r="G378" s="30"/>
      <c r="H378" s="145">
        <v>0.45500000000000002</v>
      </c>
      <c r="I378" s="145">
        <v>0.91</v>
      </c>
      <c r="J378" s="146"/>
      <c r="K378" s="146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spans="1:26" ht="19.95" customHeight="1">
      <c r="A379" s="29" t="s">
        <v>766</v>
      </c>
      <c r="B379" s="103"/>
      <c r="C379" s="34" t="s">
        <v>823</v>
      </c>
      <c r="D379" s="30">
        <v>10</v>
      </c>
      <c r="E379" s="30">
        <v>0.8</v>
      </c>
      <c r="F379" s="30">
        <v>0.85</v>
      </c>
      <c r="G379" s="30"/>
      <c r="H379" s="145">
        <v>0.68</v>
      </c>
      <c r="I379" s="145">
        <v>6.8</v>
      </c>
      <c r="J379" s="146"/>
      <c r="K379" s="146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spans="1:26" ht="19.95" customHeight="1">
      <c r="A380" s="29" t="s">
        <v>767</v>
      </c>
      <c r="B380" s="103"/>
      <c r="C380" s="34" t="s">
        <v>824</v>
      </c>
      <c r="D380" s="30">
        <v>13</v>
      </c>
      <c r="E380" s="30">
        <v>0.95</v>
      </c>
      <c r="F380" s="30">
        <v>0.95</v>
      </c>
      <c r="G380" s="30"/>
      <c r="H380" s="145">
        <v>0.90249999999999997</v>
      </c>
      <c r="I380" s="145">
        <v>11.73</v>
      </c>
      <c r="J380" s="146"/>
      <c r="K380" s="146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spans="1:26" ht="19.8" customHeight="1">
      <c r="A381" s="29" t="s">
        <v>768</v>
      </c>
      <c r="B381" s="103"/>
      <c r="C381" s="34" t="s">
        <v>825</v>
      </c>
      <c r="D381" s="30">
        <v>1</v>
      </c>
      <c r="E381" s="30">
        <v>1</v>
      </c>
      <c r="F381" s="30">
        <v>1.05</v>
      </c>
      <c r="G381" s="30"/>
      <c r="H381" s="145">
        <v>1.05</v>
      </c>
      <c r="I381" s="145">
        <v>1.05</v>
      </c>
      <c r="J381" s="146"/>
      <c r="K381" s="146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spans="1:26" ht="49.95" customHeight="1">
      <c r="A382" s="29" t="s">
        <v>338</v>
      </c>
      <c r="B382" s="30">
        <v>101616</v>
      </c>
      <c r="C382" s="150" t="s">
        <v>413</v>
      </c>
      <c r="D382" s="30"/>
      <c r="E382" s="30"/>
      <c r="F382" s="30"/>
      <c r="G382" s="30"/>
      <c r="H382" s="30"/>
      <c r="I382" s="30"/>
      <c r="J382" s="167">
        <v>35</v>
      </c>
      <c r="K382" s="146" t="s">
        <v>610</v>
      </c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spans="1:26" ht="19.95" customHeight="1">
      <c r="A383" s="29" t="s">
        <v>771</v>
      </c>
      <c r="B383" s="103"/>
      <c r="C383" s="34" t="s">
        <v>822</v>
      </c>
      <c r="D383" s="30">
        <v>2</v>
      </c>
      <c r="E383" s="30">
        <v>0.65</v>
      </c>
      <c r="F383" s="30">
        <v>0.7</v>
      </c>
      <c r="G383" s="30"/>
      <c r="H383" s="145">
        <v>0.45500000000000002</v>
      </c>
      <c r="I383" s="145">
        <v>0.91</v>
      </c>
      <c r="J383" s="146"/>
      <c r="K383" s="146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spans="1:26" ht="19.95" customHeight="1">
      <c r="A384" s="29" t="s">
        <v>772</v>
      </c>
      <c r="B384" s="103"/>
      <c r="C384" s="34" t="s">
        <v>823</v>
      </c>
      <c r="D384" s="30">
        <v>10</v>
      </c>
      <c r="E384" s="30">
        <v>0.8</v>
      </c>
      <c r="F384" s="30">
        <v>0.85</v>
      </c>
      <c r="G384" s="30"/>
      <c r="H384" s="145">
        <v>0.68</v>
      </c>
      <c r="I384" s="145">
        <v>6.8</v>
      </c>
      <c r="J384" s="146"/>
      <c r="K384" s="146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spans="1:26" ht="19.95" customHeight="1">
      <c r="A385" s="29" t="s">
        <v>773</v>
      </c>
      <c r="B385" s="103"/>
      <c r="C385" s="34" t="s">
        <v>824</v>
      </c>
      <c r="D385" s="30">
        <v>13</v>
      </c>
      <c r="E385" s="30">
        <v>0.95</v>
      </c>
      <c r="F385" s="30">
        <v>0.95</v>
      </c>
      <c r="G385" s="30"/>
      <c r="H385" s="145">
        <v>0.90249999999999997</v>
      </c>
      <c r="I385" s="145">
        <v>11.73</v>
      </c>
      <c r="J385" s="146"/>
      <c r="K385" s="146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spans="1:26" ht="19.95" customHeight="1">
      <c r="A386" s="29" t="s">
        <v>774</v>
      </c>
      <c r="B386" s="103"/>
      <c r="C386" s="34" t="s">
        <v>825</v>
      </c>
      <c r="D386" s="30">
        <v>1</v>
      </c>
      <c r="E386" s="30">
        <v>1</v>
      </c>
      <c r="F386" s="30">
        <v>1.05</v>
      </c>
      <c r="G386" s="30"/>
      <c r="H386" s="145">
        <v>1.05</v>
      </c>
      <c r="I386" s="145">
        <v>1.05</v>
      </c>
      <c r="J386" s="146"/>
      <c r="K386" s="146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spans="1:26" ht="19.95" customHeight="1">
      <c r="A387" s="29" t="s">
        <v>775</v>
      </c>
      <c r="B387" s="103"/>
      <c r="C387" s="34" t="s">
        <v>826</v>
      </c>
      <c r="D387" s="30">
        <v>2</v>
      </c>
      <c r="E387" s="30">
        <v>2.15</v>
      </c>
      <c r="F387" s="30">
        <v>0.2</v>
      </c>
      <c r="G387" s="30"/>
      <c r="H387" s="145">
        <v>0.43</v>
      </c>
      <c r="I387" s="145">
        <v>0.86</v>
      </c>
      <c r="J387" s="146"/>
      <c r="K387" s="146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spans="1:26" ht="19.95" customHeight="1">
      <c r="A388" s="29" t="s">
        <v>776</v>
      </c>
      <c r="B388" s="103"/>
      <c r="C388" s="34" t="s">
        <v>827</v>
      </c>
      <c r="D388" s="30">
        <v>1</v>
      </c>
      <c r="E388" s="30">
        <v>5.67</v>
      </c>
      <c r="F388" s="30">
        <v>0.2</v>
      </c>
      <c r="G388" s="30"/>
      <c r="H388" s="145">
        <v>1.1339999999999999</v>
      </c>
      <c r="I388" s="145">
        <v>1.1299999999999999</v>
      </c>
      <c r="J388" s="146"/>
      <c r="K388" s="146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spans="1:26" ht="19.95" customHeight="1">
      <c r="A389" s="29" t="s">
        <v>777</v>
      </c>
      <c r="B389" s="103"/>
      <c r="C389" s="34" t="s">
        <v>828</v>
      </c>
      <c r="D389" s="30">
        <v>2</v>
      </c>
      <c r="E389" s="30">
        <v>3</v>
      </c>
      <c r="F389" s="30">
        <v>0.2</v>
      </c>
      <c r="G389" s="30"/>
      <c r="H389" s="145">
        <v>0.6</v>
      </c>
      <c r="I389" s="145">
        <v>1.2</v>
      </c>
      <c r="J389" s="146"/>
      <c r="K389" s="146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spans="1:26" ht="19.95" customHeight="1">
      <c r="A390" s="29" t="s">
        <v>778</v>
      </c>
      <c r="B390" s="103"/>
      <c r="C390" s="34" t="s">
        <v>829</v>
      </c>
      <c r="D390" s="30">
        <v>3</v>
      </c>
      <c r="E390" s="30">
        <v>3</v>
      </c>
      <c r="F390" s="30">
        <v>0.2</v>
      </c>
      <c r="G390" s="30"/>
      <c r="H390" s="145">
        <v>0.6</v>
      </c>
      <c r="I390" s="145">
        <v>1.8</v>
      </c>
      <c r="J390" s="146"/>
      <c r="K390" s="146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spans="1:26" ht="19.95" customHeight="1">
      <c r="A391" s="29" t="s">
        <v>779</v>
      </c>
      <c r="B391" s="103"/>
      <c r="C391" s="34" t="s">
        <v>830</v>
      </c>
      <c r="D391" s="30">
        <v>2</v>
      </c>
      <c r="E391" s="30">
        <v>3</v>
      </c>
      <c r="F391" s="30">
        <v>0.2</v>
      </c>
      <c r="G391" s="30"/>
      <c r="H391" s="145">
        <v>0.6</v>
      </c>
      <c r="I391" s="145">
        <v>1.2</v>
      </c>
      <c r="J391" s="146"/>
      <c r="K391" s="146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spans="1:26" ht="19.95" customHeight="1">
      <c r="A392" s="29" t="s">
        <v>780</v>
      </c>
      <c r="B392" s="103"/>
      <c r="C392" s="34" t="s">
        <v>831</v>
      </c>
      <c r="D392" s="30">
        <v>2</v>
      </c>
      <c r="E392" s="30">
        <v>3</v>
      </c>
      <c r="F392" s="30">
        <v>0.2</v>
      </c>
      <c r="G392" s="30"/>
      <c r="H392" s="145">
        <v>0.6</v>
      </c>
      <c r="I392" s="145">
        <v>1.2</v>
      </c>
      <c r="J392" s="146"/>
      <c r="K392" s="146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spans="1:26" ht="19.95" customHeight="1">
      <c r="A393" s="29" t="s">
        <v>781</v>
      </c>
      <c r="B393" s="103"/>
      <c r="C393" s="34" t="s">
        <v>832</v>
      </c>
      <c r="D393" s="30">
        <v>2</v>
      </c>
      <c r="E393" s="30">
        <v>3</v>
      </c>
      <c r="F393" s="30">
        <v>0.2</v>
      </c>
      <c r="G393" s="30"/>
      <c r="H393" s="145">
        <v>0.6</v>
      </c>
      <c r="I393" s="145">
        <v>1.2</v>
      </c>
      <c r="J393" s="146"/>
      <c r="K393" s="146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spans="1:26" ht="19.95" customHeight="1">
      <c r="A394" s="29" t="s">
        <v>782</v>
      </c>
      <c r="B394" s="103"/>
      <c r="C394" s="34" t="s">
        <v>833</v>
      </c>
      <c r="D394" s="30">
        <v>1</v>
      </c>
      <c r="E394" s="30">
        <v>5.78</v>
      </c>
      <c r="F394" s="30">
        <v>0.2</v>
      </c>
      <c r="G394" s="30"/>
      <c r="H394" s="145">
        <v>1.1559999999999999</v>
      </c>
      <c r="I394" s="145">
        <v>1.1599999999999999</v>
      </c>
      <c r="J394" s="146"/>
      <c r="K394" s="146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spans="1:26" ht="19.95" customHeight="1">
      <c r="A395" s="29" t="s">
        <v>783</v>
      </c>
      <c r="B395" s="103"/>
      <c r="C395" s="34" t="s">
        <v>834</v>
      </c>
      <c r="D395" s="30">
        <v>1</v>
      </c>
      <c r="E395" s="30">
        <v>5.78</v>
      </c>
      <c r="F395" s="30">
        <v>0.2</v>
      </c>
      <c r="G395" s="30"/>
      <c r="H395" s="145">
        <v>1.1559999999999999</v>
      </c>
      <c r="I395" s="145">
        <v>1.1599999999999999</v>
      </c>
      <c r="J395" s="146"/>
      <c r="K395" s="146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spans="1:26" ht="19.95" customHeight="1">
      <c r="A396" s="29" t="s">
        <v>784</v>
      </c>
      <c r="B396" s="103"/>
      <c r="C396" s="34" t="s">
        <v>835</v>
      </c>
      <c r="D396" s="30">
        <v>2</v>
      </c>
      <c r="E396" s="30">
        <v>3</v>
      </c>
      <c r="F396" s="30">
        <v>0.2</v>
      </c>
      <c r="G396" s="30"/>
      <c r="H396" s="145">
        <v>0.6</v>
      </c>
      <c r="I396" s="145">
        <v>1.2</v>
      </c>
      <c r="J396" s="146"/>
      <c r="K396" s="146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spans="1:26" ht="19.8" customHeight="1">
      <c r="A397" s="29" t="s">
        <v>785</v>
      </c>
      <c r="B397" s="103"/>
      <c r="C397" s="34" t="s">
        <v>836</v>
      </c>
      <c r="D397" s="30">
        <v>2</v>
      </c>
      <c r="E397" s="30">
        <v>3</v>
      </c>
      <c r="F397" s="30">
        <v>0.2</v>
      </c>
      <c r="G397" s="30"/>
      <c r="H397" s="145">
        <v>0.6</v>
      </c>
      <c r="I397" s="145">
        <v>1.2</v>
      </c>
      <c r="J397" s="146"/>
      <c r="K397" s="146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spans="1:26" ht="19.95" customHeight="1">
      <c r="A398" s="29" t="s">
        <v>786</v>
      </c>
      <c r="B398" s="103"/>
      <c r="C398" s="34" t="s">
        <v>837</v>
      </c>
      <c r="D398" s="30">
        <v>2</v>
      </c>
      <c r="E398" s="30">
        <v>3</v>
      </c>
      <c r="F398" s="30">
        <v>0.2</v>
      </c>
      <c r="G398" s="30"/>
      <c r="H398" s="145">
        <v>0.6</v>
      </c>
      <c r="I398" s="145">
        <v>1.2</v>
      </c>
      <c r="J398" s="146"/>
      <c r="K398" s="146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spans="1:26" ht="49.95" customHeight="1">
      <c r="A399" s="29" t="s">
        <v>339</v>
      </c>
      <c r="B399" s="33">
        <v>94971</v>
      </c>
      <c r="C399" s="150" t="s">
        <v>414</v>
      </c>
      <c r="D399" s="30"/>
      <c r="E399" s="30"/>
      <c r="F399" s="30"/>
      <c r="G399" s="30"/>
      <c r="H399" s="30"/>
      <c r="I399" s="30"/>
      <c r="J399" s="151">
        <v>8.14</v>
      </c>
      <c r="K399" s="146" t="s">
        <v>623</v>
      </c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spans="1:26" ht="19.8" customHeight="1">
      <c r="A400" s="29" t="s">
        <v>787</v>
      </c>
      <c r="B400" s="103"/>
      <c r="C400" s="34" t="s">
        <v>685</v>
      </c>
      <c r="D400" s="30">
        <v>1</v>
      </c>
      <c r="E400" s="30">
        <v>5.1100000000000003</v>
      </c>
      <c r="F400" s="30"/>
      <c r="G400" s="30"/>
      <c r="H400" s="30">
        <v>5.1100000000000003</v>
      </c>
      <c r="I400" s="30">
        <v>5.1100000000000003</v>
      </c>
      <c r="J400" s="146"/>
      <c r="K400" s="146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spans="1:26" ht="19.95" customHeight="1">
      <c r="A401" s="29" t="s">
        <v>788</v>
      </c>
      <c r="B401" s="103"/>
      <c r="C401" s="34" t="s">
        <v>686</v>
      </c>
      <c r="D401" s="30">
        <v>1</v>
      </c>
      <c r="E401" s="30">
        <v>3.03</v>
      </c>
      <c r="F401" s="30"/>
      <c r="G401" s="30"/>
      <c r="H401" s="30">
        <v>3.03</v>
      </c>
      <c r="I401" s="30">
        <v>3.03</v>
      </c>
      <c r="J401" s="146"/>
      <c r="K401" s="146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spans="1:26" ht="49.95" customHeight="1">
      <c r="A402" s="29" t="s">
        <v>340</v>
      </c>
      <c r="B402" s="33">
        <v>103670</v>
      </c>
      <c r="C402" s="150" t="s">
        <v>415</v>
      </c>
      <c r="D402" s="30"/>
      <c r="E402" s="30"/>
      <c r="F402" s="30"/>
      <c r="G402" s="30"/>
      <c r="H402" s="30"/>
      <c r="I402" s="30"/>
      <c r="J402" s="151">
        <v>8.14</v>
      </c>
      <c r="K402" s="146" t="s">
        <v>623</v>
      </c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spans="1:26" ht="19.95" customHeight="1">
      <c r="A403" s="29" t="s">
        <v>789</v>
      </c>
      <c r="B403" s="103"/>
      <c r="C403" s="34"/>
      <c r="D403" s="30">
        <v>1</v>
      </c>
      <c r="E403" s="30">
        <v>8.14</v>
      </c>
      <c r="F403" s="30"/>
      <c r="G403" s="30"/>
      <c r="H403" s="30">
        <v>8.14</v>
      </c>
      <c r="I403" s="30">
        <v>8.14</v>
      </c>
      <c r="J403" s="146"/>
      <c r="K403" s="146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spans="1:26" ht="49.95" customHeight="1">
      <c r="A404" s="29" t="s">
        <v>341</v>
      </c>
      <c r="B404" s="33">
        <v>104927</v>
      </c>
      <c r="C404" s="150" t="s">
        <v>416</v>
      </c>
      <c r="D404" s="30"/>
      <c r="E404" s="30"/>
      <c r="F404" s="30"/>
      <c r="G404" s="30"/>
      <c r="H404" s="30"/>
      <c r="I404" s="30"/>
      <c r="J404" s="151">
        <v>22.77</v>
      </c>
      <c r="K404" s="146" t="s">
        <v>610</v>
      </c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spans="1:26" ht="19.95" customHeight="1">
      <c r="A405" s="29" t="s">
        <v>790</v>
      </c>
      <c r="B405" s="103"/>
      <c r="C405" s="34" t="s">
        <v>685</v>
      </c>
      <c r="D405" s="30">
        <v>1</v>
      </c>
      <c r="E405" s="145">
        <v>22.77</v>
      </c>
      <c r="F405" s="30"/>
      <c r="G405" s="30"/>
      <c r="H405" s="145">
        <v>22.77</v>
      </c>
      <c r="I405" s="145">
        <v>22.77</v>
      </c>
      <c r="J405" s="146"/>
      <c r="K405" s="146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spans="1:26" ht="49.95" customHeight="1">
      <c r="A406" s="29" t="s">
        <v>342</v>
      </c>
      <c r="B406" s="33">
        <v>96542</v>
      </c>
      <c r="C406" s="150" t="s">
        <v>417</v>
      </c>
      <c r="D406" s="30"/>
      <c r="E406" s="30"/>
      <c r="F406" s="30"/>
      <c r="G406" s="30"/>
      <c r="H406" s="30"/>
      <c r="I406" s="30"/>
      <c r="J406" s="151">
        <v>45.05</v>
      </c>
      <c r="K406" s="146" t="s">
        <v>610</v>
      </c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spans="1:26" ht="19.95" customHeight="1">
      <c r="A407" s="29" t="s">
        <v>791</v>
      </c>
      <c r="B407" s="103"/>
      <c r="C407" s="34" t="s">
        <v>689</v>
      </c>
      <c r="D407" s="30">
        <v>1</v>
      </c>
      <c r="E407" s="30">
        <v>45.05</v>
      </c>
      <c r="F407" s="30"/>
      <c r="G407" s="30"/>
      <c r="H407" s="30">
        <v>45.05</v>
      </c>
      <c r="I407" s="30">
        <v>45.05</v>
      </c>
      <c r="J407" s="146"/>
      <c r="K407" s="146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spans="1:26" ht="49.95" customHeight="1">
      <c r="A408" s="29" t="s">
        <v>343</v>
      </c>
      <c r="B408" s="33">
        <v>104917</v>
      </c>
      <c r="C408" s="150" t="s">
        <v>418</v>
      </c>
      <c r="D408" s="30"/>
      <c r="E408" s="30"/>
      <c r="F408" s="30"/>
      <c r="G408" s="30"/>
      <c r="H408" s="30"/>
      <c r="I408" s="30"/>
      <c r="J408" s="151">
        <v>138.69999999999999</v>
      </c>
      <c r="K408" s="146" t="s">
        <v>42</v>
      </c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spans="1:26" ht="19.95" customHeight="1">
      <c r="A409" s="29" t="s">
        <v>792</v>
      </c>
      <c r="B409" s="103"/>
      <c r="C409" s="34" t="s">
        <v>685</v>
      </c>
      <c r="D409" s="30">
        <v>1</v>
      </c>
      <c r="E409" s="30">
        <v>138.69999999999999</v>
      </c>
      <c r="F409" s="30"/>
      <c r="G409" s="30"/>
      <c r="H409" s="145">
        <v>138.69999999999999</v>
      </c>
      <c r="I409" s="145">
        <v>138.69999999999999</v>
      </c>
      <c r="J409" s="146"/>
      <c r="K409" s="146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spans="1:26" ht="49.95" customHeight="1">
      <c r="A410" s="29" t="s">
        <v>344</v>
      </c>
      <c r="B410" s="33">
        <v>104916</v>
      </c>
      <c r="C410" s="150" t="s">
        <v>419</v>
      </c>
      <c r="D410" s="30"/>
      <c r="E410" s="30"/>
      <c r="F410" s="30"/>
      <c r="G410" s="30"/>
      <c r="H410" s="30"/>
      <c r="I410" s="30"/>
      <c r="J410" s="151">
        <v>89</v>
      </c>
      <c r="K410" s="146" t="s">
        <v>42</v>
      </c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spans="1:26" ht="19.95" customHeight="1">
      <c r="A411" s="29" t="s">
        <v>793</v>
      </c>
      <c r="B411" s="103"/>
      <c r="C411" s="34" t="s">
        <v>689</v>
      </c>
      <c r="D411" s="30">
        <v>1</v>
      </c>
      <c r="E411" s="30">
        <v>89</v>
      </c>
      <c r="F411" s="30"/>
      <c r="G411" s="30"/>
      <c r="H411" s="145">
        <v>89</v>
      </c>
      <c r="I411" s="145">
        <v>89</v>
      </c>
      <c r="J411" s="146"/>
      <c r="K411" s="146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spans="1:26" ht="49.95" customHeight="1">
      <c r="A412" s="29" t="s">
        <v>345</v>
      </c>
      <c r="B412" s="33">
        <v>104918</v>
      </c>
      <c r="C412" s="150" t="s">
        <v>420</v>
      </c>
      <c r="D412" s="30"/>
      <c r="E412" s="30"/>
      <c r="F412" s="30"/>
      <c r="G412" s="30"/>
      <c r="H412" s="30"/>
      <c r="I412" s="30"/>
      <c r="J412" s="151">
        <v>122.8</v>
      </c>
      <c r="K412" s="146" t="s">
        <v>42</v>
      </c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spans="1:26" ht="19.95" customHeight="1">
      <c r="A413" s="29" t="s">
        <v>794</v>
      </c>
      <c r="B413" s="103"/>
      <c r="C413" s="34" t="s">
        <v>685</v>
      </c>
      <c r="D413" s="30">
        <v>1</v>
      </c>
      <c r="E413" s="30">
        <v>4.2</v>
      </c>
      <c r="F413" s="30"/>
      <c r="G413" s="30"/>
      <c r="H413" s="30">
        <v>4.2</v>
      </c>
      <c r="I413" s="30">
        <v>4.2</v>
      </c>
      <c r="J413" s="146"/>
      <c r="K413" s="146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spans="1:26" ht="19.95" customHeight="1">
      <c r="A414" s="29" t="s">
        <v>838</v>
      </c>
      <c r="B414" s="103"/>
      <c r="C414" s="34" t="s">
        <v>689</v>
      </c>
      <c r="D414" s="30">
        <v>1</v>
      </c>
      <c r="E414" s="30">
        <v>118.6</v>
      </c>
      <c r="F414" s="30"/>
      <c r="G414" s="30"/>
      <c r="H414" s="30">
        <v>118.6</v>
      </c>
      <c r="I414" s="30">
        <v>118.6</v>
      </c>
      <c r="J414" s="146"/>
      <c r="K414" s="146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spans="1:26" ht="49.95" customHeight="1">
      <c r="A415" s="29" t="s">
        <v>346</v>
      </c>
      <c r="B415" s="30">
        <v>98557</v>
      </c>
      <c r="C415" s="150" t="s">
        <v>421</v>
      </c>
      <c r="D415" s="30"/>
      <c r="E415" s="30"/>
      <c r="F415" s="133" t="s">
        <v>692</v>
      </c>
      <c r="G415" s="30"/>
      <c r="H415" s="30"/>
      <c r="I415" s="30"/>
      <c r="J415" s="151">
        <v>65.27</v>
      </c>
      <c r="K415" s="146" t="s">
        <v>610</v>
      </c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spans="1:26" ht="19.95" customHeight="1">
      <c r="A416" s="29" t="s">
        <v>795</v>
      </c>
      <c r="B416" s="103"/>
      <c r="C416" s="34" t="s">
        <v>826</v>
      </c>
      <c r="D416" s="30">
        <v>2</v>
      </c>
      <c r="E416" s="30">
        <v>2.15</v>
      </c>
      <c r="F416" s="30">
        <v>0.9</v>
      </c>
      <c r="G416" s="30"/>
      <c r="H416" s="145">
        <v>1.9350000000000001</v>
      </c>
      <c r="I416" s="145">
        <v>3.87</v>
      </c>
      <c r="J416" s="146"/>
      <c r="K416" s="146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spans="1:26" ht="19.95" customHeight="1">
      <c r="A417" s="29" t="s">
        <v>796</v>
      </c>
      <c r="B417" s="103"/>
      <c r="C417" s="34" t="s">
        <v>827</v>
      </c>
      <c r="D417" s="30">
        <v>1</v>
      </c>
      <c r="E417" s="30">
        <v>5.67</v>
      </c>
      <c r="F417" s="30">
        <v>0.9</v>
      </c>
      <c r="G417" s="30"/>
      <c r="H417" s="145">
        <v>5.1029999999999998</v>
      </c>
      <c r="I417" s="145">
        <v>5.0999999999999996</v>
      </c>
      <c r="J417" s="146"/>
      <c r="K417" s="146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spans="1:26" ht="19.95" customHeight="1">
      <c r="A418" s="29" t="s">
        <v>797</v>
      </c>
      <c r="B418" s="103"/>
      <c r="C418" s="34" t="s">
        <v>828</v>
      </c>
      <c r="D418" s="30">
        <v>2</v>
      </c>
      <c r="E418" s="30">
        <v>3</v>
      </c>
      <c r="F418" s="30">
        <v>0.9</v>
      </c>
      <c r="G418" s="30"/>
      <c r="H418" s="145">
        <v>2.7</v>
      </c>
      <c r="I418" s="145">
        <v>5.4</v>
      </c>
      <c r="J418" s="146"/>
      <c r="K418" s="146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spans="1:26" ht="19.95" customHeight="1">
      <c r="A419" s="29" t="s">
        <v>798</v>
      </c>
      <c r="B419" s="103"/>
      <c r="C419" s="34" t="s">
        <v>829</v>
      </c>
      <c r="D419" s="30">
        <v>3</v>
      </c>
      <c r="E419" s="30">
        <v>3</v>
      </c>
      <c r="F419" s="30">
        <v>0.9</v>
      </c>
      <c r="G419" s="30"/>
      <c r="H419" s="145">
        <v>2.7</v>
      </c>
      <c r="I419" s="145">
        <v>8.1</v>
      </c>
      <c r="J419" s="146"/>
      <c r="K419" s="146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spans="1:26" ht="19.95" customHeight="1">
      <c r="A420" s="29" t="s">
        <v>799</v>
      </c>
      <c r="B420" s="103"/>
      <c r="C420" s="34" t="s">
        <v>830</v>
      </c>
      <c r="D420" s="30">
        <v>2</v>
      </c>
      <c r="E420" s="30">
        <v>3</v>
      </c>
      <c r="F420" s="30">
        <v>0.9</v>
      </c>
      <c r="G420" s="30"/>
      <c r="H420" s="145">
        <v>2.7</v>
      </c>
      <c r="I420" s="145">
        <v>5.4</v>
      </c>
      <c r="J420" s="146"/>
      <c r="K420" s="146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spans="1:26" ht="19.95" customHeight="1">
      <c r="A421" s="29" t="s">
        <v>800</v>
      </c>
      <c r="B421" s="103"/>
      <c r="C421" s="34" t="s">
        <v>831</v>
      </c>
      <c r="D421" s="30">
        <v>2</v>
      </c>
      <c r="E421" s="30">
        <v>3</v>
      </c>
      <c r="F421" s="30">
        <v>0.9</v>
      </c>
      <c r="G421" s="30"/>
      <c r="H421" s="145">
        <v>2.7</v>
      </c>
      <c r="I421" s="145">
        <v>5.4</v>
      </c>
      <c r="J421" s="146"/>
      <c r="K421" s="146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spans="1:26" ht="19.95" customHeight="1">
      <c r="A422" s="29" t="s">
        <v>801</v>
      </c>
      <c r="B422" s="103"/>
      <c r="C422" s="34" t="s">
        <v>832</v>
      </c>
      <c r="D422" s="30">
        <v>2</v>
      </c>
      <c r="E422" s="30">
        <v>3</v>
      </c>
      <c r="F422" s="30">
        <v>0.9</v>
      </c>
      <c r="G422" s="30"/>
      <c r="H422" s="145">
        <v>2.7</v>
      </c>
      <c r="I422" s="145">
        <v>5.4</v>
      </c>
      <c r="J422" s="146"/>
      <c r="K422" s="146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spans="1:26" ht="19.95" customHeight="1">
      <c r="A423" s="29" t="s">
        <v>802</v>
      </c>
      <c r="B423" s="103"/>
      <c r="C423" s="34" t="s">
        <v>833</v>
      </c>
      <c r="D423" s="30">
        <v>1</v>
      </c>
      <c r="E423" s="30">
        <v>5.78</v>
      </c>
      <c r="F423" s="30">
        <v>0.9</v>
      </c>
      <c r="G423" s="30"/>
      <c r="H423" s="145">
        <v>5.202</v>
      </c>
      <c r="I423" s="145">
        <v>5.2</v>
      </c>
      <c r="J423" s="146"/>
      <c r="K423" s="146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spans="1:26" ht="19.95" customHeight="1">
      <c r="A424" s="29" t="s">
        <v>803</v>
      </c>
      <c r="B424" s="103"/>
      <c r="C424" s="34" t="s">
        <v>834</v>
      </c>
      <c r="D424" s="30">
        <v>1</v>
      </c>
      <c r="E424" s="30">
        <v>5.78</v>
      </c>
      <c r="F424" s="30">
        <v>0.9</v>
      </c>
      <c r="G424" s="30"/>
      <c r="H424" s="145">
        <v>5.202</v>
      </c>
      <c r="I424" s="145">
        <v>5.2</v>
      </c>
      <c r="J424" s="146"/>
      <c r="K424" s="146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spans="1:26" ht="19.95" customHeight="1">
      <c r="A425" s="29" t="s">
        <v>804</v>
      </c>
      <c r="B425" s="103"/>
      <c r="C425" s="34" t="s">
        <v>835</v>
      </c>
      <c r="D425" s="30">
        <v>2</v>
      </c>
      <c r="E425" s="30">
        <v>3</v>
      </c>
      <c r="F425" s="30">
        <v>0.9</v>
      </c>
      <c r="G425" s="30"/>
      <c r="H425" s="145">
        <v>2.7</v>
      </c>
      <c r="I425" s="145">
        <v>5.4</v>
      </c>
      <c r="J425" s="146"/>
      <c r="K425" s="146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spans="1:26" ht="19.95" customHeight="1">
      <c r="A426" s="29" t="s">
        <v>805</v>
      </c>
      <c r="B426" s="103"/>
      <c r="C426" s="34" t="s">
        <v>836</v>
      </c>
      <c r="D426" s="30">
        <v>2</v>
      </c>
      <c r="E426" s="30">
        <v>3</v>
      </c>
      <c r="F426" s="30">
        <v>0.9</v>
      </c>
      <c r="G426" s="30"/>
      <c r="H426" s="145">
        <v>2.7</v>
      </c>
      <c r="I426" s="145">
        <v>5.4</v>
      </c>
      <c r="J426" s="146"/>
      <c r="K426" s="146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spans="1:26" ht="19.95" customHeight="1">
      <c r="A427" s="29" t="s">
        <v>806</v>
      </c>
      <c r="B427" s="103"/>
      <c r="C427" s="34" t="s">
        <v>837</v>
      </c>
      <c r="D427" s="30">
        <v>2</v>
      </c>
      <c r="E427" s="30">
        <v>3</v>
      </c>
      <c r="F427" s="30">
        <v>0.9</v>
      </c>
      <c r="G427" s="30"/>
      <c r="H427" s="145">
        <v>2.7</v>
      </c>
      <c r="I427" s="145">
        <v>5.4</v>
      </c>
      <c r="J427" s="146"/>
      <c r="K427" s="146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spans="1:26" ht="25.05" customHeight="1">
      <c r="A428" s="87" t="s">
        <v>334</v>
      </c>
      <c r="B428" s="208" t="s">
        <v>347</v>
      </c>
      <c r="C428" s="208"/>
      <c r="D428" s="141"/>
      <c r="E428" s="141"/>
      <c r="F428" s="141"/>
      <c r="G428" s="141"/>
      <c r="H428" s="144"/>
      <c r="I428" s="144"/>
      <c r="J428" s="144"/>
      <c r="K428" s="144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spans="1:26" ht="49.95" customHeight="1">
      <c r="A429" s="29" t="s">
        <v>348</v>
      </c>
      <c r="B429" s="33">
        <v>92429</v>
      </c>
      <c r="C429" s="150" t="s">
        <v>422</v>
      </c>
      <c r="D429" s="30"/>
      <c r="E429" s="30"/>
      <c r="F429" s="30"/>
      <c r="G429" s="30"/>
      <c r="H429" s="30"/>
      <c r="I429" s="30"/>
      <c r="J429" s="151">
        <v>77.22</v>
      </c>
      <c r="K429" s="146" t="s">
        <v>610</v>
      </c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spans="1:26" ht="19.95" customHeight="1">
      <c r="A430" s="29" t="s">
        <v>807</v>
      </c>
      <c r="B430" s="103"/>
      <c r="C430" s="34" t="s">
        <v>840</v>
      </c>
      <c r="D430" s="30">
        <v>1</v>
      </c>
      <c r="E430" s="30">
        <v>23.4</v>
      </c>
      <c r="F430" s="30"/>
      <c r="G430" s="30"/>
      <c r="H430" s="30">
        <v>23.4</v>
      </c>
      <c r="I430" s="30">
        <v>23.4</v>
      </c>
      <c r="J430" s="146"/>
      <c r="K430" s="146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spans="1:26" ht="19.95" customHeight="1">
      <c r="A431" s="29" t="s">
        <v>808</v>
      </c>
      <c r="B431" s="103"/>
      <c r="C431" s="34" t="s">
        <v>841</v>
      </c>
      <c r="D431" s="30">
        <v>1</v>
      </c>
      <c r="E431" s="30">
        <v>30.42</v>
      </c>
      <c r="F431" s="30"/>
      <c r="G431" s="30"/>
      <c r="H431" s="30">
        <v>30.42</v>
      </c>
      <c r="I431" s="30">
        <v>30.42</v>
      </c>
      <c r="J431" s="146"/>
      <c r="K431" s="146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spans="1:26" ht="19.95" customHeight="1">
      <c r="A432" s="29" t="s">
        <v>809</v>
      </c>
      <c r="B432" s="103"/>
      <c r="C432" s="34" t="s">
        <v>695</v>
      </c>
      <c r="D432" s="30">
        <v>1</v>
      </c>
      <c r="E432" s="30">
        <v>23.4</v>
      </c>
      <c r="F432" s="30"/>
      <c r="G432" s="30"/>
      <c r="H432" s="30">
        <v>23.4</v>
      </c>
      <c r="I432" s="30">
        <v>23.4</v>
      </c>
      <c r="J432" s="146"/>
      <c r="K432" s="146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spans="1:26" ht="49.95" customHeight="1">
      <c r="A433" s="29" t="s">
        <v>349</v>
      </c>
      <c r="B433" s="30">
        <v>92476</v>
      </c>
      <c r="C433" s="150" t="s">
        <v>565</v>
      </c>
      <c r="D433" s="30"/>
      <c r="E433" s="30"/>
      <c r="F433" s="30"/>
      <c r="G433" s="30"/>
      <c r="H433" s="30"/>
      <c r="I433" s="30"/>
      <c r="J433" s="151">
        <v>45.51</v>
      </c>
      <c r="K433" s="146" t="s">
        <v>610</v>
      </c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spans="1:26" ht="19.95" customHeight="1">
      <c r="A434" s="29" t="s">
        <v>810</v>
      </c>
      <c r="B434" s="103"/>
      <c r="C434" s="34" t="s">
        <v>842</v>
      </c>
      <c r="D434" s="30">
        <v>1</v>
      </c>
      <c r="E434" s="30">
        <v>18.23</v>
      </c>
      <c r="F434" s="30"/>
      <c r="G434" s="30"/>
      <c r="H434" s="30">
        <v>18.23</v>
      </c>
      <c r="I434" s="30">
        <v>18.23</v>
      </c>
      <c r="J434" s="146"/>
      <c r="K434" s="146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spans="1:26" ht="19.95" customHeight="1">
      <c r="A435" s="29" t="s">
        <v>811</v>
      </c>
      <c r="B435" s="103"/>
      <c r="C435" s="34" t="s">
        <v>843</v>
      </c>
      <c r="D435" s="30">
        <v>1</v>
      </c>
      <c r="E435" s="30">
        <v>27.28</v>
      </c>
      <c r="F435" s="30"/>
      <c r="G435" s="30"/>
      <c r="H435" s="30">
        <v>27.28</v>
      </c>
      <c r="I435" s="30">
        <v>27.28</v>
      </c>
      <c r="J435" s="146"/>
      <c r="K435" s="146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spans="1:26" ht="49.95" customHeight="1">
      <c r="A436" s="29" t="s">
        <v>350</v>
      </c>
      <c r="B436" s="33">
        <v>92759</v>
      </c>
      <c r="C436" s="150" t="s">
        <v>566</v>
      </c>
      <c r="D436" s="30"/>
      <c r="E436" s="30"/>
      <c r="F436" s="30"/>
      <c r="G436" s="30"/>
      <c r="H436" s="30"/>
      <c r="I436" s="30"/>
      <c r="J436" s="151">
        <v>143.80000000000001</v>
      </c>
      <c r="K436" s="146" t="s">
        <v>42</v>
      </c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spans="1:26" ht="19.95" customHeight="1">
      <c r="A437" s="29" t="s">
        <v>812</v>
      </c>
      <c r="B437" s="103"/>
      <c r="C437" s="34" t="s">
        <v>839</v>
      </c>
      <c r="D437" s="30">
        <v>1</v>
      </c>
      <c r="E437" s="30">
        <v>28.1</v>
      </c>
      <c r="F437" s="30"/>
      <c r="G437" s="30"/>
      <c r="H437" s="30">
        <v>28.1</v>
      </c>
      <c r="I437" s="30">
        <v>28.1</v>
      </c>
      <c r="J437" s="146"/>
      <c r="K437" s="146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spans="1:26" ht="19.95" customHeight="1">
      <c r="A438" s="29" t="s">
        <v>813</v>
      </c>
      <c r="B438" s="103"/>
      <c r="C438" s="34" t="s">
        <v>841</v>
      </c>
      <c r="D438" s="30">
        <v>1</v>
      </c>
      <c r="E438" s="30">
        <v>34.4</v>
      </c>
      <c r="F438" s="30"/>
      <c r="G438" s="30"/>
      <c r="H438" s="30">
        <v>34.4</v>
      </c>
      <c r="I438" s="30">
        <v>34.4</v>
      </c>
      <c r="J438" s="146"/>
      <c r="K438" s="146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spans="1:26" ht="19.95" customHeight="1">
      <c r="A439" s="29" t="s">
        <v>814</v>
      </c>
      <c r="B439" s="103"/>
      <c r="C439" s="34" t="s">
        <v>695</v>
      </c>
      <c r="D439" s="30">
        <v>1</v>
      </c>
      <c r="E439" s="30">
        <v>28.1</v>
      </c>
      <c r="F439" s="30"/>
      <c r="G439" s="30"/>
      <c r="H439" s="30">
        <v>28.1</v>
      </c>
      <c r="I439" s="30">
        <v>28.1</v>
      </c>
      <c r="J439" s="146"/>
      <c r="K439" s="146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spans="1:26" ht="19.95" customHeight="1">
      <c r="A440" s="29" t="s">
        <v>815</v>
      </c>
      <c r="B440" s="103"/>
      <c r="C440" s="34" t="s">
        <v>842</v>
      </c>
      <c r="D440" s="30">
        <v>1</v>
      </c>
      <c r="E440" s="30">
        <v>53.2</v>
      </c>
      <c r="F440" s="30"/>
      <c r="G440" s="30"/>
      <c r="H440" s="30">
        <v>53.2</v>
      </c>
      <c r="I440" s="30">
        <v>53.2</v>
      </c>
      <c r="J440" s="146"/>
      <c r="K440" s="146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spans="1:26" ht="49.95" customHeight="1">
      <c r="A441" s="29" t="s">
        <v>351</v>
      </c>
      <c r="B441" s="33">
        <v>104108</v>
      </c>
      <c r="C441" s="150" t="s">
        <v>426</v>
      </c>
      <c r="D441" s="30"/>
      <c r="E441" s="30"/>
      <c r="F441" s="30"/>
      <c r="G441" s="30"/>
      <c r="H441" s="30"/>
      <c r="I441" s="30"/>
      <c r="J441" s="151">
        <v>305.89999999999998</v>
      </c>
      <c r="K441" s="146" t="s">
        <v>42</v>
      </c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spans="1:26" ht="19.95" customHeight="1">
      <c r="A442" s="29" t="s">
        <v>816</v>
      </c>
      <c r="B442" s="103"/>
      <c r="C442" s="34" t="s">
        <v>839</v>
      </c>
      <c r="D442" s="30">
        <v>1</v>
      </c>
      <c r="E442" s="30">
        <v>100</v>
      </c>
      <c r="F442" s="30"/>
      <c r="G442" s="30"/>
      <c r="H442" s="30">
        <v>100</v>
      </c>
      <c r="I442" s="30">
        <v>100</v>
      </c>
      <c r="J442" s="146"/>
      <c r="K442" s="146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spans="1:26" ht="19.95" customHeight="1">
      <c r="A443" s="29" t="s">
        <v>817</v>
      </c>
      <c r="B443" s="103"/>
      <c r="C443" s="34" t="s">
        <v>841</v>
      </c>
      <c r="D443" s="30">
        <v>1</v>
      </c>
      <c r="E443" s="30">
        <v>107.7</v>
      </c>
      <c r="F443" s="30"/>
      <c r="G443" s="30"/>
      <c r="H443" s="30">
        <v>107.7</v>
      </c>
      <c r="I443" s="30">
        <v>107.7</v>
      </c>
      <c r="J443" s="146"/>
      <c r="K443" s="146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spans="1:26" ht="19.95" customHeight="1">
      <c r="A444" s="29" t="s">
        <v>818</v>
      </c>
      <c r="B444" s="103"/>
      <c r="C444" s="34" t="s">
        <v>695</v>
      </c>
      <c r="D444" s="30">
        <v>1</v>
      </c>
      <c r="E444" s="30">
        <v>62.2</v>
      </c>
      <c r="F444" s="30"/>
      <c r="G444" s="30"/>
      <c r="H444" s="30">
        <v>62.2</v>
      </c>
      <c r="I444" s="30">
        <v>62.2</v>
      </c>
      <c r="J444" s="146"/>
      <c r="K444" s="146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spans="1:26" ht="19.95" customHeight="1">
      <c r="A445" s="29" t="s">
        <v>819</v>
      </c>
      <c r="B445" s="103"/>
      <c r="C445" s="34" t="s">
        <v>842</v>
      </c>
      <c r="D445" s="30">
        <v>1</v>
      </c>
      <c r="E445" s="30">
        <v>36</v>
      </c>
      <c r="F445" s="30"/>
      <c r="G445" s="30"/>
      <c r="H445" s="30">
        <v>36</v>
      </c>
      <c r="I445" s="30">
        <v>36</v>
      </c>
      <c r="J445" s="146"/>
      <c r="K445" s="146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spans="1:26" ht="49.95" customHeight="1">
      <c r="A446" s="29" t="s">
        <v>352</v>
      </c>
      <c r="B446" s="33">
        <v>92761</v>
      </c>
      <c r="C446" s="150" t="s">
        <v>567</v>
      </c>
      <c r="D446" s="30"/>
      <c r="E446" s="30"/>
      <c r="F446" s="30"/>
      <c r="G446" s="30"/>
      <c r="H446" s="30"/>
      <c r="I446" s="30"/>
      <c r="J446" s="151">
        <v>120.5</v>
      </c>
      <c r="K446" s="146" t="s">
        <v>42</v>
      </c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spans="1:26" ht="19.95" customHeight="1">
      <c r="A447" s="29" t="s">
        <v>820</v>
      </c>
      <c r="B447" s="103"/>
      <c r="C447" s="34" t="s">
        <v>842</v>
      </c>
      <c r="D447" s="30">
        <v>1</v>
      </c>
      <c r="E447" s="30">
        <v>47.6</v>
      </c>
      <c r="F447" s="30"/>
      <c r="G447" s="30"/>
      <c r="H447" s="30">
        <v>47.6</v>
      </c>
      <c r="I447" s="30">
        <v>47.6</v>
      </c>
      <c r="J447" s="146"/>
      <c r="K447" s="146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spans="1:26" ht="19.95" customHeight="1">
      <c r="A448" s="29" t="s">
        <v>821</v>
      </c>
      <c r="B448" s="103"/>
      <c r="C448" s="34" t="s">
        <v>843</v>
      </c>
      <c r="D448" s="30">
        <v>1</v>
      </c>
      <c r="E448" s="30">
        <v>72.900000000000006</v>
      </c>
      <c r="F448" s="30"/>
      <c r="G448" s="30"/>
      <c r="H448" s="30">
        <v>72.900000000000006</v>
      </c>
      <c r="I448" s="30">
        <v>72.900000000000006</v>
      </c>
      <c r="J448" s="146"/>
      <c r="K448" s="146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spans="1:26" ht="49.95" customHeight="1">
      <c r="A449" s="29" t="s">
        <v>353</v>
      </c>
      <c r="B449" s="33">
        <v>94971</v>
      </c>
      <c r="C449" s="150" t="s">
        <v>414</v>
      </c>
      <c r="D449" s="30"/>
      <c r="E449" s="30"/>
      <c r="F449" s="30"/>
      <c r="G449" s="30"/>
      <c r="H449" s="30"/>
      <c r="I449" s="30"/>
      <c r="J449" s="151"/>
      <c r="K449" s="146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spans="1:26" ht="49.95" customHeight="1">
      <c r="A450" s="29" t="s">
        <v>354</v>
      </c>
      <c r="B450" s="33">
        <v>103670</v>
      </c>
      <c r="C450" s="150" t="s">
        <v>415</v>
      </c>
      <c r="D450" s="30"/>
      <c r="E450" s="30"/>
      <c r="F450" s="30"/>
      <c r="G450" s="30"/>
      <c r="H450" s="30"/>
      <c r="I450" s="30"/>
      <c r="J450" s="151"/>
      <c r="K450" s="146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spans="1:26" ht="25.05" customHeight="1">
      <c r="A451" s="87" t="s">
        <v>355</v>
      </c>
      <c r="B451" s="208" t="s">
        <v>356</v>
      </c>
      <c r="C451" s="208"/>
      <c r="D451" s="141"/>
      <c r="E451" s="141"/>
      <c r="F451" s="141"/>
      <c r="G451" s="141"/>
      <c r="H451" s="144"/>
      <c r="I451" s="144"/>
      <c r="J451" s="144"/>
      <c r="K451" s="144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spans="1:26" ht="49.95" customHeight="1">
      <c r="A452" s="29" t="s">
        <v>357</v>
      </c>
      <c r="B452" s="33">
        <v>103356</v>
      </c>
      <c r="C452" s="150" t="s">
        <v>431</v>
      </c>
      <c r="D452" s="30"/>
      <c r="E452" s="30"/>
      <c r="F452" s="30"/>
      <c r="G452" s="30"/>
      <c r="H452" s="30"/>
      <c r="I452" s="30"/>
      <c r="J452" s="151"/>
      <c r="K452" s="146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spans="1:26" ht="49.95" customHeight="1">
      <c r="A453" s="29" t="s">
        <v>358</v>
      </c>
      <c r="B453" s="30">
        <v>87894</v>
      </c>
      <c r="C453" s="150" t="s">
        <v>568</v>
      </c>
      <c r="D453" s="30"/>
      <c r="E453" s="30"/>
      <c r="F453" s="30"/>
      <c r="G453" s="30"/>
      <c r="H453" s="30"/>
      <c r="I453" s="30"/>
      <c r="J453" s="151"/>
      <c r="K453" s="146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spans="1:26" ht="49.95" customHeight="1">
      <c r="A454" s="29" t="s">
        <v>359</v>
      </c>
      <c r="B454" s="33">
        <v>87792</v>
      </c>
      <c r="C454" s="150" t="s">
        <v>569</v>
      </c>
      <c r="D454" s="30"/>
      <c r="E454" s="30"/>
      <c r="F454" s="30"/>
      <c r="G454" s="30"/>
      <c r="H454" s="30"/>
      <c r="I454" s="30"/>
      <c r="J454" s="151"/>
      <c r="K454" s="146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spans="1:26" ht="49.95" customHeight="1">
      <c r="A455" s="29" t="s">
        <v>360</v>
      </c>
      <c r="B455" s="33">
        <v>88485</v>
      </c>
      <c r="C455" s="150" t="s">
        <v>530</v>
      </c>
      <c r="D455" s="30"/>
      <c r="E455" s="30"/>
      <c r="F455" s="30"/>
      <c r="G455" s="30"/>
      <c r="H455" s="30"/>
      <c r="I455" s="30"/>
      <c r="J455" s="151"/>
      <c r="K455" s="146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spans="1:26" ht="49.95" customHeight="1">
      <c r="A456" s="29" t="s">
        <v>361</v>
      </c>
      <c r="B456" s="33">
        <v>88497</v>
      </c>
      <c r="C456" s="150" t="s">
        <v>528</v>
      </c>
      <c r="D456" s="30"/>
      <c r="E456" s="30"/>
      <c r="F456" s="30"/>
      <c r="G456" s="30"/>
      <c r="H456" s="30"/>
      <c r="I456" s="30"/>
      <c r="J456" s="151"/>
      <c r="K456" s="146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spans="1:26" ht="49.95" customHeight="1">
      <c r="A457" s="29" t="s">
        <v>362</v>
      </c>
      <c r="B457" s="33">
        <v>88489</v>
      </c>
      <c r="C457" s="150" t="s">
        <v>529</v>
      </c>
      <c r="D457" s="30"/>
      <c r="E457" s="30"/>
      <c r="F457" s="30"/>
      <c r="G457" s="30"/>
      <c r="H457" s="30"/>
      <c r="I457" s="30"/>
      <c r="J457" s="151"/>
      <c r="K457" s="146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spans="1:26" ht="49.95" customHeight="1">
      <c r="A458" s="29" t="s">
        <v>363</v>
      </c>
      <c r="B458" s="33">
        <v>10</v>
      </c>
      <c r="C458" s="150" t="s">
        <v>570</v>
      </c>
      <c r="D458" s="30"/>
      <c r="E458" s="30"/>
      <c r="F458" s="30"/>
      <c r="G458" s="30"/>
      <c r="H458" s="30"/>
      <c r="I458" s="30"/>
      <c r="J458" s="151"/>
      <c r="K458" s="146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spans="1:26" ht="49.95" customHeight="1">
      <c r="A459" s="29" t="s">
        <v>364</v>
      </c>
      <c r="B459" s="33">
        <v>24</v>
      </c>
      <c r="C459" s="150" t="s">
        <v>571</v>
      </c>
      <c r="D459" s="30"/>
      <c r="E459" s="30"/>
      <c r="F459" s="30"/>
      <c r="G459" s="30"/>
      <c r="H459" s="30"/>
      <c r="I459" s="30"/>
      <c r="J459" s="151"/>
      <c r="K459" s="146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spans="1:26" ht="25.05" customHeight="1">
      <c r="A460" s="87">
        <v>5</v>
      </c>
      <c r="B460" s="208" t="s">
        <v>365</v>
      </c>
      <c r="C460" s="208"/>
      <c r="D460" s="141"/>
      <c r="E460" s="141"/>
      <c r="F460" s="141"/>
      <c r="G460" s="141"/>
      <c r="H460" s="144"/>
      <c r="I460" s="144"/>
      <c r="J460" s="144"/>
      <c r="K460" s="144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spans="1:26" ht="25.05" customHeight="1">
      <c r="A461" s="87" t="s">
        <v>23</v>
      </c>
      <c r="B461" s="208" t="s">
        <v>366</v>
      </c>
      <c r="C461" s="208"/>
      <c r="D461" s="141"/>
      <c r="E461" s="141"/>
      <c r="F461" s="141"/>
      <c r="G461" s="141"/>
      <c r="H461" s="144"/>
      <c r="I461" s="144"/>
      <c r="J461" s="144"/>
      <c r="K461" s="144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spans="1:26" ht="49.95" customHeight="1">
      <c r="A462" s="29" t="s">
        <v>367</v>
      </c>
      <c r="B462" s="33">
        <v>93679</v>
      </c>
      <c r="C462" s="150" t="s">
        <v>572</v>
      </c>
      <c r="D462" s="30"/>
      <c r="E462" s="30"/>
      <c r="F462" s="30"/>
      <c r="G462" s="30"/>
      <c r="H462" s="30"/>
      <c r="I462" s="30"/>
      <c r="J462" s="151"/>
      <c r="K462" s="146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spans="1:26" ht="49.95" customHeight="1">
      <c r="A463" s="29" t="s">
        <v>368</v>
      </c>
      <c r="B463" s="30">
        <v>94275</v>
      </c>
      <c r="C463" s="150" t="s">
        <v>573</v>
      </c>
      <c r="D463" s="30"/>
      <c r="E463" s="30"/>
      <c r="F463" s="30"/>
      <c r="G463" s="30"/>
      <c r="H463" s="30"/>
      <c r="I463" s="30"/>
      <c r="J463" s="151"/>
      <c r="K463" s="146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spans="1:26" ht="49.95" customHeight="1">
      <c r="A464" s="29" t="s">
        <v>369</v>
      </c>
      <c r="B464" s="33">
        <v>94276</v>
      </c>
      <c r="C464" s="150" t="s">
        <v>574</v>
      </c>
      <c r="D464" s="30"/>
      <c r="E464" s="30"/>
      <c r="F464" s="30"/>
      <c r="G464" s="30"/>
      <c r="H464" s="30"/>
      <c r="I464" s="30"/>
      <c r="J464" s="151"/>
      <c r="K464" s="146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spans="1:26" ht="49.95" customHeight="1">
      <c r="A465" s="29" t="s">
        <v>370</v>
      </c>
      <c r="B465" s="33">
        <v>92397</v>
      </c>
      <c r="C465" s="150" t="s">
        <v>575</v>
      </c>
      <c r="D465" s="30"/>
      <c r="E465" s="30"/>
      <c r="F465" s="30"/>
      <c r="G465" s="30"/>
      <c r="H465" s="30"/>
      <c r="I465" s="30"/>
      <c r="J465" s="151"/>
      <c r="K465" s="146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spans="1:26" ht="49.95" customHeight="1">
      <c r="A466" s="29" t="s">
        <v>371</v>
      </c>
      <c r="B466" s="33">
        <v>105004</v>
      </c>
      <c r="C466" s="150" t="s">
        <v>576</v>
      </c>
      <c r="D466" s="30"/>
      <c r="E466" s="30"/>
      <c r="F466" s="30"/>
      <c r="G466" s="30"/>
      <c r="H466" s="30"/>
      <c r="I466" s="30"/>
      <c r="J466" s="151"/>
      <c r="K466" s="146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spans="1:26" ht="49.95" customHeight="1">
      <c r="A467" s="29" t="s">
        <v>372</v>
      </c>
      <c r="B467" s="33">
        <v>102498</v>
      </c>
      <c r="C467" s="150" t="s">
        <v>577</v>
      </c>
      <c r="D467" s="30"/>
      <c r="E467" s="30"/>
      <c r="F467" s="30"/>
      <c r="G467" s="30"/>
      <c r="H467" s="30"/>
      <c r="I467" s="30"/>
      <c r="J467" s="151"/>
      <c r="K467" s="146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spans="1:26" ht="49.95" customHeight="1">
      <c r="A468" s="29" t="s">
        <v>373</v>
      </c>
      <c r="B468" s="33">
        <v>104658</v>
      </c>
      <c r="C468" s="150" t="s">
        <v>578</v>
      </c>
      <c r="D468" s="30"/>
      <c r="E468" s="30"/>
      <c r="F468" s="30"/>
      <c r="G468" s="30"/>
      <c r="H468" s="30"/>
      <c r="I468" s="30"/>
      <c r="J468" s="151"/>
      <c r="K468" s="146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spans="1:26" ht="49.95" customHeight="1">
      <c r="A469" s="29" t="s">
        <v>374</v>
      </c>
      <c r="B469" s="33">
        <v>104658</v>
      </c>
      <c r="C469" s="150" t="s">
        <v>578</v>
      </c>
      <c r="D469" s="30"/>
      <c r="E469" s="30"/>
      <c r="F469" s="30"/>
      <c r="G469" s="30"/>
      <c r="H469" s="30"/>
      <c r="I469" s="30"/>
      <c r="J469" s="151"/>
      <c r="K469" s="146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spans="1:26" ht="49.95" customHeight="1">
      <c r="A470" s="29" t="s">
        <v>375</v>
      </c>
      <c r="B470" s="33">
        <v>102494</v>
      </c>
      <c r="C470" s="150" t="s">
        <v>579</v>
      </c>
      <c r="D470" s="30"/>
      <c r="E470" s="30"/>
      <c r="F470" s="30"/>
      <c r="G470" s="30"/>
      <c r="H470" s="30"/>
      <c r="I470" s="30"/>
      <c r="J470" s="151"/>
      <c r="K470" s="146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spans="1:26" ht="49.95" customHeight="1">
      <c r="A471" s="29" t="s">
        <v>376</v>
      </c>
      <c r="B471" s="30">
        <v>103946</v>
      </c>
      <c r="C471" s="150" t="s">
        <v>580</v>
      </c>
      <c r="D471" s="30"/>
      <c r="E471" s="30"/>
      <c r="F471" s="30"/>
      <c r="G471" s="30"/>
      <c r="H471" s="30"/>
      <c r="I471" s="30"/>
      <c r="J471" s="151"/>
      <c r="K471" s="146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spans="1:26" ht="25.05" customHeight="1">
      <c r="A472" s="87" t="s">
        <v>34</v>
      </c>
      <c r="B472" s="208" t="s">
        <v>377</v>
      </c>
      <c r="C472" s="208"/>
      <c r="D472" s="141"/>
      <c r="E472" s="141"/>
      <c r="F472" s="141"/>
      <c r="G472" s="141"/>
      <c r="H472" s="144"/>
      <c r="I472" s="144"/>
      <c r="J472" s="144"/>
      <c r="K472" s="144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spans="1:26" ht="49.95" customHeight="1">
      <c r="A473" s="29" t="s">
        <v>378</v>
      </c>
      <c r="B473" s="33">
        <v>103946</v>
      </c>
      <c r="C473" s="150" t="s">
        <v>580</v>
      </c>
      <c r="D473" s="30"/>
      <c r="E473" s="30"/>
      <c r="F473" s="30"/>
      <c r="G473" s="30"/>
      <c r="H473" s="30"/>
      <c r="I473" s="30"/>
      <c r="J473" s="151"/>
      <c r="K473" s="146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spans="1:26" ht="49.95" customHeight="1">
      <c r="A474" s="29" t="s">
        <v>379</v>
      </c>
      <c r="B474" s="30">
        <v>105521</v>
      </c>
      <c r="C474" s="150" t="s">
        <v>581</v>
      </c>
      <c r="D474" s="30"/>
      <c r="E474" s="30"/>
      <c r="F474" s="30"/>
      <c r="G474" s="30"/>
      <c r="H474" s="30"/>
      <c r="I474" s="30"/>
      <c r="J474" s="151"/>
      <c r="K474" s="146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spans="1:26" ht="49.95" customHeight="1">
      <c r="A475" s="29" t="s">
        <v>380</v>
      </c>
      <c r="B475" s="33">
        <v>25</v>
      </c>
      <c r="C475" s="150" t="s">
        <v>582</v>
      </c>
      <c r="D475" s="30"/>
      <c r="E475" s="30"/>
      <c r="F475" s="30"/>
      <c r="G475" s="30"/>
      <c r="H475" s="30"/>
      <c r="I475" s="30"/>
      <c r="J475" s="151"/>
      <c r="K475" s="146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spans="1:26" ht="25.05" customHeight="1">
      <c r="A476" s="87" t="s">
        <v>35</v>
      </c>
      <c r="B476" s="208" t="s">
        <v>381</v>
      </c>
      <c r="C476" s="208"/>
      <c r="D476" s="141"/>
      <c r="E476" s="141"/>
      <c r="F476" s="141"/>
      <c r="G476" s="141"/>
      <c r="H476" s="144"/>
      <c r="I476" s="144"/>
      <c r="J476" s="144"/>
      <c r="K476" s="144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spans="1:26" ht="49.95" customHeight="1">
      <c r="A477" s="29" t="s">
        <v>382</v>
      </c>
      <c r="B477" s="33">
        <v>93358</v>
      </c>
      <c r="C477" s="150" t="s">
        <v>410</v>
      </c>
      <c r="D477" s="30"/>
      <c r="E477" s="30"/>
      <c r="F477" s="30"/>
      <c r="G477" s="30"/>
      <c r="H477" s="30"/>
      <c r="I477" s="30"/>
      <c r="J477" s="151"/>
      <c r="K477" s="146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spans="1:26" ht="49.95" customHeight="1">
      <c r="A478" s="29" t="s">
        <v>383</v>
      </c>
      <c r="B478" s="30">
        <v>101616</v>
      </c>
      <c r="C478" s="150" t="s">
        <v>413</v>
      </c>
      <c r="D478" s="30"/>
      <c r="E478" s="30"/>
      <c r="F478" s="30"/>
      <c r="G478" s="30"/>
      <c r="H478" s="30"/>
      <c r="I478" s="30"/>
      <c r="J478" s="151"/>
      <c r="K478" s="146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spans="1:26" ht="49.95" customHeight="1">
      <c r="A479" s="29" t="s">
        <v>384</v>
      </c>
      <c r="B479" s="33">
        <v>96619</v>
      </c>
      <c r="C479" s="150" t="s">
        <v>412</v>
      </c>
      <c r="D479" s="30"/>
      <c r="E479" s="30"/>
      <c r="F479" s="30"/>
      <c r="G479" s="30"/>
      <c r="H479" s="30"/>
      <c r="I479" s="30"/>
      <c r="J479" s="151"/>
      <c r="K479" s="146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spans="1:26" ht="49.95" customHeight="1">
      <c r="A480" s="29" t="s">
        <v>385</v>
      </c>
      <c r="B480" s="33">
        <v>8</v>
      </c>
      <c r="C480" s="150" t="s">
        <v>583</v>
      </c>
      <c r="D480" s="30"/>
      <c r="E480" s="30"/>
      <c r="F480" s="30"/>
      <c r="G480" s="30"/>
      <c r="H480" s="30"/>
      <c r="I480" s="30"/>
      <c r="J480" s="151"/>
      <c r="K480" s="146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spans="1:26" ht="49.95" customHeight="1">
      <c r="A481" s="29" t="s">
        <v>386</v>
      </c>
      <c r="B481" s="33">
        <v>87878</v>
      </c>
      <c r="C481" s="150" t="s">
        <v>584</v>
      </c>
      <c r="D481" s="30"/>
      <c r="E481" s="30"/>
      <c r="F481" s="30"/>
      <c r="G481" s="30"/>
      <c r="H481" s="30"/>
      <c r="I481" s="30"/>
      <c r="J481" s="151"/>
      <c r="K481" s="146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spans="1:26" ht="49.95" customHeight="1">
      <c r="A482" s="29" t="s">
        <v>387</v>
      </c>
      <c r="B482" s="33">
        <v>87528</v>
      </c>
      <c r="C482" s="150" t="s">
        <v>585</v>
      </c>
      <c r="D482" s="30"/>
      <c r="E482" s="30"/>
      <c r="F482" s="30"/>
      <c r="G482" s="30"/>
      <c r="H482" s="30"/>
      <c r="I482" s="30"/>
      <c r="J482" s="151"/>
      <c r="K482" s="146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spans="1:26" ht="49.95" customHeight="1">
      <c r="A483" s="29" t="s">
        <v>388</v>
      </c>
      <c r="B483" s="33">
        <v>95305</v>
      </c>
      <c r="C483" s="150" t="s">
        <v>586</v>
      </c>
      <c r="D483" s="30"/>
      <c r="E483" s="30"/>
      <c r="F483" s="30"/>
      <c r="G483" s="30"/>
      <c r="H483" s="30"/>
      <c r="I483" s="30"/>
      <c r="J483" s="151"/>
      <c r="K483" s="146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spans="1:26" ht="49.95" customHeight="1">
      <c r="A484" s="29" t="s">
        <v>389</v>
      </c>
      <c r="B484" s="33">
        <v>8</v>
      </c>
      <c r="C484" s="150" t="s">
        <v>583</v>
      </c>
      <c r="D484" s="30"/>
      <c r="E484" s="30"/>
      <c r="F484" s="30"/>
      <c r="G484" s="30"/>
      <c r="H484" s="30"/>
      <c r="I484" s="30"/>
      <c r="J484" s="151"/>
      <c r="K484" s="146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spans="1:26" ht="49.95" customHeight="1">
      <c r="A485" s="29" t="s">
        <v>390</v>
      </c>
      <c r="B485" s="33">
        <v>7</v>
      </c>
      <c r="C485" s="150" t="s">
        <v>587</v>
      </c>
      <c r="D485" s="30"/>
      <c r="E485" s="30"/>
      <c r="F485" s="30"/>
      <c r="G485" s="30"/>
      <c r="H485" s="30"/>
      <c r="I485" s="30"/>
      <c r="J485" s="151"/>
      <c r="K485" s="146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spans="1:26" ht="25.05" customHeight="1">
      <c r="A486" s="87">
        <v>6</v>
      </c>
      <c r="B486" s="208" t="s">
        <v>391</v>
      </c>
      <c r="C486" s="208"/>
      <c r="D486" s="141"/>
      <c r="E486" s="141"/>
      <c r="F486" s="141"/>
      <c r="G486" s="141"/>
      <c r="H486" s="144"/>
      <c r="I486" s="144"/>
      <c r="J486" s="144"/>
      <c r="K486" s="144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spans="1:26" ht="49.95" customHeight="1">
      <c r="A487" s="29" t="s">
        <v>24</v>
      </c>
      <c r="B487" s="33">
        <v>93358</v>
      </c>
      <c r="C487" s="150" t="s">
        <v>410</v>
      </c>
      <c r="D487" s="30"/>
      <c r="E487" s="30"/>
      <c r="F487" s="30"/>
      <c r="G487" s="30"/>
      <c r="H487" s="30"/>
      <c r="I487" s="30"/>
      <c r="J487" s="151"/>
      <c r="K487" s="146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spans="1:26" ht="49.95" customHeight="1">
      <c r="A488" s="29" t="s">
        <v>36</v>
      </c>
      <c r="B488" s="30">
        <v>97882</v>
      </c>
      <c r="C488" s="150" t="s">
        <v>588</v>
      </c>
      <c r="D488" s="30"/>
      <c r="E488" s="30"/>
      <c r="F488" s="30"/>
      <c r="G488" s="30"/>
      <c r="H488" s="30"/>
      <c r="I488" s="30"/>
      <c r="J488" s="151"/>
      <c r="K488" s="146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spans="1:26" ht="49.95" customHeight="1">
      <c r="A489" s="29" t="s">
        <v>392</v>
      </c>
      <c r="B489" s="33">
        <v>20</v>
      </c>
      <c r="C489" s="150" t="s">
        <v>589</v>
      </c>
      <c r="D489" s="30"/>
      <c r="E489" s="30"/>
      <c r="F489" s="30"/>
      <c r="G489" s="30"/>
      <c r="H489" s="30"/>
      <c r="I489" s="30"/>
      <c r="J489" s="151"/>
      <c r="K489" s="146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spans="1:26" ht="49.95" customHeight="1">
      <c r="A490" s="29" t="s">
        <v>393</v>
      </c>
      <c r="B490" s="33">
        <v>91914</v>
      </c>
      <c r="C490" s="150" t="s">
        <v>471</v>
      </c>
      <c r="D490" s="30"/>
      <c r="E490" s="30"/>
      <c r="F490" s="30"/>
      <c r="G490" s="30"/>
      <c r="H490" s="30"/>
      <c r="I490" s="30"/>
      <c r="J490" s="151"/>
      <c r="K490" s="146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spans="1:26" ht="49.95" customHeight="1">
      <c r="A491" s="29" t="s">
        <v>394</v>
      </c>
      <c r="B491" s="33">
        <v>91902</v>
      </c>
      <c r="C491" s="150" t="s">
        <v>590</v>
      </c>
      <c r="D491" s="30"/>
      <c r="E491" s="30"/>
      <c r="F491" s="30"/>
      <c r="G491" s="30"/>
      <c r="H491" s="30"/>
      <c r="I491" s="30"/>
      <c r="J491" s="151"/>
      <c r="K491" s="146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spans="1:26" ht="49.95" customHeight="1">
      <c r="A492" s="29" t="s">
        <v>395</v>
      </c>
      <c r="B492" s="33">
        <v>91884</v>
      </c>
      <c r="C492" s="150" t="s">
        <v>472</v>
      </c>
      <c r="D492" s="30"/>
      <c r="E492" s="30"/>
      <c r="F492" s="30"/>
      <c r="G492" s="30"/>
      <c r="H492" s="30"/>
      <c r="I492" s="30"/>
      <c r="J492" s="151"/>
      <c r="K492" s="146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spans="1:26" ht="49.95" customHeight="1">
      <c r="A493" s="29" t="s">
        <v>396</v>
      </c>
      <c r="B493" s="33">
        <v>93013</v>
      </c>
      <c r="C493" s="150" t="s">
        <v>591</v>
      </c>
      <c r="D493" s="30"/>
      <c r="E493" s="30"/>
      <c r="F493" s="30"/>
      <c r="G493" s="30"/>
      <c r="H493" s="30"/>
      <c r="I493" s="30"/>
      <c r="J493" s="151"/>
      <c r="K493" s="146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spans="1:26" ht="49.95" customHeight="1">
      <c r="A494" s="29" t="s">
        <v>397</v>
      </c>
      <c r="B494" s="33">
        <v>39470</v>
      </c>
      <c r="C494" s="150" t="s">
        <v>473</v>
      </c>
      <c r="D494" s="30"/>
      <c r="E494" s="30"/>
      <c r="F494" s="30"/>
      <c r="G494" s="30"/>
      <c r="H494" s="30"/>
      <c r="I494" s="30"/>
      <c r="J494" s="151"/>
      <c r="K494" s="146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spans="1:26" ht="49.95" customHeight="1">
      <c r="A495" s="29" t="s">
        <v>398</v>
      </c>
      <c r="B495" s="33">
        <v>93656</v>
      </c>
      <c r="C495" s="150" t="s">
        <v>592</v>
      </c>
      <c r="D495" s="30"/>
      <c r="E495" s="30"/>
      <c r="F495" s="30"/>
      <c r="G495" s="30"/>
      <c r="H495" s="30"/>
      <c r="I495" s="30"/>
      <c r="J495" s="151"/>
      <c r="K495" s="146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spans="1:26" ht="49.95" customHeight="1">
      <c r="A496" s="29" t="s">
        <v>399</v>
      </c>
      <c r="B496" s="30">
        <v>93657</v>
      </c>
      <c r="C496" s="150" t="s">
        <v>477</v>
      </c>
      <c r="D496" s="30"/>
      <c r="E496" s="30"/>
      <c r="F496" s="30"/>
      <c r="G496" s="30"/>
      <c r="H496" s="30"/>
      <c r="I496" s="30"/>
      <c r="J496" s="151"/>
      <c r="K496" s="146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spans="1:37" ht="49.95" customHeight="1">
      <c r="A497" s="29" t="s">
        <v>400</v>
      </c>
      <c r="B497" s="33">
        <v>39396</v>
      </c>
      <c r="C497" s="150" t="s">
        <v>593</v>
      </c>
      <c r="D497" s="30"/>
      <c r="E497" s="30"/>
      <c r="F497" s="30"/>
      <c r="G497" s="30"/>
      <c r="H497" s="30"/>
      <c r="I497" s="30"/>
      <c r="J497" s="151"/>
      <c r="K497" s="146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spans="1:37" ht="49.95" customHeight="1">
      <c r="A498" s="29" t="s">
        <v>401</v>
      </c>
      <c r="B498" s="30">
        <v>21</v>
      </c>
      <c r="C498" s="150" t="s">
        <v>594</v>
      </c>
      <c r="D498" s="30"/>
      <c r="E498" s="30"/>
      <c r="F498" s="30"/>
      <c r="G498" s="30"/>
      <c r="H498" s="30"/>
      <c r="I498" s="30"/>
      <c r="J498" s="151"/>
      <c r="K498" s="146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spans="1:37" ht="49.95" customHeight="1">
      <c r="A499" s="29" t="s">
        <v>402</v>
      </c>
      <c r="B499" s="33">
        <v>101876</v>
      </c>
      <c r="C499" s="150" t="s">
        <v>548</v>
      </c>
      <c r="D499" s="30"/>
      <c r="E499" s="30"/>
      <c r="F499" s="30"/>
      <c r="G499" s="30"/>
      <c r="H499" s="30"/>
      <c r="I499" s="30"/>
      <c r="J499" s="151"/>
      <c r="K499" s="146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spans="1:37" ht="49.95" customHeight="1">
      <c r="A500" s="29" t="s">
        <v>403</v>
      </c>
      <c r="B500" s="33">
        <v>97886</v>
      </c>
      <c r="C500" s="150" t="s">
        <v>595</v>
      </c>
      <c r="D500" s="30"/>
      <c r="E500" s="30"/>
      <c r="F500" s="30"/>
      <c r="G500" s="30"/>
      <c r="H500" s="30"/>
      <c r="I500" s="30"/>
      <c r="J500" s="151"/>
      <c r="K500" s="146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spans="1:37" ht="49.95" customHeight="1">
      <c r="A501" s="29" t="s">
        <v>404</v>
      </c>
      <c r="B501" s="33">
        <v>17</v>
      </c>
      <c r="C501" s="150" t="s">
        <v>482</v>
      </c>
      <c r="D501" s="30"/>
      <c r="E501" s="30"/>
      <c r="F501" s="30"/>
      <c r="G501" s="30"/>
      <c r="H501" s="30"/>
      <c r="I501" s="30"/>
      <c r="J501" s="151"/>
      <c r="K501" s="146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spans="1:37" ht="49.95" customHeight="1">
      <c r="A502" s="29" t="s">
        <v>405</v>
      </c>
      <c r="B502" s="33">
        <v>96985</v>
      </c>
      <c r="C502" s="150" t="s">
        <v>481</v>
      </c>
      <c r="D502" s="30"/>
      <c r="E502" s="30"/>
      <c r="F502" s="30"/>
      <c r="G502" s="30"/>
      <c r="H502" s="30"/>
      <c r="I502" s="30"/>
      <c r="J502" s="151"/>
      <c r="K502" s="146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spans="1:37" ht="49.95" customHeight="1">
      <c r="A503" s="29" t="s">
        <v>406</v>
      </c>
      <c r="B503" s="33">
        <v>91929</v>
      </c>
      <c r="C503" s="150" t="s">
        <v>596</v>
      </c>
      <c r="D503" s="30"/>
      <c r="E503" s="30"/>
      <c r="F503" s="30"/>
      <c r="G503" s="30"/>
      <c r="H503" s="30"/>
      <c r="I503" s="30"/>
      <c r="J503" s="151"/>
      <c r="K503" s="146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spans="1:37" ht="49.95" customHeight="1">
      <c r="A504" s="29" t="s">
        <v>407</v>
      </c>
      <c r="B504" s="33">
        <v>91931</v>
      </c>
      <c r="C504" s="150" t="s">
        <v>485</v>
      </c>
      <c r="D504" s="30"/>
      <c r="E504" s="30"/>
      <c r="F504" s="30"/>
      <c r="G504" s="30"/>
      <c r="H504" s="30"/>
      <c r="I504" s="30"/>
      <c r="J504" s="151"/>
      <c r="K504" s="146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spans="1:37" ht="49.95" customHeight="1">
      <c r="A505" s="29" t="s">
        <v>408</v>
      </c>
      <c r="B505" s="33">
        <v>29</v>
      </c>
      <c r="C505" s="150" t="s">
        <v>597</v>
      </c>
      <c r="D505" s="30"/>
      <c r="E505" s="30"/>
      <c r="F505" s="30"/>
      <c r="G505" s="30"/>
      <c r="H505" s="30"/>
      <c r="I505" s="30"/>
      <c r="J505" s="151"/>
      <c r="K505" s="146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spans="1:37" s="69" customFormat="1" ht="70.05" customHeight="1">
      <c r="A506" s="195" t="s">
        <v>640</v>
      </c>
      <c r="B506" s="196"/>
      <c r="C506" s="197"/>
      <c r="D506" s="195" t="s">
        <v>641</v>
      </c>
      <c r="E506" s="196"/>
      <c r="F506" s="196"/>
      <c r="G506" s="196"/>
      <c r="H506" s="196"/>
      <c r="I506" s="196"/>
      <c r="J506" s="196"/>
      <c r="K506" s="197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spans="1:37" s="69" customFormat="1">
      <c r="A507" s="198"/>
      <c r="B507" s="199"/>
      <c r="C507" s="200"/>
      <c r="D507" s="198"/>
      <c r="E507" s="199"/>
      <c r="F507" s="199"/>
      <c r="G507" s="199"/>
      <c r="H507" s="199"/>
      <c r="I507" s="199"/>
      <c r="J507" s="199"/>
      <c r="K507" s="20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spans="1:37">
      <c r="A508" s="198"/>
      <c r="B508" s="199"/>
      <c r="C508" s="200"/>
      <c r="D508" s="198"/>
      <c r="E508" s="199"/>
      <c r="F508" s="199"/>
      <c r="G508" s="199"/>
      <c r="H508" s="199"/>
      <c r="I508" s="199"/>
      <c r="J508" s="199"/>
      <c r="K508" s="200"/>
    </row>
    <row r="509" spans="1:37" s="69" customFormat="1">
      <c r="A509" s="201"/>
      <c r="B509" s="202"/>
      <c r="C509" s="203"/>
      <c r="D509" s="201"/>
      <c r="E509" s="202"/>
      <c r="F509" s="202"/>
      <c r="G509" s="202"/>
      <c r="H509" s="202"/>
      <c r="I509" s="202"/>
      <c r="J509" s="202"/>
      <c r="K509" s="203"/>
      <c r="L509" s="16"/>
      <c r="M509" s="83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spans="1:37" s="69" customForma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8"/>
      <c r="M510" s="16"/>
      <c r="N510" s="16"/>
      <c r="O510" s="18"/>
      <c r="P510" s="16"/>
      <c r="Q510" s="16"/>
      <c r="R510" s="18"/>
      <c r="S510" s="16"/>
      <c r="T510" s="16"/>
      <c r="U510" s="16"/>
      <c r="V510" s="16"/>
      <c r="W510" s="16"/>
      <c r="X510" s="18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spans="1:37" s="69" customForma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s="69" customFormat="1">
      <c r="A512" s="16"/>
      <c r="B512" s="16"/>
      <c r="C512" s="18"/>
      <c r="D512" s="16"/>
      <c r="E512" s="18"/>
      <c r="F512" s="16"/>
      <c r="G512" s="16"/>
      <c r="H512" s="16"/>
      <c r="I512" s="19"/>
      <c r="J512" s="19"/>
      <c r="K512" s="16"/>
      <c r="L512" s="16"/>
      <c r="M512" s="16"/>
      <c r="N512" s="16"/>
      <c r="O512" s="19">
        <v>1451015.78</v>
      </c>
      <c r="P512" s="16" t="s">
        <v>56</v>
      </c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spans="1:37" s="69" customFormat="1">
      <c r="A513" s="16"/>
      <c r="B513" s="16"/>
      <c r="C513" s="16"/>
      <c r="D513" s="16"/>
      <c r="E513" s="16"/>
      <c r="F513" s="16"/>
      <c r="G513" s="16"/>
      <c r="H513" s="16"/>
      <c r="I513" s="16">
        <v>0.25</v>
      </c>
      <c r="J513" s="16"/>
      <c r="K513" s="16"/>
      <c r="L513" s="16"/>
      <c r="M513" s="16"/>
      <c r="N513" s="16"/>
      <c r="O513" s="19" t="e">
        <f>#REF!</f>
        <v>#REF!</v>
      </c>
      <c r="P513" s="16" t="s">
        <v>57</v>
      </c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spans="1:37" s="69" customFormat="1">
      <c r="A514" s="16"/>
      <c r="B514" s="16"/>
      <c r="C514" s="16"/>
      <c r="D514" s="16"/>
      <c r="E514" s="16"/>
      <c r="F514" s="16"/>
      <c r="G514" s="16"/>
      <c r="H514" s="16"/>
      <c r="I514" s="19" t="e">
        <f>#REF!*I513</f>
        <v>#REF!</v>
      </c>
      <c r="J514" s="19"/>
      <c r="K514" s="16"/>
      <c r="L514" s="16"/>
      <c r="M514" s="16"/>
      <c r="N514" s="16"/>
      <c r="O514" s="64" t="e">
        <f>1-(O513/O512)</f>
        <v>#REF!</v>
      </c>
      <c r="P514" s="16" t="s">
        <v>58</v>
      </c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spans="1:37" s="69" customFormat="1">
      <c r="A515" s="16"/>
      <c r="B515" s="16"/>
      <c r="C515" s="16"/>
      <c r="D515" s="16"/>
      <c r="E515" s="16"/>
      <c r="F515" s="16"/>
      <c r="G515" s="16"/>
      <c r="H515" s="16"/>
      <c r="I515" s="20" t="e">
        <f>#REF!</f>
        <v>#REF!</v>
      </c>
      <c r="J515" s="20"/>
      <c r="K515" s="16" t="s">
        <v>53</v>
      </c>
      <c r="L515" s="16" t="s">
        <v>54</v>
      </c>
      <c r="M515" s="16" t="s">
        <v>54</v>
      </c>
      <c r="N515" s="16" t="s">
        <v>54</v>
      </c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spans="1:37" s="69" customFormat="1">
      <c r="A516" s="16"/>
      <c r="B516" s="16"/>
      <c r="C516" s="16"/>
      <c r="D516" s="16"/>
      <c r="E516" s="16"/>
      <c r="F516" s="16"/>
      <c r="G516" s="16"/>
      <c r="H516" s="16"/>
      <c r="I516" s="19" t="e">
        <f>I514+I515</f>
        <v>#REF!</v>
      </c>
      <c r="J516" s="19"/>
      <c r="K516" s="16" t="s">
        <v>60</v>
      </c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spans="1:37" s="69" customFormat="1">
      <c r="A517" s="16"/>
      <c r="B517" s="16"/>
      <c r="C517" s="16"/>
      <c r="D517" s="16"/>
      <c r="E517" s="16"/>
      <c r="F517" s="16"/>
      <c r="G517" s="16"/>
      <c r="H517" s="16"/>
      <c r="I517" s="19">
        <v>111698.96</v>
      </c>
      <c r="J517" s="19"/>
      <c r="K517" s="16" t="s">
        <v>54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spans="1:37" s="69" customFormat="1">
      <c r="A518" s="16"/>
      <c r="B518" s="16"/>
      <c r="C518" s="16"/>
      <c r="D518" s="16"/>
      <c r="E518" s="16"/>
      <c r="F518" s="16"/>
      <c r="G518" s="16"/>
      <c r="H518" s="16"/>
      <c r="I518" s="19" t="e">
        <f>I517*(100%-O514)</f>
        <v>#REF!</v>
      </c>
      <c r="J518" s="19"/>
      <c r="K518" s="16" t="s">
        <v>59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9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spans="1:37" s="69" customFormat="1">
      <c r="A519" s="16"/>
      <c r="B519" s="16"/>
      <c r="C519" s="16"/>
      <c r="D519" s="16"/>
      <c r="E519" s="16"/>
      <c r="F519" s="16"/>
      <c r="G519" s="16"/>
      <c r="H519" s="16"/>
      <c r="I519" s="19" t="e">
        <f>I516-I518</f>
        <v>#REF!</v>
      </c>
      <c r="J519" s="19"/>
      <c r="K519" s="16" t="s">
        <v>55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spans="1:37">
      <c r="I520" s="19">
        <v>1451015.78</v>
      </c>
      <c r="J520" s="19"/>
      <c r="K520" s="16" t="s">
        <v>61</v>
      </c>
    </row>
    <row r="521" spans="1:37">
      <c r="I521" s="64" t="e">
        <f>1-(#REF!/I520)</f>
        <v>#REF!</v>
      </c>
      <c r="J521" s="64"/>
      <c r="K521" s="16" t="s">
        <v>62</v>
      </c>
    </row>
  </sheetData>
  <mergeCells count="74">
    <mergeCell ref="B270:C270"/>
    <mergeCell ref="B326:C326"/>
    <mergeCell ref="B109:C109"/>
    <mergeCell ref="B32:C32"/>
    <mergeCell ref="B71:C71"/>
    <mergeCell ref="B87:C87"/>
    <mergeCell ref="B91:C91"/>
    <mergeCell ref="B101:C101"/>
    <mergeCell ref="B104:C104"/>
    <mergeCell ref="B108:C108"/>
    <mergeCell ref="B135:C135"/>
    <mergeCell ref="B275:C275"/>
    <mergeCell ref="B279:C279"/>
    <mergeCell ref="B305:C305"/>
    <mergeCell ref="B280:C280"/>
    <mergeCell ref="B15:C15"/>
    <mergeCell ref="B18:C18"/>
    <mergeCell ref="A3:D3"/>
    <mergeCell ref="E3:K3"/>
    <mergeCell ref="A2:D2"/>
    <mergeCell ref="E2:F2"/>
    <mergeCell ref="G2:I2"/>
    <mergeCell ref="B7:C7"/>
    <mergeCell ref="A4:K4"/>
    <mergeCell ref="A6:C6"/>
    <mergeCell ref="X1:Z2"/>
    <mergeCell ref="L1:N2"/>
    <mergeCell ref="O1:Q2"/>
    <mergeCell ref="R1:T2"/>
    <mergeCell ref="B14:C14"/>
    <mergeCell ref="J1:K1"/>
    <mergeCell ref="J2:K2"/>
    <mergeCell ref="B1:D1"/>
    <mergeCell ref="E1:F1"/>
    <mergeCell ref="G1:I1"/>
    <mergeCell ref="R7:T7"/>
    <mergeCell ref="U7:W7"/>
    <mergeCell ref="X7:Z7"/>
    <mergeCell ref="L3:M3"/>
    <mergeCell ref="O3:P3"/>
    <mergeCell ref="R3:S3"/>
    <mergeCell ref="X3:Y3"/>
    <mergeCell ref="L4:N4"/>
    <mergeCell ref="O4:Q4"/>
    <mergeCell ref="R4:T4"/>
    <mergeCell ref="X4:Z4"/>
    <mergeCell ref="L109:Z507"/>
    <mergeCell ref="D5:K5"/>
    <mergeCell ref="A506:C509"/>
    <mergeCell ref="D506:K509"/>
    <mergeCell ref="B157:C157"/>
    <mergeCell ref="B179:C179"/>
    <mergeCell ref="B186:C186"/>
    <mergeCell ref="B190:C190"/>
    <mergeCell ref="B191:C191"/>
    <mergeCell ref="B194:C194"/>
    <mergeCell ref="B201:C201"/>
    <mergeCell ref="B226:C226"/>
    <mergeCell ref="B258:C258"/>
    <mergeCell ref="B262:C262"/>
    <mergeCell ref="L7:N7"/>
    <mergeCell ref="O7:Q7"/>
    <mergeCell ref="B345:C345"/>
    <mergeCell ref="B351:C351"/>
    <mergeCell ref="B355:C355"/>
    <mergeCell ref="B356:C356"/>
    <mergeCell ref="B428:C428"/>
    <mergeCell ref="B376:C376"/>
    <mergeCell ref="B486:C486"/>
    <mergeCell ref="B451:C451"/>
    <mergeCell ref="B460:C460"/>
    <mergeCell ref="B461:C461"/>
    <mergeCell ref="B472:C472"/>
    <mergeCell ref="B476:C476"/>
  </mergeCells>
  <phoneticPr fontId="15" type="noConversion"/>
  <conditionalFormatting sqref="L8:L11 O8:O11 R8:R11 X8:X11">
    <cfRule type="cellIs" dxfId="796" priority="1587" operator="between">
      <formula>0.01</formula>
      <formula>1</formula>
    </cfRule>
  </conditionalFormatting>
  <conditionalFormatting sqref="L14:L108 O14:O108 R14:R108 X14:X108">
    <cfRule type="cellIs" dxfId="795" priority="342" operator="between">
      <formula>0.01</formula>
      <formula>1</formula>
    </cfRule>
  </conditionalFormatting>
  <conditionalFormatting sqref="L110:L505 O110:O505 R110:R505 X110:X505">
    <cfRule type="cellIs" dxfId="794" priority="3" operator="between">
      <formula>0.01</formula>
      <formula>1</formula>
    </cfRule>
  </conditionalFormatting>
  <conditionalFormatting sqref="M8:M11 P8:P11 S8:S11 Y8:Y11">
    <cfRule type="cellIs" dxfId="793" priority="1586" operator="between">
      <formula>1</formula>
      <formula>1000</formula>
    </cfRule>
  </conditionalFormatting>
  <conditionalFormatting sqref="M14:M108 P14:P108 S14:S108 Y14:Y108">
    <cfRule type="cellIs" dxfId="792" priority="341" operator="between">
      <formula>1</formula>
      <formula>1000</formula>
    </cfRule>
  </conditionalFormatting>
  <conditionalFormatting sqref="M110:M505 P110:P505 S110:S505 Y110:Y505">
    <cfRule type="cellIs" dxfId="791" priority="2" operator="between">
      <formula>1</formula>
      <formula>1000</formula>
    </cfRule>
  </conditionalFormatting>
  <conditionalFormatting sqref="N8:N11 Q8:Q11 T8:W11 Z8:Z11">
    <cfRule type="cellIs" dxfId="790" priority="1585" operator="between">
      <formula>1</formula>
      <formula>100000</formula>
    </cfRule>
  </conditionalFormatting>
  <conditionalFormatting sqref="N14:N108 Q14:Q108 T14:W108 Z14:Z108">
    <cfRule type="cellIs" dxfId="789" priority="340" operator="between">
      <formula>1</formula>
      <formula>100000</formula>
    </cfRule>
  </conditionalFormatting>
  <conditionalFormatting sqref="N110:N505 Q110:Q505 T110:W505 Z110:Z505">
    <cfRule type="cellIs" dxfId="788" priority="1" operator="between">
      <formula>1</formula>
      <formula>100000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35" fitToHeight="4" orientation="portrait" r:id="rId1"/>
  <rowBreaks count="10" manualBreakCount="10">
    <brk id="70" max="19" man="1"/>
    <brk id="112" max="19" man="1"/>
    <brk id="148" max="19" man="1"/>
    <brk id="184" max="19" man="1"/>
    <brk id="239" max="19" man="1"/>
    <brk id="285" max="19" man="1"/>
    <brk id="321" max="19" man="1"/>
    <brk id="363" max="19" man="1"/>
    <brk id="433" max="19" man="1"/>
    <brk id="478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MEDIÇÃO</vt:lpstr>
      <vt:lpstr>MEMORIAL DE CALCULO</vt:lpstr>
      <vt:lpstr>'MEMORIAL DE CALCULO'!Area_de_impressao</vt:lpstr>
      <vt:lpstr>'PLANILHA DE MEDIÇÃO'!Area_de_impressao</vt:lpstr>
      <vt:lpstr>'MEMORIAL DE CALCULO'!Titulos_de_impressao</vt:lpstr>
      <vt:lpstr>'PLANILHA DE MEDIÇÃO'!Titulos_de_impressao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</cp:lastModifiedBy>
  <cp:lastPrinted>2026-03-27T18:11:39Z</cp:lastPrinted>
  <dcterms:created xsi:type="dcterms:W3CDTF">2024-08-07T11:01:56Z</dcterms:created>
  <dcterms:modified xsi:type="dcterms:W3CDTF">2026-04-27T17:45:21Z</dcterms:modified>
</cp:coreProperties>
</file>