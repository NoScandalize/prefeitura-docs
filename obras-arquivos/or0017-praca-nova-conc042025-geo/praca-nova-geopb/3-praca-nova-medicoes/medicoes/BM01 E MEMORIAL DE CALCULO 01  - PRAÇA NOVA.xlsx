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ougl\Desktop\Eng\Work\RELATÓRIOS\prefeitura-docs\obras-arquivos\or0017-praca-nova-conc042025-geo\praca-nova-geral\medicoes-edicao\"/>
    </mc:Choice>
  </mc:AlternateContent>
  <xr:revisionPtr revIDLastSave="0" documentId="13_ncr:1_{97B91B18-302F-466B-AF57-896018636B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 DE MEDIÇÃO" sheetId="1" r:id="rId1"/>
    <sheet name="MEMORIAL DE CALCULO" sheetId="3" r:id="rId2"/>
  </sheets>
  <definedNames>
    <definedName name="_xlnm.Print_Area" localSheetId="1">'MEMORIAL DE CALCULO'!$A$1:$T$509</definedName>
    <definedName name="_xlnm.Print_Area" localSheetId="0">'PLANILHA DE MEDIÇÃO'!$A$1:$L$350</definedName>
    <definedName name="JR_PAGE_ANCHOR_0_1" localSheetId="1">'MEMORIAL DE CALCULO'!#REF!</definedName>
    <definedName name="JR_PAGE_ANCHOR_0_1">'PLANILHA DE MEDIÇÃO'!#REF!</definedName>
    <definedName name="_xlnm.Print_Titles" localSheetId="1">'MEMORIAL DE CALCULO'!$1:$6</definedName>
    <definedName name="_xlnm.Print_Titles" localSheetId="0">'PLANILHA DE MEDIÇÃO'!$1:$5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108" i="3" l="1"/>
  <c r="Z108" i="3" s="1"/>
  <c r="W108" i="3"/>
  <c r="M108" i="3"/>
  <c r="N108" i="3" s="1"/>
  <c r="Y104" i="3"/>
  <c r="Z104" i="3" s="1"/>
  <c r="W104" i="3"/>
  <c r="M104" i="3"/>
  <c r="N104" i="3" s="1"/>
  <c r="Y101" i="3"/>
  <c r="Z101" i="3" s="1"/>
  <c r="W101" i="3"/>
  <c r="M101" i="3"/>
  <c r="N101" i="3" s="1"/>
  <c r="Y91" i="3"/>
  <c r="Z91" i="3" s="1"/>
  <c r="W91" i="3"/>
  <c r="M91" i="3"/>
  <c r="N91" i="3" s="1"/>
  <c r="Y87" i="3"/>
  <c r="Z87" i="3" s="1"/>
  <c r="W87" i="3"/>
  <c r="M87" i="3"/>
  <c r="N87" i="3" s="1"/>
  <c r="Y71" i="3"/>
  <c r="Z71" i="3" s="1"/>
  <c r="W71" i="3"/>
  <c r="M71" i="3"/>
  <c r="N71" i="3" s="1"/>
  <c r="Y32" i="3"/>
  <c r="Z32" i="3" s="1"/>
  <c r="W32" i="3"/>
  <c r="M32" i="3"/>
  <c r="N32" i="3" s="1"/>
  <c r="J2" i="3"/>
  <c r="H267" i="1" l="1"/>
  <c r="H325" i="1"/>
  <c r="H323" i="1"/>
  <c r="H322" i="1"/>
  <c r="H320" i="1"/>
  <c r="H318" i="1"/>
  <c r="H316" i="1"/>
  <c r="H304" i="1"/>
  <c r="H301" i="1"/>
  <c r="H297" i="1"/>
  <c r="H295" i="1"/>
  <c r="H294" i="1"/>
  <c r="H293" i="1"/>
  <c r="H292" i="1"/>
  <c r="H291" i="1"/>
  <c r="H287" i="1"/>
  <c r="H284" i="1"/>
  <c r="H282" i="1"/>
  <c r="H280" i="1"/>
  <c r="H279" i="1"/>
  <c r="H276" i="1"/>
  <c r="H275" i="1"/>
  <c r="H274" i="1"/>
  <c r="L274" i="1" s="1"/>
  <c r="H269" i="1"/>
  <c r="H268" i="1"/>
  <c r="H265" i="1"/>
  <c r="H261" i="1"/>
  <c r="H258" i="1"/>
  <c r="H257" i="1"/>
  <c r="H252" i="1"/>
  <c r="H251" i="1"/>
  <c r="H189" i="1"/>
  <c r="H188" i="1"/>
  <c r="H187" i="1"/>
  <c r="H186" i="1" s="1"/>
  <c r="H184" i="1"/>
  <c r="H179" i="1"/>
  <c r="H178" i="1"/>
  <c r="H177" i="1"/>
  <c r="H175" i="1"/>
  <c r="H174" i="1"/>
  <c r="H172" i="1"/>
  <c r="H168" i="1"/>
  <c r="H166" i="1"/>
  <c r="H165" i="1"/>
  <c r="H160" i="1"/>
  <c r="H156" i="1"/>
  <c r="H150" i="1"/>
  <c r="H146" i="1"/>
  <c r="H143" i="1"/>
  <c r="H142" i="1" s="1"/>
  <c r="H131" i="1"/>
  <c r="H128" i="1"/>
  <c r="H106" i="1"/>
  <c r="H105" i="1"/>
  <c r="H102" i="1"/>
  <c r="H54" i="1"/>
  <c r="H50" i="1"/>
  <c r="H48" i="1"/>
  <c r="H43" i="1"/>
  <c r="H36" i="1"/>
  <c r="H35" i="1"/>
  <c r="H33" i="1"/>
  <c r="H31" i="1"/>
  <c r="H30" i="1"/>
  <c r="L30" i="1" s="1"/>
  <c r="H29" i="1"/>
  <c r="H24" i="1"/>
  <c r="H22" i="1"/>
  <c r="H21" i="1"/>
  <c r="H15" i="1"/>
  <c r="L275" i="1"/>
  <c r="J286" i="1"/>
  <c r="J285" i="1"/>
  <c r="J284" i="1"/>
  <c r="L284" i="1" s="1"/>
  <c r="J283" i="1"/>
  <c r="J282" i="1"/>
  <c r="L282" i="1" s="1"/>
  <c r="J280" i="1"/>
  <c r="J279" i="1"/>
  <c r="L279" i="1" s="1"/>
  <c r="J278" i="1"/>
  <c r="J277" i="1"/>
  <c r="J276" i="1"/>
  <c r="J275" i="1"/>
  <c r="J274" i="1"/>
  <c r="J273" i="1"/>
  <c r="J272" i="1"/>
  <c r="J271" i="1"/>
  <c r="J269" i="1"/>
  <c r="L269" i="1" s="1"/>
  <c r="J268" i="1"/>
  <c r="L268" i="1" s="1"/>
  <c r="J160" i="1"/>
  <c r="J161" i="1"/>
  <c r="J162" i="1"/>
  <c r="J163" i="1"/>
  <c r="J164" i="1"/>
  <c r="J165" i="1"/>
  <c r="L165" i="1" s="1"/>
  <c r="J166" i="1"/>
  <c r="J167" i="1"/>
  <c r="J168" i="1"/>
  <c r="L168" i="1" s="1"/>
  <c r="J159" i="1"/>
  <c r="J157" i="1"/>
  <c r="J149" i="1"/>
  <c r="J150" i="1"/>
  <c r="J151" i="1"/>
  <c r="J152" i="1"/>
  <c r="J153" i="1"/>
  <c r="J154" i="1"/>
  <c r="J155" i="1"/>
  <c r="J156" i="1"/>
  <c r="J148" i="1"/>
  <c r="J146" i="1"/>
  <c r="L146" i="1" s="1"/>
  <c r="J145" i="1"/>
  <c r="J143" i="1"/>
  <c r="J29" i="1"/>
  <c r="L29" i="1" s="1"/>
  <c r="J30" i="1"/>
  <c r="J28" i="1"/>
  <c r="J18" i="1"/>
  <c r="J19" i="1"/>
  <c r="J20" i="1"/>
  <c r="J21" i="1"/>
  <c r="L21" i="1" s="1"/>
  <c r="J22" i="1"/>
  <c r="J23" i="1"/>
  <c r="J24" i="1"/>
  <c r="J25" i="1"/>
  <c r="J26" i="1"/>
  <c r="J17" i="1"/>
  <c r="J15" i="1"/>
  <c r="L15" i="1" s="1"/>
  <c r="J14" i="1"/>
  <c r="J12" i="1"/>
  <c r="J8" i="1"/>
  <c r="J9" i="1"/>
  <c r="L22" i="1"/>
  <c r="L150" i="1" l="1"/>
  <c r="L156" i="1"/>
  <c r="L24" i="1"/>
  <c r="L276" i="1"/>
  <c r="L12" i="1"/>
  <c r="L143" i="1"/>
  <c r="L166" i="1"/>
  <c r="L280" i="1"/>
  <c r="L160" i="1"/>
  <c r="J7" i="1"/>
  <c r="L7" i="1" s="1"/>
  <c r="H28" i="1"/>
  <c r="H12" i="1"/>
  <c r="H11" i="1"/>
  <c r="H7" i="1"/>
  <c r="L28" i="1" l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17" i="1"/>
  <c r="H319" i="1"/>
  <c r="H321" i="1"/>
  <c r="H315" i="1"/>
  <c r="H312" i="1"/>
  <c r="H313" i="1"/>
  <c r="H311" i="1"/>
  <c r="H302" i="1"/>
  <c r="H303" i="1"/>
  <c r="H305" i="1"/>
  <c r="H306" i="1"/>
  <c r="H307" i="1"/>
  <c r="H308" i="1"/>
  <c r="H309" i="1"/>
  <c r="H300" i="1"/>
  <c r="H296" i="1"/>
  <c r="H290" i="1"/>
  <c r="H289" i="1" s="1"/>
  <c r="H283" i="1"/>
  <c r="H285" i="1"/>
  <c r="L285" i="1" s="1"/>
  <c r="H286" i="1"/>
  <c r="L286" i="1" s="1"/>
  <c r="H288" i="1"/>
  <c r="H272" i="1"/>
  <c r="L272" i="1" s="1"/>
  <c r="H273" i="1"/>
  <c r="L273" i="1" s="1"/>
  <c r="H277" i="1"/>
  <c r="L277" i="1" s="1"/>
  <c r="H278" i="1"/>
  <c r="L278" i="1" s="1"/>
  <c r="H271" i="1"/>
  <c r="H264" i="1"/>
  <c r="H263" i="1"/>
  <c r="H259" i="1"/>
  <c r="H260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3" i="1"/>
  <c r="H254" i="1"/>
  <c r="H255" i="1"/>
  <c r="H238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17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192" i="1"/>
  <c r="H183" i="1"/>
  <c r="H185" i="1"/>
  <c r="H182" i="1"/>
  <c r="H176" i="1"/>
  <c r="H173" i="1" s="1"/>
  <c r="H180" i="1"/>
  <c r="H171" i="1"/>
  <c r="H170" i="1"/>
  <c r="H169" i="1" s="1"/>
  <c r="H161" i="1"/>
  <c r="L161" i="1" s="1"/>
  <c r="H162" i="1"/>
  <c r="L162" i="1" s="1"/>
  <c r="H163" i="1"/>
  <c r="L163" i="1" s="1"/>
  <c r="H164" i="1"/>
  <c r="L164" i="1" s="1"/>
  <c r="H167" i="1"/>
  <c r="L167" i="1" s="1"/>
  <c r="H159" i="1"/>
  <c r="H149" i="1"/>
  <c r="L149" i="1" s="1"/>
  <c r="H151" i="1"/>
  <c r="L151" i="1" s="1"/>
  <c r="H152" i="1"/>
  <c r="L152" i="1" s="1"/>
  <c r="H153" i="1"/>
  <c r="L153" i="1" s="1"/>
  <c r="H154" i="1"/>
  <c r="L154" i="1" s="1"/>
  <c r="H155" i="1"/>
  <c r="L155" i="1" s="1"/>
  <c r="H157" i="1"/>
  <c r="L157" i="1" s="1"/>
  <c r="H148" i="1"/>
  <c r="H145" i="1"/>
  <c r="H139" i="1"/>
  <c r="H140" i="1"/>
  <c r="H138" i="1"/>
  <c r="H132" i="1"/>
  <c r="H133" i="1"/>
  <c r="H134" i="1"/>
  <c r="H135" i="1"/>
  <c r="H136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9" i="1"/>
  <c r="H109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3" i="1"/>
  <c r="H104" i="1"/>
  <c r="H107" i="1"/>
  <c r="H87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61" i="1"/>
  <c r="H57" i="1"/>
  <c r="H58" i="1"/>
  <c r="H56" i="1"/>
  <c r="H55" i="1" s="1"/>
  <c r="H53" i="1"/>
  <c r="H52" i="1" s="1"/>
  <c r="H44" i="1"/>
  <c r="H45" i="1"/>
  <c r="H46" i="1"/>
  <c r="H47" i="1"/>
  <c r="H49" i="1"/>
  <c r="H51" i="1"/>
  <c r="H40" i="1"/>
  <c r="H41" i="1"/>
  <c r="H39" i="1"/>
  <c r="H32" i="1"/>
  <c r="H27" i="1" s="1"/>
  <c r="H34" i="1"/>
  <c r="H37" i="1"/>
  <c r="H18" i="1"/>
  <c r="L18" i="1" s="1"/>
  <c r="H19" i="1"/>
  <c r="L19" i="1" s="1"/>
  <c r="H20" i="1"/>
  <c r="L20" i="1" s="1"/>
  <c r="H23" i="1"/>
  <c r="L23" i="1" s="1"/>
  <c r="H25" i="1"/>
  <c r="L25" i="1" s="1"/>
  <c r="H26" i="1"/>
  <c r="L26" i="1" s="1"/>
  <c r="H17" i="1"/>
  <c r="H14" i="1"/>
  <c r="H8" i="1"/>
  <c r="L8" i="1" s="1"/>
  <c r="H9" i="1"/>
  <c r="L9" i="1" s="1"/>
  <c r="H281" i="1" l="1"/>
  <c r="L283" i="1"/>
  <c r="H144" i="1"/>
  <c r="L145" i="1"/>
  <c r="H191" i="1"/>
  <c r="H270" i="1"/>
  <c r="H266" i="1" s="1"/>
  <c r="L271" i="1"/>
  <c r="H13" i="1"/>
  <c r="L14" i="1"/>
  <c r="H60" i="1"/>
  <c r="H147" i="1"/>
  <c r="L148" i="1"/>
  <c r="H158" i="1"/>
  <c r="L159" i="1"/>
  <c r="H299" i="1"/>
  <c r="H310" i="1"/>
  <c r="H324" i="1"/>
  <c r="H181" i="1"/>
  <c r="H256" i="1"/>
  <c r="H216" i="1"/>
  <c r="H16" i="1"/>
  <c r="L17" i="1"/>
  <c r="H86" i="1"/>
  <c r="H237" i="1"/>
  <c r="H38" i="1"/>
  <c r="H42" i="1"/>
  <c r="H108" i="1"/>
  <c r="H130" i="1"/>
  <c r="H262" i="1"/>
  <c r="H314" i="1"/>
  <c r="I515" i="3"/>
  <c r="Y18" i="3"/>
  <c r="Z18" i="3" s="1"/>
  <c r="W18" i="3"/>
  <c r="M18" i="3"/>
  <c r="N18" i="3" s="1"/>
  <c r="Y16" i="3"/>
  <c r="Z16" i="3" s="1"/>
  <c r="W16" i="3"/>
  <c r="M16" i="3"/>
  <c r="N16" i="3" s="1"/>
  <c r="Y14" i="3"/>
  <c r="Z14" i="3" s="1"/>
  <c r="W14" i="3"/>
  <c r="M14" i="3"/>
  <c r="N14" i="3" s="1"/>
  <c r="Y11" i="3"/>
  <c r="Z11" i="3" s="1"/>
  <c r="W11" i="3"/>
  <c r="M11" i="3"/>
  <c r="N11" i="3" s="1"/>
  <c r="Y8" i="3"/>
  <c r="Z8" i="3" s="1"/>
  <c r="W8" i="3"/>
  <c r="S8" i="3"/>
  <c r="P8" i="3"/>
  <c r="Q8" i="3" s="1"/>
  <c r="M8" i="3"/>
  <c r="N8" i="3" s="1"/>
  <c r="H298" i="1" l="1"/>
  <c r="H190" i="1"/>
  <c r="H141" i="1"/>
  <c r="H59" i="1"/>
  <c r="T8" i="3"/>
  <c r="I521" i="3"/>
  <c r="O513" i="3"/>
  <c r="O514" i="3" s="1"/>
  <c r="I518" i="3" s="1"/>
  <c r="I514" i="3"/>
  <c r="I516" i="3" s="1"/>
  <c r="N3" i="3" l="1"/>
  <c r="T3" i="3"/>
  <c r="I519" i="3"/>
  <c r="Q3" i="3" l="1"/>
  <c r="Z3" i="3"/>
  <c r="H137" i="1" l="1"/>
  <c r="H10" i="1" s="1"/>
  <c r="H346" i="1" l="1"/>
  <c r="H6" i="1"/>
  <c r="L346" i="1" l="1"/>
  <c r="L3" i="1" l="1"/>
  <c r="J346" i="1"/>
</calcChain>
</file>

<file path=xl/sharedStrings.xml><?xml version="1.0" encoding="utf-8"?>
<sst xmlns="http://schemas.openxmlformats.org/spreadsheetml/2006/main" count="2414" uniqueCount="847">
  <si>
    <t>MEDIÇÕES</t>
  </si>
  <si>
    <t>ITEM</t>
  </si>
  <si>
    <t>CÓDIGO</t>
  </si>
  <si>
    <t>DESCRIÇÃO</t>
  </si>
  <si>
    <t>FONTE</t>
  </si>
  <si>
    <t>UND</t>
  </si>
  <si>
    <t>QUANTIDADE</t>
  </si>
  <si>
    <t>PREÇO
UNITÁRIO R$</t>
  </si>
  <si>
    <t>PREÇO
TOTAL R$</t>
  </si>
  <si>
    <t>AVANÇO PERCENTUAL NO PERÍODO</t>
  </si>
  <si>
    <t>QUANTIDADE MEDIDA NO PERÍODO</t>
  </si>
  <si>
    <t>VALOR MEDIDO NO PERÍODO</t>
  </si>
  <si>
    <t>SERVIÇOS PRELIMINARES</t>
  </si>
  <si>
    <t>MEDIÇÃO 01</t>
  </si>
  <si>
    <t>1.1</t>
  </si>
  <si>
    <t>1.2</t>
  </si>
  <si>
    <t>2.1</t>
  </si>
  <si>
    <t>2.2</t>
  </si>
  <si>
    <t>2.3</t>
  </si>
  <si>
    <t>3.1</t>
  </si>
  <si>
    <t>3.2</t>
  </si>
  <si>
    <t>COBERTURA</t>
  </si>
  <si>
    <t>4.1</t>
  </si>
  <si>
    <t>5.1</t>
  </si>
  <si>
    <t>6.1</t>
  </si>
  <si>
    <t>VALOR BDI TOTAL:</t>
  </si>
  <si>
    <t>VALOR ORÇAMENTO:</t>
  </si>
  <si>
    <t>VALOR TOTAL:</t>
  </si>
  <si>
    <t>TOTAL DA MEDIÇÃO 01</t>
  </si>
  <si>
    <t>MEDIÇÃO 02</t>
  </si>
  <si>
    <t>MEDIÇÃO 03</t>
  </si>
  <si>
    <t>MEDIÇÃO 04</t>
  </si>
  <si>
    <t>MEDIÇÃO 05</t>
  </si>
  <si>
    <t>MOVIMENTO DE TERRA</t>
  </si>
  <si>
    <t>5.2</t>
  </si>
  <si>
    <t>5.3</t>
  </si>
  <si>
    <t>6.2</t>
  </si>
  <si>
    <t>SINAPI</t>
  </si>
  <si>
    <t>M</t>
  </si>
  <si>
    <t>ESTRUTURA</t>
  </si>
  <si>
    <t>FUNDAÇÃO</t>
  </si>
  <si>
    <t>3.1.1</t>
  </si>
  <si>
    <t>KG</t>
  </si>
  <si>
    <t>3.2.1</t>
  </si>
  <si>
    <t>3.2.2</t>
  </si>
  <si>
    <t>REVESTIMENTO</t>
  </si>
  <si>
    <t>PISO</t>
  </si>
  <si>
    <t>HIDRÁULICA</t>
  </si>
  <si>
    <t>ESQUADRIAS</t>
  </si>
  <si>
    <t xml:space="preserve">TOTAL DA MEDIÇÃO 01 = </t>
  </si>
  <si>
    <t xml:space="preserve">TOTAL DA MEDIÇÃO 02 = </t>
  </si>
  <si>
    <t xml:space="preserve">TOTAL DA MEDIÇÃO 03 = </t>
  </si>
  <si>
    <t xml:space="preserve">TOTAL DA MEDIÇÃO 05 = </t>
  </si>
  <si>
    <t xml:space="preserve">GLOSA DA LAJE </t>
  </si>
  <si>
    <t xml:space="preserve">ADITIVO DA NOVA LAJE </t>
  </si>
  <si>
    <t>SALDO DE ADITIVO</t>
  </si>
  <si>
    <t>VALOR ORÇADO</t>
  </si>
  <si>
    <t xml:space="preserve">VALOR DO VENCEDOR </t>
  </si>
  <si>
    <t>%  DE DESCONTO OFERTADO</t>
  </si>
  <si>
    <t>ADITIVO DA NOVA LAJE JÁ COM DESCONTO</t>
  </si>
  <si>
    <t>TOTAL DO ADITIVO + GLOSA</t>
  </si>
  <si>
    <t>VALOR ORÇADO PELO ÓRGÃO</t>
  </si>
  <si>
    <t xml:space="preserve">DESCONTO DADO PELA EMPRESA VENCEDORA </t>
  </si>
  <si>
    <t>m²</t>
  </si>
  <si>
    <t>Próprio</t>
  </si>
  <si>
    <t>m³</t>
  </si>
  <si>
    <t>UN</t>
  </si>
  <si>
    <t xml:space="preserve">CALCULOS </t>
  </si>
  <si>
    <t xml:space="preserve">NÚMERO DA MEDIÇÃO:
1ª MEDIÇÃO.
</t>
  </si>
  <si>
    <t xml:space="preserve">BANCO DE DADOS:         
SINAPI - 04/2025 - Paraíba </t>
  </si>
  <si>
    <t>DATA DE INÍCIO DO CONTRATO: 09/03/2026.
VIGÊNCIA: 12 MESES</t>
  </si>
  <si>
    <t>CONTRATAÇÃO DE PESSOA JURÍDICA ESPECIALIZADA NA ARE DA CONSTRUÇÃO CIVIL, PARA CONSTRUÇÃO DA PRAÇA NOVA, NO MUNICÍPIO DE COREMAS/PB.</t>
  </si>
  <si>
    <t>DADOS DO CONTRATANTE:  Prefeitura Municipal de Coremas.
CNPJ: 08.939.936/0001-94
PROCESSO LICITATÓRIO: Processo Administrativo N° 250811CE00004 e Concorrência Eletrônica N°. 0004/2025
CONTRATO N°. 069/2026
VALOR DA OBRA/CONTRATO: 378.601,23 (Trezentos e setenta e oito mil, seiscentos e um reais e vinte e três centavos).</t>
  </si>
  <si>
    <t>DADOS DO CONTRATADO: LUCRENATO RAMALHO LEITE JUNIOR LTDA
CNPJ: 26.916.688/0001-48
ENDEREÇO: R MARIA ALEXANDRINA SOARES DE SOUSA, 166, ACAMPAMENTO DNOCS - COREMAS
(PB) - 58770-000</t>
  </si>
  <si>
    <t>FONTE DOS RECURSOS:  
Recursos não Vinculados de Impostos (500)</t>
  </si>
  <si>
    <t>1.3</t>
  </si>
  <si>
    <t>QUIOSQUE</t>
  </si>
  <si>
    <t>FORNECIMENTO E INSTALAÇÃO DE PLACA DE OBRA COM CHAPA GALVANIZADA E ESTRUTURA DE MADEIRA. AF_03/2022_PS</t>
  </si>
  <si>
    <t>LOCAÇÃO CONVENCIONAL DE OBRA, UTILIZANDO GABARITO DE TÁBUAS CORRIDAS PONTALETADAS A CADA 2,00M - 2 UTILIZAÇÕES. AF_03/2024</t>
  </si>
  <si>
    <t>LIMPEZA MECANIZADA DE CAMADA VEGETAL, VEGETAÇÃO E PEQUENAS ÁRVORES (DIÂMETRO DE TRONCO MENOR QUE 0,20 M), COM TRATOR
DE ESTEIRAS. AF_03/2024</t>
  </si>
  <si>
    <t>2.1.1</t>
  </si>
  <si>
    <t>2.2.1</t>
  </si>
  <si>
    <t>2.3.1</t>
  </si>
  <si>
    <t>2.3.2</t>
  </si>
  <si>
    <t>2.3.3</t>
  </si>
  <si>
    <t>2.3.4</t>
  </si>
  <si>
    <t>2.3.5</t>
  </si>
  <si>
    <t>2.3.6</t>
  </si>
  <si>
    <t>2.3.7</t>
  </si>
  <si>
    <t>2.3.8</t>
  </si>
  <si>
    <t>2.3.9</t>
  </si>
  <si>
    <t>2.3.10</t>
  </si>
  <si>
    <t>2.4</t>
  </si>
  <si>
    <t>ESTRUTRURA</t>
  </si>
  <si>
    <t>2.4.1</t>
  </si>
  <si>
    <t>2.4.2</t>
  </si>
  <si>
    <t>2.4.3</t>
  </si>
  <si>
    <t>2.4.4</t>
  </si>
  <si>
    <t>2.4.5</t>
  </si>
  <si>
    <t>2.4.6</t>
  </si>
  <si>
    <t>2.4.7</t>
  </si>
  <si>
    <t>2.4.8</t>
  </si>
  <si>
    <t>2.4.9</t>
  </si>
  <si>
    <t>2.4.10</t>
  </si>
  <si>
    <t>2.5</t>
  </si>
  <si>
    <t>PAREDES E PAINÉIS</t>
  </si>
  <si>
    <t>2.6</t>
  </si>
  <si>
    <t>2.5.1</t>
  </si>
  <si>
    <t>2.5.2</t>
  </si>
  <si>
    <t>2.5.3</t>
  </si>
  <si>
    <t>2.6.1</t>
  </si>
  <si>
    <t>2.6.2</t>
  </si>
  <si>
    <t>2.6.3</t>
  </si>
  <si>
    <t>2.6.4</t>
  </si>
  <si>
    <t>2.6.5</t>
  </si>
  <si>
    <t>2.6.6</t>
  </si>
  <si>
    <t>2.6.7</t>
  </si>
  <si>
    <t>2.6.8</t>
  </si>
  <si>
    <t>2.6.9</t>
  </si>
  <si>
    <t>2.7</t>
  </si>
  <si>
    <t>FORRO</t>
  </si>
  <si>
    <t>2.7.1</t>
  </si>
  <si>
    <t>2.7.2</t>
  </si>
  <si>
    <t>2.8</t>
  </si>
  <si>
    <t>2.9</t>
  </si>
  <si>
    <t>INSTALAÇÕES</t>
  </si>
  <si>
    <t>2.9.1</t>
  </si>
  <si>
    <t>2.9.1.1</t>
  </si>
  <si>
    <t>2.9.1.2</t>
  </si>
  <si>
    <t>2.9.1.3</t>
  </si>
  <si>
    <t>2.9.1.4</t>
  </si>
  <si>
    <t>2.9.1.5</t>
  </si>
  <si>
    <t>2.9.1.6</t>
  </si>
  <si>
    <t>2.9.1.7</t>
  </si>
  <si>
    <t>2.9.1.8</t>
  </si>
  <si>
    <t>2.9.1.9</t>
  </si>
  <si>
    <t>2.9.1.10</t>
  </si>
  <si>
    <t>2.9.1.11</t>
  </si>
  <si>
    <t>2.9.1.12</t>
  </si>
  <si>
    <t>2.9.1.13</t>
  </si>
  <si>
    <t>2.9.1.14</t>
  </si>
  <si>
    <t>2.9.1.15</t>
  </si>
  <si>
    <t>2.9.1.16</t>
  </si>
  <si>
    <t>2.9.1.17</t>
  </si>
  <si>
    <t>2.9.1.18</t>
  </si>
  <si>
    <t>2.9.1.19</t>
  </si>
  <si>
    <t>2.9.1.20</t>
  </si>
  <si>
    <t>2.9.1.21</t>
  </si>
  <si>
    <t>2.9.1.22</t>
  </si>
  <si>
    <t>2.9.1.23</t>
  </si>
  <si>
    <t>2.9.1.24</t>
  </si>
  <si>
    <t>2.9.1.25</t>
  </si>
  <si>
    <t>2.9.2</t>
  </si>
  <si>
    <t>ELÉTRICA</t>
  </si>
  <si>
    <t>2.9.2.1</t>
  </si>
  <si>
    <t>2.9.2.2</t>
  </si>
  <si>
    <t>2.9.2.3</t>
  </si>
  <si>
    <t>2.9.2.4</t>
  </si>
  <si>
    <t>2.9.2.5</t>
  </si>
  <si>
    <t>2.9.2.6</t>
  </si>
  <si>
    <t>2.9.2.7</t>
  </si>
  <si>
    <t>2.9.2.8</t>
  </si>
  <si>
    <t>2.9.2.9</t>
  </si>
  <si>
    <t>2.9.2.10</t>
  </si>
  <si>
    <t>2.9.2.11</t>
  </si>
  <si>
    <t>2.9.2.12</t>
  </si>
  <si>
    <t>2.9.2.13</t>
  </si>
  <si>
    <t>2.9.2.14</t>
  </si>
  <si>
    <t>2.9.2.15</t>
  </si>
  <si>
    <t>2.9.2.16</t>
  </si>
  <si>
    <t>2.9.2.17</t>
  </si>
  <si>
    <t>2.9.2.18</t>
  </si>
  <si>
    <t>2.9.2.19</t>
  </si>
  <si>
    <t>2.9.2.20</t>
  </si>
  <si>
    <t>2.9.2.21</t>
  </si>
  <si>
    <t>2.9.3</t>
  </si>
  <si>
    <t>SANITÁRIAS</t>
  </si>
  <si>
    <t>2.9.3.1</t>
  </si>
  <si>
    <t>2.9.3.2</t>
  </si>
  <si>
    <t>2.9.3.3</t>
  </si>
  <si>
    <t>2.9.3.4</t>
  </si>
  <si>
    <t>2.9.3.5</t>
  </si>
  <si>
    <t>2.9.3.6</t>
  </si>
  <si>
    <t>2.9.3.7</t>
  </si>
  <si>
    <t>2.9.3.8</t>
  </si>
  <si>
    <t>2.9.3.9</t>
  </si>
  <si>
    <t>2.9.3.10</t>
  </si>
  <si>
    <t>2.9.3.11</t>
  </si>
  <si>
    <t>2.9.3.12</t>
  </si>
  <si>
    <t>2.9.3.13</t>
  </si>
  <si>
    <t>2.9.3.14</t>
  </si>
  <si>
    <t>2.9.3.15</t>
  </si>
  <si>
    <t>2.9.3.16</t>
  </si>
  <si>
    <t>2.9.3.17</t>
  </si>
  <si>
    <t>2.9.3.18</t>
  </si>
  <si>
    <t>2.9.3.19</t>
  </si>
  <si>
    <t>2.9.3.20</t>
  </si>
  <si>
    <t>2.9.3.21</t>
  </si>
  <si>
    <t>2.10</t>
  </si>
  <si>
    <t>2.10.1</t>
  </si>
  <si>
    <t>2.10.2</t>
  </si>
  <si>
    <t>2.10.3</t>
  </si>
  <si>
    <t>2.10.4</t>
  </si>
  <si>
    <t>2.10.5</t>
  </si>
  <si>
    <t>2.10.6</t>
  </si>
  <si>
    <t>2.11</t>
  </si>
  <si>
    <t>2.11.1</t>
  </si>
  <si>
    <t>2.11.2</t>
  </si>
  <si>
    <t>2.11.3</t>
  </si>
  <si>
    <t>GUARITA</t>
  </si>
  <si>
    <t>3.3</t>
  </si>
  <si>
    <t>3.3.1</t>
  </si>
  <si>
    <t>3.3.2</t>
  </si>
  <si>
    <t>3.3.3</t>
  </si>
  <si>
    <t>3.3.4</t>
  </si>
  <si>
    <t>3.3.5</t>
  </si>
  <si>
    <t>3.3.6</t>
  </si>
  <si>
    <t>3.3.7</t>
  </si>
  <si>
    <t>3.3.8</t>
  </si>
  <si>
    <t>3.3.9</t>
  </si>
  <si>
    <t>3.3.10</t>
  </si>
  <si>
    <t>3.4</t>
  </si>
  <si>
    <t>3.4.1</t>
  </si>
  <si>
    <t>3.4.2</t>
  </si>
  <si>
    <t>3.4.3</t>
  </si>
  <si>
    <t>3.4.4</t>
  </si>
  <si>
    <t>3.4.5</t>
  </si>
  <si>
    <t>3.4.6</t>
  </si>
  <si>
    <t>3.4.7</t>
  </si>
  <si>
    <t>3.4.8</t>
  </si>
  <si>
    <t>3.4.9</t>
  </si>
  <si>
    <t>3.4.10</t>
  </si>
  <si>
    <t>3.5</t>
  </si>
  <si>
    <t>3.5.1</t>
  </si>
  <si>
    <t>3.5.2</t>
  </si>
  <si>
    <t>3.5.3</t>
  </si>
  <si>
    <t>3.6</t>
  </si>
  <si>
    <t>3.6.1</t>
  </si>
  <si>
    <t>3.6.2</t>
  </si>
  <si>
    <t>3.6.3</t>
  </si>
  <si>
    <t>3.6.4</t>
  </si>
  <si>
    <t>3.6.5</t>
  </si>
  <si>
    <t>3.6.6</t>
  </si>
  <si>
    <t>3.6.7</t>
  </si>
  <si>
    <t>3.7</t>
  </si>
  <si>
    <t>PINTURA INTERNA</t>
  </si>
  <si>
    <t>3.7.1</t>
  </si>
  <si>
    <t>3.7.2</t>
  </si>
  <si>
    <t>3.7.3</t>
  </si>
  <si>
    <t>3.7.4</t>
  </si>
  <si>
    <t>3.8</t>
  </si>
  <si>
    <t>3.8.1</t>
  </si>
  <si>
    <t>3.8.2</t>
  </si>
  <si>
    <t>3.8.3</t>
  </si>
  <si>
    <t>3.9</t>
  </si>
  <si>
    <t>3.9.1</t>
  </si>
  <si>
    <t>3.9.1.1</t>
  </si>
  <si>
    <t>3.9.1.2</t>
  </si>
  <si>
    <t>3.9.1.3</t>
  </si>
  <si>
    <t>3.9.1.4</t>
  </si>
  <si>
    <t>3.9.1.5</t>
  </si>
  <si>
    <t>3.9.1.6</t>
  </si>
  <si>
    <t>3.9.1.7</t>
  </si>
  <si>
    <t>3.9.1.8</t>
  </si>
  <si>
    <t>3.9.1.9</t>
  </si>
  <si>
    <t>3.9.1.10</t>
  </si>
  <si>
    <t>3.9.1.11</t>
  </si>
  <si>
    <t>3.9.1.12</t>
  </si>
  <si>
    <t>3.9.1.13</t>
  </si>
  <si>
    <t>3.9.1.14</t>
  </si>
  <si>
    <t>3.9.1.15</t>
  </si>
  <si>
    <t>3.9.1.16</t>
  </si>
  <si>
    <t>3.9.1.17</t>
  </si>
  <si>
    <t>3.9.1.18</t>
  </si>
  <si>
    <t>3.9.1.19</t>
  </si>
  <si>
    <t>3.9.1.20</t>
  </si>
  <si>
    <t>3.9.1.21</t>
  </si>
  <si>
    <t>3.9.1.22</t>
  </si>
  <si>
    <t>3.9.1.23</t>
  </si>
  <si>
    <t>3.9.1.24</t>
  </si>
  <si>
    <t>3.9.2</t>
  </si>
  <si>
    <t>ELÉTRICO</t>
  </si>
  <si>
    <t>3.9.2.1</t>
  </si>
  <si>
    <t>3.9.2.2</t>
  </si>
  <si>
    <t>3.9.2.3</t>
  </si>
  <si>
    <t>3.9.2.4</t>
  </si>
  <si>
    <t>3.9.2.5</t>
  </si>
  <si>
    <t>3.9.2.6</t>
  </si>
  <si>
    <t>3.9.2.7</t>
  </si>
  <si>
    <t>3.9.2.8</t>
  </si>
  <si>
    <t>3.9.2.9</t>
  </si>
  <si>
    <t>3.9.2.10</t>
  </si>
  <si>
    <t>3.9.2.11</t>
  </si>
  <si>
    <t>3.9.2.12</t>
  </si>
  <si>
    <t>3.9.2.13</t>
  </si>
  <si>
    <t>3.9.2.14</t>
  </si>
  <si>
    <t>3.9.2.15</t>
  </si>
  <si>
    <t>3.9.2.16</t>
  </si>
  <si>
    <t>3.9.2.17</t>
  </si>
  <si>
    <t>3.9.2.18</t>
  </si>
  <si>
    <t>3.9.2.19</t>
  </si>
  <si>
    <t>3.9.2.20</t>
  </si>
  <si>
    <t>3.9.3</t>
  </si>
  <si>
    <t>SANITÁRIO</t>
  </si>
  <si>
    <t>3.9.3.1</t>
  </si>
  <si>
    <t>3.9.3.2</t>
  </si>
  <si>
    <t>3.9.3.3</t>
  </si>
  <si>
    <t>3.9.3.4</t>
  </si>
  <si>
    <t>3.9.3.5</t>
  </si>
  <si>
    <t>3.9.3.6</t>
  </si>
  <si>
    <t>3.9.3.7</t>
  </si>
  <si>
    <t>3.9.3.8</t>
  </si>
  <si>
    <t>3.9.3.9</t>
  </si>
  <si>
    <t>3.9.3.10</t>
  </si>
  <si>
    <t>3.9.3.11</t>
  </si>
  <si>
    <t>3.9.3.12</t>
  </si>
  <si>
    <t>3.9.3.13</t>
  </si>
  <si>
    <t>3.9.3.14</t>
  </si>
  <si>
    <t>3.9.3.15</t>
  </si>
  <si>
    <t>3.9.3.16</t>
  </si>
  <si>
    <t>3.9.3.17</t>
  </si>
  <si>
    <t>3.9.3.18</t>
  </si>
  <si>
    <t>3.10</t>
  </si>
  <si>
    <t>3.10.1</t>
  </si>
  <si>
    <t>3.10.2</t>
  </si>
  <si>
    <t>3.10.3</t>
  </si>
  <si>
    <t>3.10.4</t>
  </si>
  <si>
    <t>3.10.5</t>
  </si>
  <si>
    <t>3.11</t>
  </si>
  <si>
    <t>3.11.1</t>
  </si>
  <si>
    <t>3.11.2</t>
  </si>
  <si>
    <t>3.11.3</t>
  </si>
  <si>
    <t>MURO</t>
  </si>
  <si>
    <t>4.2</t>
  </si>
  <si>
    <t>4.3</t>
  </si>
  <si>
    <t>4.1.1</t>
  </si>
  <si>
    <t>4.1.2</t>
  </si>
  <si>
    <t>4.2.1</t>
  </si>
  <si>
    <t>4.2.2</t>
  </si>
  <si>
    <t>4.2.3</t>
  </si>
  <si>
    <t>4.2.4</t>
  </si>
  <si>
    <t>4.2.5</t>
  </si>
  <si>
    <t>4.2.6</t>
  </si>
  <si>
    <t>4.2.7</t>
  </si>
  <si>
    <t>4.2.8</t>
  </si>
  <si>
    <t>4.2.9</t>
  </si>
  <si>
    <t>4.2.10</t>
  </si>
  <si>
    <t>SUPERESTRUTURA-MURO</t>
  </si>
  <si>
    <t>4.3.1</t>
  </si>
  <si>
    <t>4.3.2</t>
  </si>
  <si>
    <t>4.3.3</t>
  </si>
  <si>
    <t>4.3.4</t>
  </si>
  <si>
    <t>4.3.5</t>
  </si>
  <si>
    <t>4.3.6</t>
  </si>
  <si>
    <t>4.3.7</t>
  </si>
  <si>
    <t>4.4</t>
  </si>
  <si>
    <t>REVESTIMENTO- MURO</t>
  </si>
  <si>
    <t>4.4.1</t>
  </si>
  <si>
    <t>4.4.2</t>
  </si>
  <si>
    <t>4.4.3</t>
  </si>
  <si>
    <t>4.4.4</t>
  </si>
  <si>
    <t>4.4.5</t>
  </si>
  <si>
    <t>4.4.6</t>
  </si>
  <si>
    <t>4.4.7</t>
  </si>
  <si>
    <t>4.4.8</t>
  </si>
  <si>
    <t>URBANIZAÇÃO</t>
  </si>
  <si>
    <t>PAVIMENTAÇÃO</t>
  </si>
  <si>
    <t>5.1.1</t>
  </si>
  <si>
    <t>5.1.2</t>
  </si>
  <si>
    <t>5.1.3</t>
  </si>
  <si>
    <t>5.1.4</t>
  </si>
  <si>
    <t>5.1.5</t>
  </si>
  <si>
    <t>5.1.6</t>
  </si>
  <si>
    <t>5.1.7</t>
  </si>
  <si>
    <t>5.1.8</t>
  </si>
  <si>
    <t>5.1.9</t>
  </si>
  <si>
    <t>5.1.10</t>
  </si>
  <si>
    <t>PAISAGISMO</t>
  </si>
  <si>
    <t>5.2.1</t>
  </si>
  <si>
    <t>5.2.2</t>
  </si>
  <si>
    <t>5.2.3</t>
  </si>
  <si>
    <t>BANCOS</t>
  </si>
  <si>
    <t>5.3.1</t>
  </si>
  <si>
    <t>5.3.2</t>
  </si>
  <si>
    <t>5.3.3</t>
  </si>
  <si>
    <t>5.3.4</t>
  </si>
  <si>
    <t>5.3.5</t>
  </si>
  <si>
    <t>5.3.6</t>
  </si>
  <si>
    <t>5.3.7</t>
  </si>
  <si>
    <t>5.3.8</t>
  </si>
  <si>
    <t>5.3.9</t>
  </si>
  <si>
    <t>ILUMINAÇÃO PÚBLICA</t>
  </si>
  <si>
    <t>6.3</t>
  </si>
  <si>
    <t>6.4</t>
  </si>
  <si>
    <t>6.5</t>
  </si>
  <si>
    <t>6.6</t>
  </si>
  <si>
    <t>6.7</t>
  </si>
  <si>
    <t>6.8</t>
  </si>
  <si>
    <t>6.9</t>
  </si>
  <si>
    <t>6.10</t>
  </si>
  <si>
    <t>6.11</t>
  </si>
  <si>
    <t>6.12</t>
  </si>
  <si>
    <t>6.13</t>
  </si>
  <si>
    <t>6.14</t>
  </si>
  <si>
    <t>6.15</t>
  </si>
  <si>
    <t>6.16</t>
  </si>
  <si>
    <t>6.17</t>
  </si>
  <si>
    <t>6.18</t>
  </si>
  <si>
    <t>6.19</t>
  </si>
  <si>
    <t>compo</t>
  </si>
  <si>
    <t>ESCAVAÇÃO MANUAL DE VALA. AF_09/2024</t>
  </si>
  <si>
    <t>REATERRO MANUAL DE VALAS, COM PLACA VIBRATÓRIA. AF_08/2023</t>
  </si>
  <si>
    <t>LASTRO DE CONCRETO MAGRO, APLICADO EM BLOCOS DE COROAMENTO OU SAPATAS, ESPESSURA DE 5 CM. AF_01/2024</t>
  </si>
  <si>
    <t>PREPARO DE FUNDO DE VALA COM LARGURA MENOR QUE 1,5 M
(ACERTO DO SOLO NATURAL). AF_08/2020</t>
  </si>
  <si>
    <t>CONCRETO FCK = 25MPA, TRAÇO 1:2,3:2,7 (EM MASSA SECA DE CIMENTO/ AREIA MÉDIA/ BRITA 1) - PREPARO MECÂNICO COM
BETONEIRA 600 L. AF_05/2021</t>
  </si>
  <si>
    <t>LANÇAMENTO COM USO DE BALDES, ADENSAMENTO E ACABAMENTO DE
CONCRETO EM ESTRUTURAS. AF_02/2022</t>
  </si>
  <si>
    <t>FABRICAÇÃO, MONTAGEM E DESMONTAGEM DE FÔRMA PARA SAPATA CORRIDA, EM MADEIRA SERRADA, E=25 MM, 4 UTILIZAÇÕES. AF_01/2024</t>
  </si>
  <si>
    <t>FABRICAÇÃO, MONTAGEM E DESMONTAGEM DE FÔRMA PARA VIGA BALDRAME, EM CHAPA DE MADEIRA COMPENSADA RESINADA, E=17 MM,
4 UTILIZAÇÕES. AF_01/2024</t>
  </si>
  <si>
    <t>ARMAÇÃO DE SAPATA ISOLADA, VIGA BALDRAME E SAPATA CORRIDA UTILIZANDO AÇO CA-50 DE 6,3 MM - MONTAGEM. AF_01/2024</t>
  </si>
  <si>
    <t>ARMAÇÃO DE SAPATA ISOLADA, VIGA BALDRAME E SAPATA CORRIDA UTILIZANDO AÇO CA-60 DE 5 MM - MONTAGEM. AF_01/2024</t>
  </si>
  <si>
    <t>ARMAÇÃO DE SAPATA ISOLADA, VIGA BALDRAME E SAPATA CORRIDA UTILIZANDO AÇO CA-50 DE 8 MM - MONTAGEM. AF_01/2024</t>
  </si>
  <si>
    <t>IMPERMEABILIZAÇÃO DE SUPERFÍCIE COM EMULSÃO ASFÁLTICA, 2
DEMÃOS. AF_09/2023</t>
  </si>
  <si>
    <t>MONTAGEM E DESMONTAGEM DE FÔRMA DE PILARES RETANGULARES E ESTRUTURAS SIMILARES, PÉ-DIREITO DUPLO, EM CHAPA DE MADEIRA COMPENSADA RESINADA, 8 UTILIZAÇÕES. AF_09/2020</t>
  </si>
  <si>
    <t>MONTAGEM E DESMONTAGEM DE FÔRMA DE VIGA, ESCORAMENTO METÁLICO, PÉ-DIREITO SIMPLES, EM CHAPA DE MADEIRA PLASTIFICADA,
14 UTILIZAÇÕES. AF_09/2020</t>
  </si>
  <si>
    <t>MONTAGEM E DESMONTAGEM DE FÔRMA DE LAJE MACIÇA, PÉ-DIREITO SIMPLES, EM MADEIRA SERRADA, 4 UTILIZAÇÕES. AF_09/2020</t>
  </si>
  <si>
    <t>ARMAÇÃO DE PILAR OU VIGA DE ESTRUTURA CONVENCIONAL DE
CONCRETO ARMADO UTILIZANDO AÇO CA-60 DE 5,0 MM - MONTAGEM. AF_06/2022</t>
  </si>
  <si>
    <t>ARMAÇÃO DE PILAR OU VIGA DE ESTRUTURA DE CONCRETO ARMADO EMBUTIDA EM ALVENARIA DE VEDAÇÃO UTILIZANDO AÇO CA-50 DE 10,0
MM - MONTAGEM. AF_06/2022</t>
  </si>
  <si>
    <t>ARMAÇÃO DE PILAR OU VIGA DE ESTRUTURA CONVENCIONAL DE
CONCRETO ARMADO UTILIZANDO AÇO CA-50 DE 8,0 MM - MONTAGEM. AF_06/2022</t>
  </si>
  <si>
    <t>CONCRETO FCK = 25MPA, TRAÇO 1:2,3:2,7 (EM MASSA SECA DE
CIMENTO/ AREIA MÉDIA/ BRITA 1) - PREPARO MECÂNICO COM BETONEIRA 600 L. AF_05/2021</t>
  </si>
  <si>
    <t>ARMAÇÃO DE LAJE DE ESTRUTURA CONVENCIONAL DE CONCRETO ARMADO UTILIZANDO AÇO CA-60 DE 5,0 MM - MONTAGEM. AF_06/2022</t>
  </si>
  <si>
    <t>ARMAÇÃO DE LAJE DE ESTRUTURA CONVENCIONAL DE CONCRETO ARMADO UTILIZANDO AÇO CA-50 DE 6,3 MM - MONTAGEM. AF_06/2022</t>
  </si>
  <si>
    <t>ALVENARIA DE VEDAÇÃO DE BLOCOS CERÂMICOS FURADOS NA HORIZONTAL DE 9X19X29 CM (ESPESSURA 9 CM) E ARGAMASSA DE ASSENTAMENTO COM PREPARO EM BETONEIRA. AF_12/2021</t>
  </si>
  <si>
    <t>VERGA MOLDADA IN LOCO EM CONCRETO, ESPESSURA DE *15* CM.
AF_03/2024</t>
  </si>
  <si>
    <t>CONTRAVERGA MOLDADA IN LOCO EM CONCRETO, ESPESSURA DE *15*
CM. AF_03/2024</t>
  </si>
  <si>
    <t>CHAPISCO APLICADO EM ALVENARIAS E ESTRUTURAS DE CONCRETO INTERNAS, COM COLHER DE PEDREIRO. ARGAMASSA TRAÇO 1:3 COM
PREPARO MANUAL. AF_10/2022</t>
  </si>
  <si>
    <t>EMBOÇO, EM ARGAMASSA TRAÇO 1:2:8, PREPARO MECÂNICO, APLICADO MANUALMENTE EM PAREDES INTERNAS, PARA AMBIENTES COM ÁREA MENOR QUE 5M², E = 10MM, COM TALISCAS. AF_03/2024</t>
  </si>
  <si>
    <t>MASSA ÚNICA, EM ARGAMASSA TRAÇO 1:2:8, PREPARO MECÂNICO, APLICADA MANUALMENTE EM PAREDES INTERNAS DE AMBIENTES COM ÁREA ENTRE 5M² E 10M², E = 17,5MM, COM TALISCAS. AF_03/2024</t>
  </si>
  <si>
    <t>REVESTIMENTO CERÂMICO BRILHANTE RIVIERA 67X67CM  RETIFICADO- FORNECIMENTO E INSTALAÇÃO (ADAPTADO SINAPI  87256)</t>
  </si>
  <si>
    <t>CHAPISCO APLICADO EM ALVENARIA (COM PRESENÇA DE VÃOS) E ESTRUTURAS DE CONCRETO DE FACHADA, COM EQUIPAMENTO DE PROJEÇÃO. ARGAMASSA TRAÇO 1:3 COM PREPARO EM BETONEIRA 400
L. AF_10/2022</t>
  </si>
  <si>
    <t>EMBOÇO OU MASSA ÚNICA EM ARGAMASSA TRAÇO 1:2:8, PREPARO MANUAL, APLICADA MANUALMENTE EM PANOS DE FACHADA COM PRESENÇA DE VÃOS, ESPESSURA DE 25 MM, ACESSO POR ANDAIME.
AF_08/2022</t>
  </si>
  <si>
    <t>REVESTIMENTO CERÂMICO IVY MADEIRA MRE 67X67CM TIPO A - FORNECIMENTO E  INSTALAÇÃO (ADAPTADO SINAPI 87256)</t>
  </si>
  <si>
    <t>IMPERMEABILIZAÇÃO DE SUPERFÍCIE COM ARGAMASSA POLIMÉRICA /
MEMBRANA ACRÍLICA, 3 DEMÃOS. AF_09/2023</t>
  </si>
  <si>
    <t>FORRO EM RÉGUAS DE PVC, LISO, PARA AMBIENTES COMERCIAIS, INCLUSIVE ESTRUTURA BIDIRECIONAL DE FIXAÇÃO. AF_08/2023_PS</t>
  </si>
  <si>
    <t>ACABAMENTOS PARA FORRO (RODA-FORRO EM PERFIL METÁLICO E
PLÁSTICO). AF_08/2023</t>
  </si>
  <si>
    <t>LASTRO DE CONCRETO MAGRO, APLICADO EM PISOS, LAJES SOBRE SOLO OU RADIERS, ESPESSURA DE 5 CM. AF_01/2024</t>
  </si>
  <si>
    <t>CONTRAPISO EM ARGAMASSA TRAÇO 1:4 (CIMENTO E AREIA), PREPARO MANUAL, APLICADO EM ÁREAS SECAS SOBRE LAJE, ADERIDO, ACABAMENTO NÃO REFORÇADO, ESPESSURA 2CM. AF_07/2021</t>
  </si>
  <si>
    <t>CAIXA D´ÁGUA EM POLIETILENO, 1000 LITROS - FORNECIMENTO E
INSTALAÇÃO. AF_06/2021</t>
  </si>
  <si>
    <t>TORNEIRA DE BOIA PARA CAIXA D'ÁGUA, ROSCÁVEL, 1/2" -
FORNECIMENTO E INSTALAÇÃO. AF_08/2021</t>
  </si>
  <si>
    <t>VASO SANITÁRIO SIFONADO COM CAIXA ACOPLADA LOUÇA BRANCA -
FORNECIMENTO E INSTALAÇÃO. AF_01/2020</t>
  </si>
  <si>
    <t>DUCHA HIGIENICA PLASTICA COM REGISTRO METALICO 1/2"</t>
  </si>
  <si>
    <t>LAVATORIO / CUBA DE SOBREPOR, RETANGULAR, DE LOUCA BRANCA, COM LADRAO, DIMENSOES *52 X 45* CM (L X C)</t>
  </si>
  <si>
    <t>SIFAO EM METAL CROMADO PARA PIA OU LAVATORIO, 1 X 1.1/2"</t>
  </si>
  <si>
    <t>ENGATE FLEXÍVEL EM INOX, 1/2 X 30CM - FORNECIMENTO E
INSTALAÇÃO. AF_01/2020</t>
  </si>
  <si>
    <t>CUBA DE EMBUTIR DE AÇO INOXIDÁVEL MÉDIA, INCLUSO VÁLVULA TIPO AMERICANA E SIFÃO TIPO GARRAFA EM METAL CROMADO -
FORNECIMENTO E INSTALAÇÃO. AF_01/2020</t>
  </si>
  <si>
    <t>TORNEIRA CROMADA LONGA, DE PAREDE, 1/2" OU 3/4", PARA PIA DE COZINHA, PADRÃO POPULAR - FORNECIMENTO E INSTALAÇÃO.
AF_01/2020</t>
  </si>
  <si>
    <t>TORNEIRA METALICA CROMADA, RETA, DE PAREDE, PARA COZINHA, COM AREJADOR, PADRAO POPULAR, 1/2" OU 3/4"</t>
  </si>
  <si>
    <t>REGISTRO DE GAVETA BRUTO, LATÃO, ROSCÁVEL, 3/4", COM ACABAMENTO E CANOPLA CROMADOS - FORNECIMENTO E INSTALAÇÃO.
AF_08/2021</t>
  </si>
  <si>
    <t>REGISTRO DE ESFERA, PVC, SOLDÁVEL, COM VOLANTE, DN 50 MM -
FORNECIMENTO E INSTALAÇÃO. AF_08/2021</t>
  </si>
  <si>
    <t>REGISTRO DE ESFERA, PVC, SOLDÁVEL, COM VOLANTE, DN 25 MM -
FORNECIMENTO E INSTALAÇÃO. AF_08/2021</t>
  </si>
  <si>
    <t>ADAPTADOR CURTO COM BOLSA E ROSCA PARA REGISTRO, PVC, SOLDÁVEL, DN 25 MM X 3/4", INSTALADO EM RESERVAÇÃO PREDIAL DE ÁGUA - FORNECIMENTO E INSTALAÇÃO. AF_04/2024</t>
  </si>
  <si>
    <t>BUCHA DE REDUÇÃO, LONGA, PVC, SOLDÁVEL, DN 50 X 25 MM,
INSTALADO EM PRUMADA DE ÁGUA - FORNECIMENTO E INSTALAÇÃO. AF_06/2022</t>
  </si>
  <si>
    <t>CURVA 90 GRAUS, PVC, SOLDÁVEL, DN 25MM, INSTALADO EM RAMAL OU SUB-RAMAL DE ÁGUA - FORNECIMENTO E INSTALAÇÃO. AF_06/2022</t>
  </si>
  <si>
    <t>CURVA 90 GRAUS, PVC, SOLDÁVEL, DN 50MM, INSTALADO EM RAMAL DE DISTRIBUIÇÃO DE ÁGUA - FORNECIMENTO E INSTALAÇÃO. AF_06/2022</t>
  </si>
  <si>
    <t>JOELHO 45 GRAUS, PVC, SOLDÁVEL, DN 25MM, INSTALADO EM RAMAL OU SUB-RAMAL DE ÁGUA - FORNECIMENTO E INSTALAÇÃO. AF_06/2022</t>
  </si>
  <si>
    <t>JOELHO 90 GRAUS, PVC, SOLDÁVEL, DN 25MM, INSTALADO EM RAMAL DE DISTRIBUIÇÃO DE ÁGUA - FORNECIMENTO E INSTALAÇÃO.
AF_06/2022</t>
  </si>
  <si>
    <t>JOELHO 90 GRAUS, PVC, SERIE NORMAL, ESGOTO PREDIAL, DN 50 MM, JUNTA ELÁSTICA, FORNECIDO E INSTALADO EM RAMAL DE DESCARGA OU RAMAL DE ESGOTO SANITÁRIO. AF_08/2022</t>
  </si>
  <si>
    <t>TE DE REDUÇÃO, PVC, SOLDÁVEL, 90 GRAUS, DN 50 MM X 25 MM,
INSTALADO EM RESERVAÇÃO PREDIAL DE ÁGUA - FORNECIMENTO E INSTALAÇÃO. AF_04/2024</t>
  </si>
  <si>
    <t>TE, PVC, SOLDÁVEL, DN 25MM, INSTALADO EM PRUMADA DE ÁGUA -
FORNECIMENTO E INSTALAÇÃO. AF_06/2022</t>
  </si>
  <si>
    <t>TÊ, PVC, SOLDÁVEL, DN 50 MM INSTALADO EM RESERVAÇÃO PREDIAL DE ÁGUA - FORNECIMENTO E INSTALAÇÃO. AF_04/2024</t>
  </si>
  <si>
    <t>TUBO, PVC, SOLDÁVEL, DE 25MM, INSTALADO EM PRUMADA DE ÁGUA -
FORNECIMENTO E INSTALAÇÃO. AF_06/2022</t>
  </si>
  <si>
    <t>TUBO, PVC, SOLDÁVEL, DE 50MM, INSTALADO EM PRUMADA DE ÁGUA -
FORNECIMENTO E INSTALAÇÃO. AF_06/2022</t>
  </si>
  <si>
    <t>CURVA 90 GRAUS PARA ELETRODUTO, PVC, ROSCÁVEL, DN 25 MM (3/4"),
PARA CIRCUITOS TERMINAIS, INSTALADA EM PAREDE - FORNECIMENTO E INSTALAÇÃO. AF_03/2023</t>
  </si>
  <si>
    <t>LUVA PARA ELETRODUTO, PVC, ROSCÁVEL, DN 25 MM (3/4"), PARA CIRCUITOS TERMINAIS, INSTALADA EM PAREDE - FORNECIMENTO E
INSTALAÇÃO. AF_03/2023</t>
  </si>
  <si>
    <t>DISPOSITIVO DPS CLASSE II, 1 POLO, TENSAO MAXIMA DE 275 V,
CORRENTE MAXIMA DE *30* KA (TIPO AC)</t>
  </si>
  <si>
    <t>IDR INTERRUPTOR DIFERENCIAL RESIDUAL BIPOLAR IN=40A, 30mA
(ADAPTADO ORSE  13782)</t>
  </si>
  <si>
    <t>DISJUNTOR MONOPOLAR TIPO DIN, CORRENTE NOMINAL DE 10A -
FORNECIMENTO E INSTALAÇÃO. AF_10/2020</t>
  </si>
  <si>
    <t>DISJUNTOR MONOPOLAR TIPO DIN, CORRENTE NOMINAL DE 16A -
FORNECIMENTO E INSTALAÇÃO. AF_10/2020</t>
  </si>
  <si>
    <t>DISJUNTOR MONOPOLAR TIPO DIN, CORRENTE NOMINAL DE 32A -
FORNECIMENTO E INSTALAÇÃO. AF_10/2020</t>
  </si>
  <si>
    <t>INTERRUPTOR SIMPLES (1 MÓDULO), 10A/250V, INCLUINDO SUPORTE E PLACA - FORNECIMENTO E INSTALAÇÃO. AF_03/2023</t>
  </si>
  <si>
    <t>INTERRUPTOR SIMPLES (3 MÓDULOS), 10A/250V, INCLUINDO SUPORTE E PLACA - FORNECIMENTO E INSTALAÇÃO. AF_03/2023</t>
  </si>
  <si>
    <t>CAIXA ENTERRADA ELÉTRICA RETANGULAR, EM ALVENARIA COM TIJOLOS CERÂMICOS MACIÇOS, FUNDO COM BRITA, DIMENSÕES
INTERNAS: 0,3X0,3X0,3 M. AF_12/2020</t>
  </si>
  <si>
    <t>HASTE DE ATERRAMENTO, DIÂMETRO 5/8", COM 3 METROS -
FORNECIMENTO E INSTALAÇÃO. AF_08/2023</t>
  </si>
  <si>
    <t>CONECTOR TIPO CUNHA- FORNECIMENTO E INSTALAÇÃO (ADAPTADO
SINAPI 101551)</t>
  </si>
  <si>
    <t>TOMADA BAIXA DE EMBUTIR (1 MÓDULO), 2P+T 10 A, SEM SUPORTE E SEM PLACA - FORNECIMENTO E INSTALAÇÃO. AF_03/2023</t>
  </si>
  <si>
    <t>TOMADA MÉDIA DE EMBUTIR (2 MÓDULOS), 2P+T 10 A, INCLUINDO SUPORTE E PLACA - FORNECIMENTO E INSTALAÇÃO. AF_03/2023</t>
  </si>
  <si>
    <t>CABO DE COBRE FLEXÍVEL ISOLADO, 6 MM², ANTI-CHAMA 0,6/1,0 KV, PARA CIRCUITOS TERMINAIS - FORNECIMENTO E INSTALAÇÃO.
AF_03/2023</t>
  </si>
  <si>
    <t>CABO DE COBRE FLEXÍVEL ISOLADO, 1,5 MM², ANTI-CHAMA 450/750 V, PARA CIRCUITOS TERMINAIS - FORNECIMENTO E INSTALAÇÃO.
AF_03/2023</t>
  </si>
  <si>
    <t>CABO DE COBRE FLEXÍVEL ISOLADO, 2,5 MM², ANTI-CHAMA 450/750 V, PARA CIRCUITOS TERMINAIS - FORNECIMENTO E INSTALAÇÃO.
AF_03/2023</t>
  </si>
  <si>
    <t>ELETRODUTO DE PVC RÍGIDO ROSCÁVEL 40MM  (ADAPTADO ORSE 355)</t>
  </si>
  <si>
    <t>ELETRODUTO RÍGIDO SOLDÁVEL, PVC, DN 25 MM (3/4"), APARENTE -
FORNECIMENTO E INSTALAÇÃO. AF_10/2022</t>
  </si>
  <si>
    <t>ELETRODUTO FLEXÍVEL CORRUGADO, PVC, DN 25 MM (3/4"), PARA
CIRCUITOS TERMINAIS, INSTALADO EM PAREDE - FORNECIMENTO E INSTALAÇÃO. AF_03/2023</t>
  </si>
  <si>
    <t>CURVA 90 GRAUS PARA ELETRODUTO, PVC, ROSCÁVEL, DN 25 MM (3/4"), PARA CIRCUITOS TERMINAIS, INSTALADA EM PAREDE - FORNECIMENTO E INSTALAÇÃO. AF_03/2023</t>
  </si>
  <si>
    <t>LUVA PARA ELETRODUTO, PVC, ROSCÁVEL, DN 25 MM (3/4"), PARA CIRCUITOS TERMINAIS, INSTALADA EM PAREDE - FORNECIMENTO E INSTALAÇÃO. AF_03/2023</t>
  </si>
  <si>
    <t>QUADRO DE DISTRIBUIÇÃO DE ENERGIA EM PVC, DE EMBUTIR, SEM BARRAMENTO, PARA 6 DISJUNTORES - FORNECIMENTO E INSTALAÇÃO. AF_10/2020</t>
  </si>
  <si>
    <t>CHAPISCO APLICADO EM ALVENARIAS E ESTRUTURAS DE CONCRETO INTERNAS, COM COLHER DE PEDREIRO. ARGAMASSA TRAÇO 1:3 COM PREPARO MANUAL. AF_10/2022</t>
  </si>
  <si>
    <t>SUMIDOURO CIRCULAR, EM CONCRETO PRÉ-MOLDADO, DIÂMETRO INTERNO = 1,88 M, ALTURA INTERNA = 2,00 M, ÁREA DE INFILTRAÇÃO: 13,1 M² (PARA 5 CONTRIBUINTES). AF_12/2020</t>
  </si>
  <si>
    <t>CURVA LONGA, 45 GRAUS, PVC OCRE, JUNTA ELÁSTICA, DN 150 MM, PARA COLETOR PREDIAL DE ESGOTO. AF_06/2022</t>
  </si>
  <si>
    <t>CURVA CURTA 90 GRAUS, PVC, SERIE NORMAL, ESGOTO PREDIAL, DN 50 MM, JUNTA ELÁSTICA, FORNECIDO E INSTALADO EM RAMAL DE DESCARGA OU RAMAL DE ESGOTO SANITÁRIO. AF_08/2022</t>
  </si>
  <si>
    <t>JOELHO 45 GRAUS, PVC, SERIE NORMAL, ESGOTO PREDIAL, DN 40 MM, JUNTA SOLDÁVEL, FORNECIDO E INSTALADO EM RAMAL DE DESCARGA OU RAMAL DE ESGOTO SANITÁRIO. AF_08/2022</t>
  </si>
  <si>
    <t>JOELHO 45 GRAUS, PVC, SERIE NORMAL, ESGOTO PREDIAL, DN 50 MM, JUNTA ELÁSTICA, FORNECIDO E INSTALADO EM RAMAL DE DESCARGA OU RAMAL DE ESGOTO SANITÁRIO. AF_08/2022</t>
  </si>
  <si>
    <t>JOELHO 90 GRAUS, PVC, SERIE NORMAL, ESGOTO PREDIAL, DN 40 MM, JUNTA SOLDÁVEL, FORNECIDO E INSTALADO EM RAMAL DE DESCARGA OU RAMAL DE ESGOTO SANITÁRIO. AF_08/2022</t>
  </si>
  <si>
    <t>JOELHO 90 GRAUS, PVC, SERIE NORMAL, ESGOTO PREDIAL, DN 100 MM, JUNTA ELÁSTICA, FORNECIDO E INSTALADO EM RAMAL DE DESCARGA OU RAMAL DE ESGOTO SANITÁRIO. AF_08/2022</t>
  </si>
  <si>
    <t>JUNÇÃO SIMPLES, PVC, SERIE NORMAL, ESGOTO PREDIAL, DN 50 X 50 MM, JUNTA ELÁSTICA, FORNECIDO E INSTALADO EM RAMAL DE DESCARGA OU RAMAL DE ESGOTO SANITÁRIO. AF_08/2022</t>
  </si>
  <si>
    <t>JUNÇÃO DE REDUÇÃO INVERTIDA, PVC, SÉRIE NORMAL, ESGOTO PREDIAL, DN 100 X 50 MM, JUNTA ELÁSTICA, FORNECIDO E INSTALADO EM PRUMADA DE ESGOTO SANITÁRIO OU VENTILAÇÃO. AF_08/2022</t>
  </si>
  <si>
    <t>TERMINAL DE VENTILAÇÃO, PVC, SÉRIE NORMAL, ESGOTO PREDIAL, DN 50 MM, JUNTA SOLDÁVEL, FORNECIDO E INSTALADO EM PRUMADA DE ESGOTO SANITÁRIO OU VENTILAÇÃO. AF_08/2022</t>
  </si>
  <si>
    <t>TE, PVC, SERIE NORMAL, ESGOTO PREDIAL, DN 100 X 100 MM, JUNTA ELÁSTICA, FORNECIDO E INSTALADO EM RAMAL DE DESCARGA OU RAMAL DE ESGOTO SANITÁRIO. AF_08/2022</t>
  </si>
  <si>
    <t>TE, PVC, SERIE R, 150 X 150 MM, PARA ESGOTO PREDIAL</t>
  </si>
  <si>
    <t>CAIXA SIFONADA, COM GRELHA REDONDA, PVC, DN 150 X 150 X 50 MM, JUNTA SOLDÁVEL, FORNECIDA E INSTALADA EM RAMAL DE DESCARGA OU EM RAMAL DE ESGOTO SANITÁRIO. AF_08/2022</t>
  </si>
  <si>
    <t>ANEL DE VEDACAO, PVC FLEXIVEL, 100 MM, PARA SAIDA DE BACIA /
VASO SANITARIO</t>
  </si>
  <si>
    <t>TUBO PVC, SERIE NORMAL, ESGOTO PREDIAL, DN 50 MM, FORNECIDO E INSTALADO EM RAMAL DE DESCARGA OU RAMAL DE ESGOTO
SANITÁRIO. AF_08/2022</t>
  </si>
  <si>
    <t>TUBO PVC, SERIE NORMAL, ESGOTO PREDIAL, DN 100 MM, FORNECIDO E INSTALADO EM RAMAL DE DESCARGA OU RAMAL DE ESGOTO
SANITÁRIO. AF_08/2022</t>
  </si>
  <si>
    <t>CAP, PVC OCRE, JUNTA ELÁSTICA, DN 150 MM, PARA COLETOR PREDIAL DE ESGOTO. AF_06/2022</t>
  </si>
  <si>
    <t>TUBO PVC, SERIE NORMAL, ESGOTO PREDIAL, DN 40 MM, FORNECIDO E INSTALADO EM RAMAL DE DESCARGA OU RAMAL DE ESGOTO SANITÁRIO. AF_08/2022</t>
  </si>
  <si>
    <t>TUBO PVC, SERIE NORMAL, ESGOTO PREDIAL, DN 50 MM, FORNECIDO E INSTALADO EM RAMAL DE DESCARGA OU RAMAL DE ESGOTO SANITÁRIO. AF_08/2022</t>
  </si>
  <si>
    <t>TUBO PVC, SERIE NORMAL, ESGOTO PREDIAL, DN 75 MM, FORNECIDO E INSTALADO EM RAMAL DE DESCARGA OU RAMAL DE ESGOTO SANITÁRIO. AF_08/2022</t>
  </si>
  <si>
    <t>TUBO PVC, SERIE NORMAL, ESGOTO PREDIAL, DN 100 MM, FORNECIDO E INSTALADO EM RAMAL DE DESCARGA OU RAMAL DE ESGOTO SANITÁRIO. AF_08/2022</t>
  </si>
  <si>
    <t>TUBO PVC, SERIE NORMAL, ESGOTO PREDIAL, DN 150MM, FORNECIDO E INSTALADO EM  RAMAL DE DESCARGA OU RANAL DE ESGOTO SANITÁRIO (ADAPTADO SINAPI 89714)</t>
  </si>
  <si>
    <t>TELHAMENTO COM TELHA CERÂMICA CAPA-CANAL, TIPO COLONIAL, COM MAIS DE 2 ÁGUAS, INCLUSO TRANSPORTE VERTICAL. AF_07/2019</t>
  </si>
  <si>
    <t>TRAMA DE MADEIRA COMPOSTA POR RIPAS, CAIBROS E TERÇAS PARA TELHADOS DE MAIS QUE 2 ÁGUAS PARA TELHA DE ENCAIXE DE CERÂMICA OU DE CONCRETO, INCLUSO TRANSPORTE VERTICAL.
AF_07/2019</t>
  </si>
  <si>
    <t>FABRICAÇÃO E INSTALAÇÃO DE MEIA TESOURA DE MADEIRA NÃO APARELHADA, COM VÃO DE 3 M, PARA TELHA CERÂMICA OU DE
CONCRETO, INCLUSO IÇAMENTO. AF_07/2019</t>
  </si>
  <si>
    <t>FABRICAÇÃO E INSTALAÇÃO DE MEIA TESOURA DE MADEIRA NÃO APARELHADA, COM VÃO DE 4 M, PARA TELHA CERÂMICA OU DE
CONCRETO, INCLUSO IÇAMENTO. AF_07/2019</t>
  </si>
  <si>
    <t>PINTURA IMUNIZANTE PARA MADEIRA, 1 DEMÃO. AF_01/2021</t>
  </si>
  <si>
    <t>CUMEEIRA E ESPIGÃO PARA TELHA CERÂMICA EMBOÇADA COM ARGAMASSA TRAÇO 1:2:9 (CIMENTO, CAL E AREIA), PARA TELHADOS COM MAIS DE 2 ÁGUAS, INCLUSO TRANSPORTE VERTICAL. AF_07/2019</t>
  </si>
  <si>
    <t>PORTA DE MADEIRA PARA PINTURA, SEMI-OCA (LEVE OU MÉDIA), 80X210CM, ESPESSURA DE 3,5CM, INCLUSO DOBRADIÇAS -
FORNECIMENTO E INSTALAÇÃO. AF_12/2019</t>
  </si>
  <si>
    <t>ALVENARIA DE VEDAÇÃO COM ELEMENTO VAZADO DE CERÂMICA
(COBOGÓ) DE 7X20X20CM E ARGAMASSA DE ASSENTAMENTO COM PREPARO EM BETONEIRA. AF_05/2020</t>
  </si>
  <si>
    <t>FECHADURA DE EMBUTIR COM CILINDRO, EXTERNA, COMPLETA, ACABAMENTO PADRÃO MÉDIO, INCLUSO EXECUÇÃO DE FURO -
FORNECIMENTO E INSTALAÇÃO. AF_12/2019</t>
  </si>
  <si>
    <t>FABRICAÇÃO, MONTAGEM E DESMONTAGEM DE FÔRMA PARA VIGA
BALDRAME, EM CHAPA DE MADEIRA COMPENSADA RESINADA, E=17 MM, 4 UTILIZAÇÕES. AF_01/2024</t>
  </si>
  <si>
    <t>ARMAÇÃO DE LAJE DE ESTRUTURA CONVENCIONAL DE CONCRETO ARMADO UTILIZANDO AÇO CA-50 DE 8,0 MM - MONTAGEM. AF_06/2022</t>
  </si>
  <si>
    <t>EMASSAMENTO COM MASSA LÁTEX, APLICAÇÃO EM PAREDE, DUAS
DEMÃOS, LIXAMENTO MANUAL. AF_04/2023</t>
  </si>
  <si>
    <t>PINTURA LÁTEX ACRÍLICA PREMIUM, APLICAÇÃO MANUAL EM PAREDES,
DUAS DEMÃOS. AF_04/2023</t>
  </si>
  <si>
    <t>FUNDO SELADOR ACRÍLICO, APLICAÇÃO MANUAL EM PAREDE, UMA
DEMÃO. AF_04/2023</t>
  </si>
  <si>
    <t>CAIXA D´ÁGUA EM POLIÉSTER REFORÇADO COM FIBRA DE VIDRO, 500 LITROS - FORNECIMENTO E INSTALAÇÃO. AF_06/2021</t>
  </si>
  <si>
    <t>TORNEIRA METALICA CROMADA PARA JARDIM / TANQUE, COM BICO PLASTICO, CANO LONGO, DE PAREDE, PADRAO POPULAR / USO GERAL,
1/2" OU 3/4"</t>
  </si>
  <si>
    <t>CHUVEIRO ELÉTRICO COMUM CORPO PLÁSTICO, TIPO DUCHA -
FORNECIMENTO E INSTALAÇÃO. AF_01/2020</t>
  </si>
  <si>
    <t>REGISTRO DE GAVETA BRUTO, LATÃO, ROSCÁVEL, 3/4", COM
ACABAMENTO E CANOPLA CROMADOS - FORNECIMENTO E INSTALAÇÃO. AF_08/2021</t>
  </si>
  <si>
    <t>REGISTRO DE PRESSÃO BRUTO, LATÃO, ROSCÁVEL, 3/4'' -
FORNECIMENTO E INSTALAÇÃO. AF_08/2021</t>
  </si>
  <si>
    <t>REGISTRO DE ESFERA, PVC, SOLDÁVEL, COM VOLANTE, DN 32 MM -
FORNECIMENTO E INSTALAÇÃO. AF_08/2021</t>
  </si>
  <si>
    <t>CURVA 45 GRAUS, PVC, SOLDÁVEL, DN 25MM, INSTALADO EM RAMAL OU SUB-RAMAL DE ÁGUA - FORNECIMENTO E INSTALAÇÃO. AF_06/2022</t>
  </si>
  <si>
    <t>JOELHO 90 GRAUS, PVC, SOLDÁVEL, DN 32MM, INSTALADO EM RAMAL OU SUB-RAMAL DE ÁGUA - FORNECIMENTO E INSTALAÇÃO. AF_06/2022</t>
  </si>
  <si>
    <t>LUVA, PVC, SOLDÁVEL, DN 25MM, INSTALADO EM PRUMADA DE ÁGUA -
FORNECIMENTO E INSTALAÇÃO. AF_06/2022</t>
  </si>
  <si>
    <t>LUVA COM BUCHA DE LATÃO, PVC, SOLDÁVEL, DN 25MM X 3/4, INSTALADO EM RAMAL OU SUB-RAMAL DE ÁGUA - FORNECIMENTO E
INSTALAÇÃO. AF_06/2022</t>
  </si>
  <si>
    <t>TE, PVC, SOLDÁVEL, DN 32MM, INSTALADO EM PRUMADA DE ÁGUA -
FORNECIMENTO E INSTALAÇÃO. AF_06/2022</t>
  </si>
  <si>
    <t>TUBO, PVC, SOLDÁVEL, DE 32MM, INSTALADO EM PRUMADA DE ÁGUA -
FORNECIMENTO E INSTALAÇÃO. AF_06/2022</t>
  </si>
  <si>
    <t>CURVA 90 GRAUS PARA ELETRODUTO, PVC, ROSCÁVEL, DN 32 MM (1"), PARA CIRCUITOS TERMINAIS, INSTALADA EM FORRO - FORNECIMENTO E
INSTALAÇÃO. AF_03/2023</t>
  </si>
  <si>
    <t>CURVA 90 GRAUS PARA ELETRODUTO, PVC, SOLDÁVEL, DN 32 MM (1''), APARENTE - FORNECIMENTO E INSTALAÇÃO. AF_10/2022</t>
  </si>
  <si>
    <t>LUVA PARA ELETRODUTO, PVC, SOLDÁVEL, DN 32 MM (1''), APARENTE - FORNECIMENTO E INSTALAÇÃO. AF_10/2022</t>
  </si>
  <si>
    <t>INTERRUPTOR SIMPLES (1 MÓDULO) COM 1 TOMADA DE EMBUTIR 2P+T 10 A, INCLUINDO SUPORTE E PLACA - FORNECIMENTO E INSTALAÇÃO.
AF_03/2023</t>
  </si>
  <si>
    <t>CAIXA DE PASSAGEM, EM PVC, DE 4" X 2", PARA ELETRODUTO FLEXIVEL
CORRUGADO</t>
  </si>
  <si>
    <t>QUADRO DE DISTRIBUIÇÃO DE ENERGIA EM PVC, DE EMBUTIR, SEM BARRAMENTO, PARA 6 DISJUNTORES - FORNECIMENTO E INSTALAÇÃO.
AF_10/2020</t>
  </si>
  <si>
    <t>TOMADA MÉDIA DE EMBUTIR (1 MÓDULO), 2P+T 10 A, INCLUINDO SUPORTE E PLACA - FORNECIMENTO E INSTALAÇÃO. AF_03/2023</t>
  </si>
  <si>
    <t>ELETRODUTO RÍGIDO ROSCÁVEL, PVC, DN 40 MM (1 1/4"), PARA CIRCUITOS TERMINAIS, INSTALADO EM LAJE - FORNECIMENTO E
INSTALAÇÃO. AF_03/2023</t>
  </si>
  <si>
    <t>ELETRODUTO RÍGIDO SOLDÁVEL, PVC, DN 32 MM (1"), APARENTE -
FORNECIMENTO E INSTALAÇÃO. AF_10/2022</t>
  </si>
  <si>
    <t>DISPOSITIVO DPS CLASSE II, 1 POLO, TENSAO MAXIMA DE 275 V,
CORRENTE MAXIMA DE *20* KA (TIPO AC)</t>
  </si>
  <si>
    <t>CAIXA DE GORDURA SIMPLES, CIRCULAR, EM CONCRETO PRÉ- MOLDADO, DIÂMETRO INTERNO = 0,4 M, ALTURA INTERNA = 0,4 M.
AF_12/2020</t>
  </si>
  <si>
    <t>CURVA LONGA, 45 GRAUS, PVC OCRE, JUNTA ELÁSTICA, DN 100 MM, PARA COLETOR PREDIAL DE ESGOTO. AF_06/2022</t>
  </si>
  <si>
    <t>LUVA DE CORRER, PVC, SERIE NORMAL, ESGOTO PREDIAL, DN 100 MM, JUNTA ELÁSTICA, FORNECIDO E INSTALADO EM RAMAL DE DESCARGA OU RAMAL DE ESGOTO SANITÁRIO. AF_08/2022</t>
  </si>
  <si>
    <t>TÊ, PVC, SERIE R, ÁGUA PLUVIAL, DN 100 X 75 MM, JUNTA ELÁSTICA, FORNECIDO E INSTALADO EM CONDUTORES VERTICAIS DE ÁGUAS
PLUVIAIS. AF_06/2022</t>
  </si>
  <si>
    <t>RALO SIFONADO QUADRADO, PVC, 100 X 53 MM, SAIDA 40 MM, COM
GRELHA QUADRADA BRANCA</t>
  </si>
  <si>
    <t>TUBO PVC, SERIE NORMAL, ESGOTO PREDIAL, DN 40 MM, FORNECIDO E INSTALADO EM RAMAL DE DESCARGA OU RAMAL DE ESGOTO
SANITÁRIO. AF_08/2022</t>
  </si>
  <si>
    <t>TANQUE SÉPTICO RETANGULAR, EM ALVENARIA COM BLOCOS DE CONCRETO, DIMENSÕES INTERNAS: 1,2 X 2,4 X H=1,6 M, VOLUME ÚTIL: 3456 L (PARA 13 CONTRIBUINTES). AF_12/2020</t>
  </si>
  <si>
    <t>FABRICAÇÃO E INSTALAÇÃO DE TESOURA INTEIRA EM MADEIRA NÃO APARELHADA, VÃO DE 3 M, PARA TELHA CERÂMICA OU DE CONCRETO,
INCLUSO IÇAMENTO. AF_07/2019</t>
  </si>
  <si>
    <t>CUMEEIRA PARA TELHA CERÂMICA EMBOÇADA COM ARGAMASSA TRAÇO 1:2:9 (CIMENTO, CAL E AREIA) PARA TELHADOS COM ATÉ 2 ÁGUAS, INCLUSO TRANSPORTE VERTICAL. AF_07/2019</t>
  </si>
  <si>
    <t>PORTA DE MADEIRA PARA PINTURA, SEMI-OCA (LEVE OU MÉDIA),
80X210CM, ESPESSURA DE 3,5CM, INCLUSO DOBRADIÇAS - FORNECIMENTO E INSTALAÇÃO. AF_12/2019</t>
  </si>
  <si>
    <t>PORTA DE MADEIRA PARA VERNIZ, SEMI-OCA (LEVE OU MÉDIA),
70X210CM, ESPESSURA DE 3,5CM, INCLUSO DOBRADIÇAS - FORNECIMENTO E INSTALAÇÃO. AF_12/2019</t>
  </si>
  <si>
    <t>ALVENARIA DE VEDAÇÃO COM ELEMENTO VAZADO DE CERÂMICA (COBOGÓ) DE 7X20X20CM E ARGAMASSA DE ASSENTAMENTO COM
PREPARO EM BETONEIRA. AF_05/2020</t>
  </si>
  <si>
    <t>MONTAGEM E DESMONTAGEM DE FÔRMA DE VIGA, ESCORAMENTO
METÁLICO, PÉ-DIREITO SIMPLES, EM CHAPA DE MADEIRA PLASTIFICADA, 14 UTILIZAÇÕES. AF_09/2020</t>
  </si>
  <si>
    <t>ARMAÇÃO DE PILAR OU VIGA DE ESTRUTURA CONVENCIONAL DE CONCRETO ARMADO UTILIZANDO AÇO CA-60 DE 5,0 MM - MONTAGEM.
AF_06/2022</t>
  </si>
  <si>
    <t>ARMAÇÃO DE PILAR OU VIGA DE ESTRUTURA CONVENCIONAL DE CONCRETO ARMADO UTILIZANDO AÇO CA-50 DE 8,0 MM - MONTAGEM.
AF_06/2022</t>
  </si>
  <si>
    <t>CHAPISCO APLICADO EM ALVENARIA (SEM PRESENÇA DE VÃOS) E ESTRUTURAS DE CONCRETO DE FACHADA, COM COLHER DE PEDREIRO. ARGAMASSA TRAÇO 1:3 COM PREPARO EM BETONEIRA 400L. AF_10/2022</t>
  </si>
  <si>
    <t>EMBOÇO OU MASSA ÚNICA EM ARGAMASSA TRAÇO 1:2:8, PREPARO MECÂNICO COM BETONEIRA 400 L, APLICADA MANUALMENTE EM PANOS CEGOS DE FACHADA (SEM PRESENÇA DE VÃOS), ESPESSURA DE 25 MM.
AF_08/2022</t>
  </si>
  <si>
    <t>FECHAMENTO EM MADEIRA COM RIPA APARELHADA *1,5 X 5* CM, EM MACARANDUBA/MASSARANDUBA, ANGELIM OU EQUIVALENTE DA
REGIAO (ADAPTADO  ORSE 11617)</t>
  </si>
  <si>
    <t>Chapim de concreto pré-moldado (ADAPTADO 8637)</t>
  </si>
  <si>
    <t>EXECUÇÃO DE PASSEIO EM PISO INTERTRAVADO, COM BLOCO RETANGULAR COLORIDO DE 20 X 10 CM, ESPESSURA 6 CM. AF_10/2022</t>
  </si>
  <si>
    <t>ASSENTAMENTO DE GUIA (MEIO-FIO) EM TRECHO RETO, CONFECCIONADA EM CONCRETO PRÉ-FABRICADO, DIMENSÕES 100X15X13X20 CM (COMPRIMENTO X BASE INFERIOR X BASE SUPERIOR
X ALTURA). AF_01/2024</t>
  </si>
  <si>
    <t>ASSENTAMENTO DE GUIA (MEIO-FIO) EM TRECHO CURVO, CONFECCIONADA EM CONCRETO PRÉ-FABRICADO, DIMENSÕES 100X15X13X20 CM (COMPRIMENTO X BASE INFERIOR X BASE SUPERIOR
X ALTURA). AF_01/2024</t>
  </si>
  <si>
    <t>EXECUÇÃO DE PAVIMENTO EM PISO INTERTRAVADO, COM BLOCO
RETANGULAR COR NATURAL DE 20 X 10 CM, ESPESSURA 6 CM. AF_10/2022</t>
  </si>
  <si>
    <t>RAMPA DE ACESSIBILIDADE EM CONCRETO MOLDADO IN LOCO, EM CALÇADA NOVA COM LARGURA MENOR À 3,00 M, FCK 25MPA, COM PISO
PODOTÁTIL. AF_03/2024</t>
  </si>
  <si>
    <t>PINTURA DE MEIO-FIO COM TINTA BRANCA A BASE DE CAL (CAIAÇÃO).
AF_05/2021</t>
  </si>
  <si>
    <t>PISO PODOTÁTIL DE ALERTA OU DIRECIONAL, DE CONCRETO,
ASSENTADO SOBRE ARGAMASSA. AF_03/2024</t>
  </si>
  <si>
    <t>PINTURA DE PISO COM TINTA EPÓXI, APLICAÇÃO MANUAL, 2 DEMÃOS,
INCLUSO PRIMER EPÓXI. AF_05/2021</t>
  </si>
  <si>
    <t>PLANTIO DE GRAMA ESMERALDA OU SÃO CARLOS OU CURITIBANA, EM
PLACAS. AF_07/2024</t>
  </si>
  <si>
    <t>ESPALHAMENTO DE TERRA VEGETAL PARA O PLANTIO. AF_07/2024</t>
  </si>
  <si>
    <t>Mesa c/ tampo Ø=1,00m em concreto armado polido sobre tubo de concreto armado Ø=0,40m, e  4 bancos em concreto armado Ø=0,40m, com pintura acrílica cor cinza grafite da Coral ou  similar. (ADAPTADO 12114)</t>
  </si>
  <si>
    <t>ALVENARIA EM TIJOLO CERAMICO FURADO 9X19X19CM, 1 VEZ (ESPESSURA 19 CM) ,  ASSENTADO ARGAMASSA TRACO 1:4 (CIMENTO E AREIA MEDIA NAO PENEIRADA),  PREPARO MANUAL, JUNTA1 CM [ADAPTADO DE SINAPI 73935/002]</t>
  </si>
  <si>
    <t>CHAPISCO APLICADO EM ALVENARIAS E ESTRUTURAS DE CONCRETO
INTERNAS, COM COLHER DE PEDREIRO. ARGAMASSA TRAÇO 1:3 COM PREPARO MANUAL. AF_10/2022</t>
  </si>
  <si>
    <t>EMBOÇO, EM ARGAMASSA TRAÇO 1:2:8, PREPARO MANUAL, APLICADO MANUALMENTE EM PAREDES INTERNAS DE AMBIENTES COM ÁREA MENOR QUE 5M², E = 17,5MM, COM TALISCAS. AF_03/2024</t>
  </si>
  <si>
    <t>TEXTURA ACRÍLICA, APLICAÇÃO MANUAL EM PAREDE, UMA DEMÃO.
AF_04/2023</t>
  </si>
  <si>
    <t>TAMPO EM GRANITO OCRE - FORNECIMENTO E INSTALAÇÃO  (Conforme
projeto - bancos)</t>
  </si>
  <si>
    <t>CAIXA ENTERRADA ELÉTRICA RETANGULAR, EM CONCRETO PRÉ-
MOLDADO, FUNDO COM BRITA, DIMENSÕES INTERNAS: 0,4X0,4X0,4 M. AF_12/2020</t>
  </si>
  <si>
    <t>CURVA 45° PARA ELETRODUTO RIGÍDO ROSCAVÉL 50MM 1/2 (ADAPTADO
ORSE 11343)</t>
  </si>
  <si>
    <t>CURVA 90 GRAUS PARA ELETRODUTO, PVC, ROSCÁVEL, DN 25 MM (3/4"),
PARA CIRCUITOS TERMINAIS, INSTALADA EM LAJE - FORNECIMENTO E INSTALAÇÃO. AF_03/2023</t>
  </si>
  <si>
    <t>LUVA PARA ELETRODUTO, PVC, ROSCÁVEL, DN 50 MM (1 1/2"), PARA REDE ENTERRADA DE DISTRIBUIÇÃO DE ENERGIA ELÉTRICA - FORNECIMENTO E INSTALAÇÃO. AF_12/2021</t>
  </si>
  <si>
    <t>DISJUNTOR MONOPOLAR TIPO DIN, CORRENTE NOMINAL DE 25A -
FORNECIMENTO E INSTALAÇÃO. AF_10/2020</t>
  </si>
  <si>
    <t>SENSOR DE PRESENCA BIVOLT COM FOTOCELULA PARA QUALQUER TIPO DE LAMPADA, POTENCIA MAXIMA *1000* W, USO EXTERNO</t>
  </si>
  <si>
    <t>PADRÃO DE ENTRADA COLETIVO COM SAÍDA SUBTERRÂNEA, COM
POSTE DUPLO T</t>
  </si>
  <si>
    <t>CAIXA ENTERRADA ELÉTRICA RETANGULAR, EM ALVENARIA COM
TIJOLOS CERÂMICOS MACIÇOS, FUNDO COM BRITA, DIMENSÕES INTERNAS: 0,3X0,3X0,3 M. AF_12/2020</t>
  </si>
  <si>
    <t>CABO DE COBRE FLEXÍVEL ISOLADO, 4 MM², ANTI-CHAMA 0,6/1,0 KV, PARA CIRCUITOS TERMINAIS - FORNECIMENTO E INSTALAÇÃO.
AF_03/2023</t>
  </si>
  <si>
    <t>Poste decorativo com 02 pétalas, em tubo de alumínio com difusor em vidro leitoso brilhante,  ref. XR-708/2 da Xoulux ou similar, com 6,00m, inclusive lâmpada vapor de sódio de 250W. Rev  01_06/2024 (ORSE 8888)</t>
  </si>
  <si>
    <t>VALOR MEDIDO NO PERÍODO:
R$ 101.593,33</t>
  </si>
  <si>
    <t>B.D.I. = 22,58%
ENCARGOS SOCIAIS:
Nao Desonerado: embutido nos presos unitário dos insumos de mão de obra, de acordo com as bases.</t>
  </si>
  <si>
    <t>B.D.I. = 22,58
ENCARGOS SOCIAIS:
Nao Desonerado: embutido nos presos unitário dos insumos de mão de obra, de acordo com as bases.</t>
  </si>
  <si>
    <t>QTD</t>
  </si>
  <si>
    <t>X</t>
  </si>
  <si>
    <t>Y</t>
  </si>
  <si>
    <t>Z</t>
  </si>
  <si>
    <t>TOTAL</t>
  </si>
  <si>
    <t>1.1.1</t>
  </si>
  <si>
    <t>1.2.1</t>
  </si>
  <si>
    <t>Perímetro externo</t>
  </si>
  <si>
    <t>Terreno</t>
  </si>
  <si>
    <t>M2</t>
  </si>
  <si>
    <t>PARCIAL</t>
  </si>
  <si>
    <t>GERAL</t>
  </si>
  <si>
    <t>Sapatas e vigas baldrames ( S4=S5=S7=S8=S10=S11 )</t>
  </si>
  <si>
    <t>Sapatas e vigas baldrames ( S2=S3=S12=S13 )</t>
  </si>
  <si>
    <t>Sapatas e vigas baldrames ( S1=S14 )</t>
  </si>
  <si>
    <t>Sapatas e vigas baldrames ( S6=S9 )</t>
  </si>
  <si>
    <t>Sapatas e vigas baldrames ( VB1 )</t>
  </si>
  <si>
    <t>Sapatas e vigas baldrames ( VB2 )</t>
  </si>
  <si>
    <t>Sapatas e vigas baldrames ( VB3 )</t>
  </si>
  <si>
    <t>Sapatas e vigas baldrames ( VB4 )</t>
  </si>
  <si>
    <t>Sapatas e vigas baldrames ( VB5  )</t>
  </si>
  <si>
    <t>Sapatas e vigas baldrames ( VB6=VB7=VB8=VB9=VB10=VB11=VB12=VB13 )</t>
  </si>
  <si>
    <t>M3</t>
  </si>
  <si>
    <t>2.2.1.1</t>
  </si>
  <si>
    <t>2.2.1.2</t>
  </si>
  <si>
    <t>2.2.1.3</t>
  </si>
  <si>
    <t>2.2.1.4</t>
  </si>
  <si>
    <t>2.2.1.5</t>
  </si>
  <si>
    <t>2.2.1.6</t>
  </si>
  <si>
    <t>2.2.1.7</t>
  </si>
  <si>
    <t>2.2.1.8</t>
  </si>
  <si>
    <t>2.2.1.9</t>
  </si>
  <si>
    <t>2.2.1.10</t>
  </si>
  <si>
    <t>2.2.2.1</t>
  </si>
  <si>
    <t>Volume de escavação - Volume de concreto das sapatas</t>
  </si>
  <si>
    <t xml:space="preserve">MEMORIAL DE CALCULO 01
</t>
  </si>
  <si>
    <t xml:space="preserve">______________________________________
Eng. Responsável Técnico da Fiscalização
</t>
  </si>
  <si>
    <t xml:space="preserve">_________________________________
Eng. Responsável Técnico da Execução
</t>
  </si>
  <si>
    <t>REFERÊNCIA/PERÍODO DA MEDIÇÃO: De  09/03/2026  a 09/04/2026</t>
  </si>
  <si>
    <t xml:space="preserve">_________________________________
Eng. Responsável Técnico da Execução
</t>
  </si>
  <si>
    <t xml:space="preserve">______________________________________
Eng. Responsável Técnico da Fiscalização
</t>
  </si>
  <si>
    <t>2.3.1.1</t>
  </si>
  <si>
    <t>2.3.1.2</t>
  </si>
  <si>
    <t>2.3.1.3</t>
  </si>
  <si>
    <t>2.3.1.4</t>
  </si>
  <si>
    <t>2.3.2.1</t>
  </si>
  <si>
    <t>2.3.2.2</t>
  </si>
  <si>
    <t>2.3.2.3</t>
  </si>
  <si>
    <t>2.3.2.4</t>
  </si>
  <si>
    <t>2.3.2.5</t>
  </si>
  <si>
    <t>2.3.2.6</t>
  </si>
  <si>
    <t>2.3.2.7</t>
  </si>
  <si>
    <t>2.3.2.8</t>
  </si>
  <si>
    <t>2.3.2.9</t>
  </si>
  <si>
    <t>2.3.2.10</t>
  </si>
  <si>
    <t>2.3.3.1</t>
  </si>
  <si>
    <t>2.3.3.2</t>
  </si>
  <si>
    <t>2.3.4.1</t>
  </si>
  <si>
    <t>2.3.5.1</t>
  </si>
  <si>
    <t>2.3.6.1</t>
  </si>
  <si>
    <t>2.3.7.1</t>
  </si>
  <si>
    <t>2.3.8.1</t>
  </si>
  <si>
    <t>2.3.9.1</t>
  </si>
  <si>
    <t>2.3.10.1</t>
  </si>
  <si>
    <t>2.3.10.2</t>
  </si>
  <si>
    <t>2.3.10.3</t>
  </si>
  <si>
    <t>2.3.10.4</t>
  </si>
  <si>
    <t>2.3.10.5</t>
  </si>
  <si>
    <t>2.3.10.6</t>
  </si>
  <si>
    <t>2.4.1.1</t>
  </si>
  <si>
    <t>2.4.1.2</t>
  </si>
  <si>
    <t>2.4.1.3</t>
  </si>
  <si>
    <t>2.4.2.1</t>
  </si>
  <si>
    <t>2.4.3.1</t>
  </si>
  <si>
    <t>S4=S5=S7=S8=S10=S11</t>
  </si>
  <si>
    <t>S2=S3=S12=S13</t>
  </si>
  <si>
    <t>S1=S14</t>
  </si>
  <si>
    <t>S6=S9</t>
  </si>
  <si>
    <t>VB1</t>
  </si>
  <si>
    <t>VB2</t>
  </si>
  <si>
    <t>VB6=VB7=VB8=VB9=VB10=VB11=VB12=VB13</t>
  </si>
  <si>
    <t>VB3</t>
  </si>
  <si>
    <t>VB4</t>
  </si>
  <si>
    <t>VB5</t>
  </si>
  <si>
    <t>Sapatas</t>
  </si>
  <si>
    <t>Vigas Baldrames</t>
  </si>
  <si>
    <t>Perímetro ( Quiosque e WC )</t>
  </si>
  <si>
    <t>Lançamento</t>
  </si>
  <si>
    <t>Vigas baldrames</t>
  </si>
  <si>
    <t>Sapatas ( Prancha 05/11 )</t>
  </si>
  <si>
    <t>Vigas baldrames ( Prancha 06/11 )</t>
  </si>
  <si>
    <t>0,3+0,3+ 0,3</t>
  </si>
  <si>
    <t>Pilares</t>
  </si>
  <si>
    <t>Arranque de Pilares ( Nível 230 )</t>
  </si>
  <si>
    <t>Pilares ( Nível 230 )</t>
  </si>
  <si>
    <t>Pilares ( Nível 420 )</t>
  </si>
  <si>
    <t>Viga</t>
  </si>
  <si>
    <t>Viga ( Nível 270 )</t>
  </si>
  <si>
    <t>Laje</t>
  </si>
  <si>
    <t>Laje ( Nível 275 )</t>
  </si>
  <si>
    <t>3.1.1.1</t>
  </si>
  <si>
    <t>3.2.1.1</t>
  </si>
  <si>
    <t>3.2.1.2</t>
  </si>
  <si>
    <t>3.2.1.3</t>
  </si>
  <si>
    <t>3.2.2.1</t>
  </si>
  <si>
    <t>3.3.1.1</t>
  </si>
  <si>
    <t>3.3.2.1</t>
  </si>
  <si>
    <t>3.3.2.2</t>
  </si>
  <si>
    <t>3.3.2.3</t>
  </si>
  <si>
    <t>3.3.3.1</t>
  </si>
  <si>
    <t>3.3.3.2</t>
  </si>
  <si>
    <t>3.3.4.1</t>
  </si>
  <si>
    <t>3.3.5.1</t>
  </si>
  <si>
    <t>3.3.6.1</t>
  </si>
  <si>
    <t>3.3.7.1</t>
  </si>
  <si>
    <t>3.3.8.1</t>
  </si>
  <si>
    <t>3.3.9.1</t>
  </si>
  <si>
    <t>3.3.10.1</t>
  </si>
  <si>
    <t>3.3.10.2</t>
  </si>
  <si>
    <t>3.4.1.1</t>
  </si>
  <si>
    <t>3.4.2.1</t>
  </si>
  <si>
    <t>3.4.2.2</t>
  </si>
  <si>
    <t>3.4.3.1</t>
  </si>
  <si>
    <t>3.4.3.2</t>
  </si>
  <si>
    <t>3.4.3.3</t>
  </si>
  <si>
    <t>3.4.4.1</t>
  </si>
  <si>
    <t>3.4.4.2</t>
  </si>
  <si>
    <t>3.4.5.1</t>
  </si>
  <si>
    <t>3.4.5.2</t>
  </si>
  <si>
    <t>3.4.6.1</t>
  </si>
  <si>
    <t>3.4.6.2</t>
  </si>
  <si>
    <t>3.4.6.3</t>
  </si>
  <si>
    <t>3.4.6.4</t>
  </si>
  <si>
    <t>3.4.7.1</t>
  </si>
  <si>
    <t>3.4.8.1</t>
  </si>
  <si>
    <t>3.4.9.1</t>
  </si>
  <si>
    <t>3.4.10.1</t>
  </si>
  <si>
    <t>Perímetro ( Guarita e WC )</t>
  </si>
  <si>
    <t>S1=S2=S3=S4</t>
  </si>
  <si>
    <t>S1=S2=S3=S4 ( Sapatas )</t>
  </si>
  <si>
    <t>VB1 E VB2 ( Vigas Baldrames Nível +0 )</t>
  </si>
  <si>
    <t>VB3, VB4, VB5  ( Vigas Baldrames Nível +0 )</t>
  </si>
  <si>
    <t>VB3, VB4, VB5 ( Vigas Baldrames Nível +0 )</t>
  </si>
  <si>
    <t>Sapatas ( Nível +0 )</t>
  </si>
  <si>
    <t>Vigas Baldrames ( Nível +0 )</t>
  </si>
  <si>
    <t>VB1 E VB2  ( Nível +0 )</t>
  </si>
  <si>
    <t>VB3, VB4, VB5 ( Nível +0 )</t>
  </si>
  <si>
    <t>Pilares ( Nível+300 )</t>
  </si>
  <si>
    <t>Vigas</t>
  </si>
  <si>
    <t>Viga platinbanda</t>
  </si>
  <si>
    <t>3.4.7.2</t>
  </si>
  <si>
    <t>3.4.7.3</t>
  </si>
  <si>
    <t>3.4.7.4</t>
  </si>
  <si>
    <t>4.1.1.1</t>
  </si>
  <si>
    <t>4.1.1.2</t>
  </si>
  <si>
    <t>4.1.1.3</t>
  </si>
  <si>
    <t>4.1.1.4</t>
  </si>
  <si>
    <t>4.1.1.5</t>
  </si>
  <si>
    <t>4.1.1.6</t>
  </si>
  <si>
    <t>4.1.1.7</t>
  </si>
  <si>
    <t>4.1.1.8</t>
  </si>
  <si>
    <t>4.1.1.9</t>
  </si>
  <si>
    <t>4.1.1.10</t>
  </si>
  <si>
    <t>4.1.1.11</t>
  </si>
  <si>
    <t>4.1.1.12</t>
  </si>
  <si>
    <t>4.1.1.13</t>
  </si>
  <si>
    <t>4.1.1.14</t>
  </si>
  <si>
    <t>4.1.1.15</t>
  </si>
  <si>
    <t>4.1.1.16</t>
  </si>
  <si>
    <t>4.1.2.1</t>
  </si>
  <si>
    <t>4.2.2.1</t>
  </si>
  <si>
    <t>4.2.2.2</t>
  </si>
  <si>
    <t>4.2.2.3</t>
  </si>
  <si>
    <t>4.2.2.4</t>
  </si>
  <si>
    <t>4.2.2.5</t>
  </si>
  <si>
    <t>4.2.2.6</t>
  </si>
  <si>
    <t>4.2.2.7</t>
  </si>
  <si>
    <t>4.2.2.8</t>
  </si>
  <si>
    <t>4.2.2.9</t>
  </si>
  <si>
    <t>4.2.2.10</t>
  </si>
  <si>
    <t>4.2.2.11</t>
  </si>
  <si>
    <t>4.2.2.12</t>
  </si>
  <si>
    <t>4.2.2.13</t>
  </si>
  <si>
    <t>4.2.2.14</t>
  </si>
  <si>
    <t>4.2.2.15</t>
  </si>
  <si>
    <t>4.2.2.16</t>
  </si>
  <si>
    <t>4.2.3.1</t>
  </si>
  <si>
    <t>4.2.3.2</t>
  </si>
  <si>
    <t>4.2.4.1</t>
  </si>
  <si>
    <t>4.2.5.1</t>
  </si>
  <si>
    <t>4.2.6.1</t>
  </si>
  <si>
    <t>4.2.7.1</t>
  </si>
  <si>
    <t>4.2.8.1</t>
  </si>
  <si>
    <t>4.2.9.1</t>
  </si>
  <si>
    <t>4.2.10.1</t>
  </si>
  <si>
    <t>4.2.10.2</t>
  </si>
  <si>
    <t>4.2.10.3</t>
  </si>
  <si>
    <t>4.2.10.4</t>
  </si>
  <si>
    <t>4.2.10.5</t>
  </si>
  <si>
    <t>4.2.10.6</t>
  </si>
  <si>
    <t>4.2.10.7</t>
  </si>
  <si>
    <t>4.2.10.8</t>
  </si>
  <si>
    <t>4.2.10.9</t>
  </si>
  <si>
    <t>4.2.10.10</t>
  </si>
  <si>
    <t>4.2.10.11</t>
  </si>
  <si>
    <t>4.2.10.12</t>
  </si>
  <si>
    <t>4.3.1.1</t>
  </si>
  <si>
    <t>4.3.1.2</t>
  </si>
  <si>
    <t>4.3.1.3</t>
  </si>
  <si>
    <t>4.3.2.1</t>
  </si>
  <si>
    <t>4.3.2.2</t>
  </si>
  <si>
    <t>4.3.3.1</t>
  </si>
  <si>
    <t>4.3.3.2</t>
  </si>
  <si>
    <t>4.3.3.3</t>
  </si>
  <si>
    <t>4.3.3.4</t>
  </si>
  <si>
    <t>4.3.4.1</t>
  </si>
  <si>
    <t>4.3.4.2</t>
  </si>
  <si>
    <t>4.3.4.3</t>
  </si>
  <si>
    <t>4.3.4.4</t>
  </si>
  <si>
    <t>4.3.5.1</t>
  </si>
  <si>
    <t>4.3.5.2</t>
  </si>
  <si>
    <t>S10=S11 ( Sapatas )</t>
  </si>
  <si>
    <t>S1=S2=S3=S4=S5=S6=S7=S8=S9=S26 ( Sapatas )</t>
  </si>
  <si>
    <t>S13=S14=S15=S16=S17=S18=S19=S20=S21=S22=S23=S24=S25 ( Sapatas )</t>
  </si>
  <si>
    <t>S12 ( Sapata )</t>
  </si>
  <si>
    <t>VB1 ( Vigas Baldrames )</t>
  </si>
  <si>
    <t>VB2 ( Vigas Baldrames )</t>
  </si>
  <si>
    <t>VB3 ( Vigas Baldrames )</t>
  </si>
  <si>
    <t>VB4 ( Vigas Baldrames )</t>
  </si>
  <si>
    <t>VB5 ( Vigas Baldrames )</t>
  </si>
  <si>
    <t>VB6 ( Vigas Baldrames )</t>
  </si>
  <si>
    <t>VB7 ( Vigas Baldrames )</t>
  </si>
  <si>
    <t>VB8 ( Vigas Baldrames )</t>
  </si>
  <si>
    <t>VB9 ( Vigas Baldrames )</t>
  </si>
  <si>
    <t>VB10 ( Vigas Baldrames )</t>
  </si>
  <si>
    <t>VB11 ( Vigas Baldrames )</t>
  </si>
  <si>
    <t>VB12 ( Vigas Baldrames )</t>
  </si>
  <si>
    <t>4.2.9.2</t>
  </si>
  <si>
    <t>Arranque de pilares</t>
  </si>
  <si>
    <t>Arranque de pilares ( Nível 0 )</t>
  </si>
  <si>
    <t>Pilares ( Nível 130 )</t>
  </si>
  <si>
    <t>Vigas  ( Nível 130 )</t>
  </si>
  <si>
    <t>Vigas  ( Nível 230 )</t>
  </si>
  <si>
    <t>2.8.1</t>
  </si>
  <si>
    <t>2.8.2</t>
  </si>
  <si>
    <t>2.8.3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</si>
</sst>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\R\$\ #,##0.00"/>
    <numFmt numFmtId="165" formatCode="&quot;R$&quot;\ #,##0.00"/>
    <numFmt numFmtId="166" formatCode="00000000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1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name val="Arial"/>
      <family val="1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0"/>
      <name val="Arial MT"/>
      <family val="2"/>
    </font>
    <font>
      <sz val="10"/>
      <color rgb="FF000000"/>
      <name val="Arial MT"/>
      <family val="2"/>
    </font>
    <font>
      <sz val="10"/>
      <name val="Arial MT"/>
    </font>
    <font>
      <b/>
      <sz val="10"/>
      <color rgb="FFFF0000"/>
      <name val="Arial"/>
      <family val="2"/>
    </font>
    <font>
      <sz val="10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 MT"/>
      <family val="2"/>
    </font>
    <font>
      <sz val="10"/>
      <color theme="1"/>
      <name val="Arial MT"/>
    </font>
    <font>
      <b/>
      <sz val="10"/>
      <name val="Arial MT"/>
      <family val="2"/>
    </font>
    <font>
      <b/>
      <sz val="10"/>
      <name val="Arial MT"/>
    </font>
    <font>
      <b/>
      <sz val="10"/>
      <color rgb="FF000000"/>
      <name val="Arial MT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 MT"/>
    </font>
    <font>
      <b/>
      <sz val="10"/>
      <color rgb="FF000000"/>
      <name val="Arial M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1">
    <xf numFmtId="0" fontId="0" fillId="0" borderId="0" xfId="0"/>
    <xf numFmtId="0" fontId="2" fillId="0" borderId="2" xfId="0" applyFont="1" applyBorder="1" applyAlignment="1">
      <alignment vertical="top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164" fontId="3" fillId="3" borderId="8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/>
    <xf numFmtId="165" fontId="3" fillId="3" borderId="8" xfId="0" applyNumberFormat="1" applyFont="1" applyFill="1" applyBorder="1" applyAlignment="1">
      <alignment horizontal="right" vertical="center" wrapText="1"/>
    </xf>
    <xf numFmtId="165" fontId="3" fillId="3" borderId="12" xfId="0" applyNumberFormat="1" applyFont="1" applyFill="1" applyBorder="1" applyAlignment="1">
      <alignment horizontal="right" vertical="center" wrapText="1"/>
    </xf>
    <xf numFmtId="0" fontId="4" fillId="0" borderId="1" xfId="0" applyFont="1" applyBorder="1"/>
    <xf numFmtId="9" fontId="3" fillId="0" borderId="1" xfId="2" applyFont="1" applyFill="1" applyBorder="1" applyAlignment="1" applyProtection="1">
      <alignment horizontal="righ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165" fontId="3" fillId="0" borderId="1" xfId="0" applyNumberFormat="1" applyFont="1" applyBorder="1" applyAlignment="1">
      <alignment horizontal="right" vertical="center" wrapText="1"/>
    </xf>
    <xf numFmtId="9" fontId="4" fillId="0" borderId="1" xfId="0" applyNumberFormat="1" applyFont="1" applyBorder="1"/>
    <xf numFmtId="0" fontId="2" fillId="2" borderId="1" xfId="0" applyFont="1" applyFill="1" applyBorder="1" applyAlignment="1">
      <alignment vertical="top" wrapText="1"/>
    </xf>
    <xf numFmtId="0" fontId="4" fillId="0" borderId="0" xfId="0" applyFont="1"/>
    <xf numFmtId="0" fontId="8" fillId="0" borderId="7" xfId="0" applyFont="1" applyBorder="1" applyAlignment="1">
      <alignment horizontal="left" vertical="center" wrapText="1"/>
    </xf>
    <xf numFmtId="0" fontId="4" fillId="0" borderId="0" xfId="0" applyFont="1" applyAlignment="1">
      <alignment wrapText="1"/>
    </xf>
    <xf numFmtId="165" fontId="4" fillId="0" borderId="0" xfId="0" applyNumberFormat="1" applyFont="1"/>
    <xf numFmtId="165" fontId="10" fillId="0" borderId="0" xfId="1" applyNumberFormat="1" applyFont="1"/>
    <xf numFmtId="43" fontId="6" fillId="3" borderId="1" xfId="1" applyFont="1" applyFill="1" applyBorder="1" applyAlignment="1"/>
    <xf numFmtId="165" fontId="12" fillId="3" borderId="9" xfId="0" applyNumberFormat="1" applyFont="1" applyFill="1" applyBorder="1" applyAlignment="1">
      <alignment horizontal="center" vertical="center" wrapText="1"/>
    </xf>
    <xf numFmtId="10" fontId="11" fillId="3" borderId="15" xfId="2" applyNumberFormat="1" applyFont="1" applyFill="1" applyBorder="1" applyAlignment="1">
      <alignment horizontal="center" vertical="center"/>
    </xf>
    <xf numFmtId="43" fontId="11" fillId="3" borderId="15" xfId="1" applyFont="1" applyFill="1" applyBorder="1" applyAlignment="1">
      <alignment horizontal="center" vertical="center"/>
    </xf>
    <xf numFmtId="165" fontId="13" fillId="0" borderId="2" xfId="0" applyNumberFormat="1" applyFont="1" applyBorder="1" applyAlignment="1">
      <alignment vertical="center" wrapText="1"/>
    </xf>
    <xf numFmtId="0" fontId="14" fillId="0" borderId="7" xfId="0" applyFont="1" applyBorder="1" applyAlignment="1">
      <alignment horizontal="left" vertical="center" wrapText="1"/>
    </xf>
    <xf numFmtId="2" fontId="17" fillId="0" borderId="22" xfId="0" applyNumberFormat="1" applyFont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2" fontId="17" fillId="0" borderId="1" xfId="0" applyNumberFormat="1" applyFont="1" applyBorder="1" applyAlignment="1">
      <alignment horizontal="center" vertical="center" shrinkToFit="1"/>
    </xf>
    <xf numFmtId="44" fontId="18" fillId="0" borderId="1" xfId="0" applyNumberFormat="1" applyFont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vertical="center" wrapText="1"/>
    </xf>
    <xf numFmtId="0" fontId="18" fillId="0" borderId="5" xfId="0" applyFont="1" applyBorder="1" applyAlignment="1">
      <alignment horizontal="center" vertical="center" wrapText="1"/>
    </xf>
    <xf numFmtId="2" fontId="17" fillId="0" borderId="5" xfId="0" applyNumberFormat="1" applyFont="1" applyBorder="1" applyAlignment="1">
      <alignment horizontal="center" vertical="center" shrinkToFit="1"/>
    </xf>
    <xf numFmtId="0" fontId="8" fillId="0" borderId="24" xfId="0" applyFont="1" applyBorder="1" applyAlignment="1">
      <alignment vertical="center" wrapText="1"/>
    </xf>
    <xf numFmtId="0" fontId="18" fillId="0" borderId="7" xfId="0" applyFont="1" applyBorder="1" applyAlignment="1">
      <alignment horizontal="center" vertical="center" wrapText="1"/>
    </xf>
    <xf numFmtId="2" fontId="17" fillId="0" borderId="7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shrinkToFit="1"/>
    </xf>
    <xf numFmtId="0" fontId="8" fillId="0" borderId="6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1" fontId="17" fillId="0" borderId="22" xfId="0" applyNumberFormat="1" applyFont="1" applyBorder="1" applyAlignment="1">
      <alignment horizontal="center" vertical="center" shrinkToFit="1"/>
    </xf>
    <xf numFmtId="0" fontId="8" fillId="0" borderId="12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1" fontId="17" fillId="0" borderId="7" xfId="0" applyNumberFormat="1" applyFont="1" applyBorder="1" applyAlignment="1">
      <alignment horizontal="center" vertical="center" shrinkToFit="1"/>
    </xf>
    <xf numFmtId="0" fontId="8" fillId="0" borderId="12" xfId="0" applyFont="1" applyBorder="1" applyAlignment="1">
      <alignment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26" xfId="0" applyFont="1" applyBorder="1" applyAlignment="1">
      <alignment vertical="center" wrapText="1"/>
    </xf>
    <xf numFmtId="0" fontId="18" fillId="0" borderId="25" xfId="0" applyFont="1" applyBorder="1" applyAlignment="1">
      <alignment horizontal="center" vertical="center" wrapText="1"/>
    </xf>
    <xf numFmtId="2" fontId="17" fillId="0" borderId="25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wrapText="1" shrinkToFit="1"/>
    </xf>
    <xf numFmtId="1" fontId="17" fillId="0" borderId="8" xfId="0" applyNumberFormat="1" applyFont="1" applyBorder="1" applyAlignment="1">
      <alignment horizontal="center" vertical="center" shrinkToFit="1"/>
    </xf>
    <xf numFmtId="0" fontId="18" fillId="0" borderId="27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vertical="center" wrapText="1"/>
    </xf>
    <xf numFmtId="0" fontId="18" fillId="0" borderId="10" xfId="0" applyFont="1" applyBorder="1" applyAlignment="1">
      <alignment horizontal="center" vertical="center" wrapText="1"/>
    </xf>
    <xf numFmtId="44" fontId="18" fillId="0" borderId="7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44" fontId="3" fillId="3" borderId="28" xfId="0" applyNumberFormat="1" applyFont="1" applyFill="1" applyBorder="1" applyAlignment="1">
      <alignment horizontal="center" vertical="center" wrapText="1"/>
    </xf>
    <xf numFmtId="44" fontId="3" fillId="3" borderId="29" xfId="0" applyNumberFormat="1" applyFont="1" applyFill="1" applyBorder="1" applyAlignment="1">
      <alignment horizontal="center" vertical="center" wrapText="1"/>
    </xf>
    <xf numFmtId="10" fontId="4" fillId="0" borderId="0" xfId="2" applyNumberFormat="1" applyFont="1"/>
    <xf numFmtId="9" fontId="19" fillId="0" borderId="1" xfId="2" applyFont="1" applyFill="1" applyBorder="1" applyAlignment="1" applyProtection="1">
      <alignment horizontal="right" vertical="center" wrapText="1"/>
    </xf>
    <xf numFmtId="4" fontId="19" fillId="0" borderId="1" xfId="0" applyNumberFormat="1" applyFont="1" applyBorder="1" applyAlignment="1">
      <alignment horizontal="right" vertical="center" wrapText="1"/>
    </xf>
    <xf numFmtId="165" fontId="19" fillId="0" borderId="1" xfId="0" applyNumberFormat="1" applyFont="1" applyBorder="1" applyAlignment="1">
      <alignment horizontal="right" vertical="center" wrapText="1"/>
    </xf>
    <xf numFmtId="0" fontId="10" fillId="0" borderId="0" xfId="0" applyFont="1"/>
    <xf numFmtId="0" fontId="4" fillId="0" borderId="0" xfId="0" applyFont="1" applyAlignment="1">
      <alignment horizontal="center" vertical="center"/>
    </xf>
    <xf numFmtId="0" fontId="14" fillId="0" borderId="9" xfId="0" applyFont="1" applyBorder="1" applyAlignment="1">
      <alignment horizontal="left" vertical="center" wrapText="1"/>
    </xf>
    <xf numFmtId="0" fontId="16" fillId="0" borderId="22" xfId="0" applyFont="1" applyBorder="1" applyAlignment="1">
      <alignment horizontal="center" vertical="center" wrapText="1"/>
    </xf>
    <xf numFmtId="2" fontId="16" fillId="0" borderId="22" xfId="0" applyNumberFormat="1" applyFont="1" applyBorder="1" applyAlignment="1">
      <alignment horizontal="center" vertical="center" shrinkToFit="1"/>
    </xf>
    <xf numFmtId="44" fontId="18" fillId="0" borderId="22" xfId="0" applyNumberFormat="1" applyFont="1" applyBorder="1" applyAlignment="1">
      <alignment horizontal="center" vertical="center" wrapText="1"/>
    </xf>
    <xf numFmtId="0" fontId="20" fillId="0" borderId="1" xfId="0" applyFont="1" applyBorder="1"/>
    <xf numFmtId="9" fontId="9" fillId="0" borderId="1" xfId="2" applyFont="1" applyFill="1" applyBorder="1" applyAlignment="1" applyProtection="1">
      <alignment horizontal="right" vertical="center" wrapText="1"/>
    </xf>
    <xf numFmtId="4" fontId="9" fillId="0" borderId="1" xfId="0" applyNumberFormat="1" applyFont="1" applyBorder="1" applyAlignment="1">
      <alignment horizontal="right" vertical="center" wrapText="1"/>
    </xf>
    <xf numFmtId="165" fontId="9" fillId="0" borderId="1" xfId="0" applyNumberFormat="1" applyFont="1" applyBorder="1" applyAlignment="1">
      <alignment horizontal="right" vertical="center" wrapText="1"/>
    </xf>
    <xf numFmtId="10" fontId="9" fillId="0" borderId="1" xfId="2" applyNumberFormat="1" applyFont="1" applyFill="1" applyBorder="1" applyAlignment="1" applyProtection="1">
      <alignment horizontal="right" vertical="center" wrapText="1"/>
    </xf>
    <xf numFmtId="0" fontId="20" fillId="0" borderId="0" xfId="0" applyFont="1"/>
    <xf numFmtId="9" fontId="10" fillId="0" borderId="1" xfId="2" applyFont="1" applyBorder="1"/>
    <xf numFmtId="0" fontId="2" fillId="0" borderId="3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center"/>
    </xf>
    <xf numFmtId="4" fontId="4" fillId="0" borderId="0" xfId="0" applyNumberFormat="1" applyFont="1"/>
    <xf numFmtId="165" fontId="13" fillId="0" borderId="1" xfId="0" applyNumberFormat="1" applyFont="1" applyBorder="1" applyAlignment="1">
      <alignment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22" xfId="0" applyFont="1" applyBorder="1" applyAlignment="1">
      <alignment horizontal="left" vertical="center" wrapText="1"/>
    </xf>
    <xf numFmtId="0" fontId="20" fillId="0" borderId="15" xfId="0" applyFont="1" applyBorder="1"/>
    <xf numFmtId="0" fontId="8" fillId="0" borderId="5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16" fillId="0" borderId="23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2" fontId="17" fillId="0" borderId="23" xfId="0" applyNumberFormat="1" applyFont="1" applyBorder="1" applyAlignment="1">
      <alignment horizontal="center" vertical="center" shrinkToFit="1"/>
    </xf>
    <xf numFmtId="44" fontId="18" fillId="0" borderId="23" xfId="0" applyNumberFormat="1" applyFont="1" applyBorder="1" applyAlignment="1">
      <alignment horizontal="center" vertical="center" wrapText="1"/>
    </xf>
    <xf numFmtId="0" fontId="4" fillId="0" borderId="23" xfId="0" applyFont="1" applyBorder="1"/>
    <xf numFmtId="2" fontId="16" fillId="0" borderId="1" xfId="0" applyNumberFormat="1" applyFont="1" applyBorder="1" applyAlignment="1">
      <alignment horizontal="center" vertical="center" shrinkToFit="1"/>
    </xf>
    <xf numFmtId="0" fontId="4" fillId="4" borderId="1" xfId="0" applyFont="1" applyFill="1" applyBorder="1"/>
    <xf numFmtId="0" fontId="8" fillId="4" borderId="7" xfId="0" applyFont="1" applyFill="1" applyBorder="1" applyAlignment="1">
      <alignment horizontal="left" vertical="center" wrapText="1"/>
    </xf>
    <xf numFmtId="0" fontId="21" fillId="4" borderId="7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1" fontId="16" fillId="0" borderId="15" xfId="0" applyNumberFormat="1" applyFont="1" applyBorder="1" applyAlignment="1">
      <alignment horizontal="center" vertical="center" wrapText="1"/>
    </xf>
    <xf numFmtId="1" fontId="16" fillId="0" borderId="1" xfId="0" applyNumberFormat="1" applyFont="1" applyBorder="1" applyAlignment="1">
      <alignment horizontal="center" vertical="center" wrapText="1"/>
    </xf>
    <xf numFmtId="1" fontId="16" fillId="0" borderId="19" xfId="0" applyNumberFormat="1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left" vertical="center" wrapText="1"/>
    </xf>
    <xf numFmtId="1" fontId="18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shrinkToFit="1"/>
    </xf>
    <xf numFmtId="1" fontId="22" fillId="0" borderId="5" xfId="0" applyNumberFormat="1" applyFont="1" applyBorder="1" applyAlignment="1">
      <alignment horizontal="center" vertical="center" shrinkToFit="1"/>
    </xf>
    <xf numFmtId="1" fontId="8" fillId="0" borderId="5" xfId="0" applyNumberFormat="1" applyFont="1" applyBorder="1" applyAlignment="1">
      <alignment horizontal="center" vertical="center" wrapText="1"/>
    </xf>
    <xf numFmtId="166" fontId="8" fillId="0" borderId="5" xfId="0" applyNumberFormat="1" applyFont="1" applyBorder="1" applyAlignment="1">
      <alignment horizontal="center" vertical="center" wrapText="1"/>
    </xf>
    <xf numFmtId="166" fontId="17" fillId="0" borderId="1" xfId="0" applyNumberFormat="1" applyFont="1" applyBorder="1" applyAlignment="1">
      <alignment horizontal="center" vertical="center" shrinkToFit="1"/>
    </xf>
    <xf numFmtId="166" fontId="17" fillId="0" borderId="7" xfId="0" applyNumberFormat="1" applyFont="1" applyBorder="1" applyAlignment="1">
      <alignment horizontal="center" vertical="center" shrinkToFit="1"/>
    </xf>
    <xf numFmtId="0" fontId="21" fillId="0" borderId="6" xfId="0" applyFont="1" applyBorder="1" applyAlignment="1">
      <alignment vertical="center" wrapText="1"/>
    </xf>
    <xf numFmtId="0" fontId="23" fillId="0" borderId="5" xfId="0" applyFont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27" xfId="0" applyFont="1" applyFill="1" applyBorder="1" applyAlignment="1">
      <alignment horizontal="center" vertical="center" wrapText="1"/>
    </xf>
    <xf numFmtId="44" fontId="23" fillId="0" borderId="1" xfId="0" applyNumberFormat="1" applyFont="1" applyBorder="1" applyAlignment="1">
      <alignment horizontal="center" vertical="center" wrapText="1"/>
    </xf>
    <xf numFmtId="44" fontId="8" fillId="4" borderId="7" xfId="0" applyNumberFormat="1" applyFont="1" applyFill="1" applyBorder="1" applyAlignment="1">
      <alignment horizontal="center" vertical="center" wrapText="1"/>
    </xf>
    <xf numFmtId="44" fontId="18" fillId="0" borderId="5" xfId="0" applyNumberFormat="1" applyFont="1" applyBorder="1" applyAlignment="1">
      <alignment horizontal="center" vertical="center" wrapText="1"/>
    </xf>
    <xf numFmtId="44" fontId="14" fillId="0" borderId="1" xfId="0" applyNumberFormat="1" applyFont="1" applyBorder="1" applyAlignment="1">
      <alignment horizontal="center" vertical="center" wrapText="1"/>
    </xf>
    <xf numFmtId="44" fontId="23" fillId="0" borderId="5" xfId="0" applyNumberFormat="1" applyFont="1" applyBorder="1" applyAlignment="1">
      <alignment horizontal="center" vertical="center" shrinkToFit="1"/>
    </xf>
    <xf numFmtId="44" fontId="18" fillId="0" borderId="6" xfId="0" applyNumberFormat="1" applyFont="1" applyBorder="1" applyAlignment="1">
      <alignment horizontal="center" vertical="center" wrapText="1"/>
    </xf>
    <xf numFmtId="44" fontId="17" fillId="0" borderId="7" xfId="0" applyNumberFormat="1" applyFont="1" applyBorder="1" applyAlignment="1">
      <alignment horizontal="center" vertical="center" shrinkToFit="1"/>
    </xf>
    <xf numFmtId="44" fontId="17" fillId="0" borderId="22" xfId="0" applyNumberFormat="1" applyFont="1" applyBorder="1" applyAlignment="1">
      <alignment horizontal="center" vertical="center" shrinkToFit="1"/>
    </xf>
    <xf numFmtId="44" fontId="18" fillId="0" borderId="25" xfId="0" applyNumberFormat="1" applyFont="1" applyBorder="1" applyAlignment="1">
      <alignment horizontal="center" vertical="center" wrapText="1"/>
    </xf>
    <xf numFmtId="44" fontId="18" fillId="0" borderId="1" xfId="1" applyNumberFormat="1" applyFont="1" applyBorder="1" applyAlignment="1">
      <alignment horizontal="center" vertical="center" wrapText="1"/>
    </xf>
    <xf numFmtId="9" fontId="9" fillId="0" borderId="15" xfId="2" applyFont="1" applyBorder="1" applyAlignment="1">
      <alignment horizontal="center" vertical="center" wrapText="1"/>
    </xf>
    <xf numFmtId="2" fontId="24" fillId="0" borderId="22" xfId="0" applyNumberFormat="1" applyFont="1" applyBorder="1" applyAlignment="1">
      <alignment horizontal="center" vertical="center" shrinkToFit="1"/>
    </xf>
    <xf numFmtId="44" fontId="9" fillId="0" borderId="15" xfId="2" applyNumberFormat="1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44" fontId="6" fillId="0" borderId="1" xfId="0" applyNumberFormat="1" applyFont="1" applyBorder="1" applyAlignment="1">
      <alignment horizontal="center" vertical="center" wrapText="1"/>
    </xf>
    <xf numFmtId="2" fontId="25" fillId="0" borderId="1" xfId="0" applyNumberFormat="1" applyFont="1" applyBorder="1" applyAlignment="1">
      <alignment horizontal="center" vertical="center" shrinkToFit="1"/>
    </xf>
    <xf numFmtId="2" fontId="26" fillId="0" borderId="23" xfId="0" applyNumberFormat="1" applyFont="1" applyBorder="1" applyAlignment="1">
      <alignment horizontal="center" vertical="center" shrinkToFit="1"/>
    </xf>
    <xf numFmtId="165" fontId="8" fillId="4" borderId="8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1" fontId="16" fillId="0" borderId="1" xfId="0" applyNumberFormat="1" applyFont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left" vertical="center"/>
    </xf>
    <xf numFmtId="0" fontId="18" fillId="3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9" fillId="2" borderId="4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28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 wrapText="1"/>
    </xf>
    <xf numFmtId="0" fontId="21" fillId="4" borderId="1" xfId="0" applyFont="1" applyFill="1" applyBorder="1" applyAlignment="1">
      <alignment horizontal="left" vertical="center" wrapText="1"/>
    </xf>
    <xf numFmtId="1" fontId="22" fillId="0" borderId="1" xfId="0" applyNumberFormat="1" applyFont="1" applyBorder="1" applyAlignment="1">
      <alignment horizontal="center" vertical="center" shrinkToFit="1"/>
    </xf>
    <xf numFmtId="166" fontId="8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27" fillId="0" borderId="1" xfId="0" applyFont="1" applyBorder="1"/>
    <xf numFmtId="0" fontId="23" fillId="0" borderId="1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1" fillId="0" borderId="1" xfId="0" applyFont="1" applyBorder="1"/>
    <xf numFmtId="0" fontId="3" fillId="0" borderId="24" xfId="0" applyFont="1" applyBorder="1" applyAlignment="1">
      <alignment vertical="center" wrapText="1"/>
    </xf>
    <xf numFmtId="0" fontId="3" fillId="4" borderId="27" xfId="0" applyFont="1" applyFill="1" applyBorder="1" applyAlignment="1">
      <alignment horizontal="center" vertical="center" wrapText="1"/>
    </xf>
    <xf numFmtId="2" fontId="30" fillId="0" borderId="5" xfId="0" applyNumberFormat="1" applyFont="1" applyBorder="1" applyAlignment="1">
      <alignment horizontal="center" vertical="center" shrinkToFit="1"/>
    </xf>
    <xf numFmtId="2" fontId="30" fillId="0" borderId="7" xfId="0" applyNumberFormat="1" applyFont="1" applyBorder="1" applyAlignment="1">
      <alignment horizontal="center" vertical="center" shrinkToFit="1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2" fontId="28" fillId="0" borderId="1" xfId="0" applyNumberFormat="1" applyFont="1" applyBorder="1" applyAlignment="1">
      <alignment horizontal="center" vertical="center"/>
    </xf>
    <xf numFmtId="0" fontId="3" fillId="3" borderId="7" xfId="0" applyFont="1" applyFill="1" applyBorder="1" applyAlignment="1">
      <alignment horizontal="left" vertical="center" wrapText="1"/>
    </xf>
    <xf numFmtId="0" fontId="3" fillId="3" borderId="33" xfId="0" applyFont="1" applyFill="1" applyBorder="1" applyAlignment="1">
      <alignment horizontal="left" vertical="center" wrapText="1"/>
    </xf>
    <xf numFmtId="0" fontId="3" fillId="3" borderId="34" xfId="0" applyFont="1" applyFill="1" applyBorder="1" applyAlignment="1">
      <alignment horizontal="left" vertical="center" wrapText="1"/>
    </xf>
    <xf numFmtId="0" fontId="3" fillId="3" borderId="35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3" borderId="24" xfId="0" applyFont="1" applyFill="1" applyBorder="1" applyAlignment="1">
      <alignment horizontal="left" vertical="center" wrapText="1"/>
    </xf>
    <xf numFmtId="0" fontId="3" fillId="3" borderId="27" xfId="0" applyFont="1" applyFill="1" applyBorder="1" applyAlignment="1">
      <alignment horizontal="left" vertical="center" wrapText="1"/>
    </xf>
    <xf numFmtId="0" fontId="3" fillId="3" borderId="2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0" fontId="13" fillId="0" borderId="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3" fillId="3" borderId="30" xfId="0" applyFont="1" applyFill="1" applyBorder="1" applyAlignment="1">
      <alignment horizontal="left" vertical="center" wrapText="1"/>
    </xf>
    <xf numFmtId="0" fontId="3" fillId="3" borderId="31" xfId="0" applyFont="1" applyFill="1" applyBorder="1" applyAlignment="1">
      <alignment horizontal="left" vertical="center" wrapText="1"/>
    </xf>
    <xf numFmtId="0" fontId="3" fillId="3" borderId="32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wrapText="1"/>
    </xf>
    <xf numFmtId="0" fontId="7" fillId="2" borderId="13" xfId="0" applyFont="1" applyFill="1" applyBorder="1" applyAlignment="1">
      <alignment horizontal="center" wrapText="1"/>
    </xf>
    <xf numFmtId="0" fontId="7" fillId="2" borderId="14" xfId="0" applyFont="1" applyFill="1" applyBorder="1" applyAlignment="1">
      <alignment horizontal="center" wrapText="1"/>
    </xf>
    <xf numFmtId="0" fontId="7" fillId="2" borderId="16" xfId="0" applyFont="1" applyFill="1" applyBorder="1" applyAlignment="1">
      <alignment horizontal="center" wrapText="1"/>
    </xf>
    <xf numFmtId="0" fontId="7" fillId="2" borderId="17" xfId="0" applyFont="1" applyFill="1" applyBorder="1" applyAlignment="1">
      <alignment horizontal="center" wrapText="1"/>
    </xf>
    <xf numFmtId="0" fontId="7" fillId="2" borderId="0" xfId="0" applyFont="1" applyFill="1" applyAlignment="1">
      <alignment horizontal="center" wrapText="1"/>
    </xf>
    <xf numFmtId="0" fontId="7" fillId="2" borderId="18" xfId="0" applyFont="1" applyFill="1" applyBorder="1" applyAlignment="1">
      <alignment horizontal="center" wrapText="1"/>
    </xf>
    <xf numFmtId="0" fontId="7" fillId="2" borderId="19" xfId="0" applyFont="1" applyFill="1" applyBorder="1" applyAlignment="1">
      <alignment horizontal="center" wrapText="1"/>
    </xf>
    <xf numFmtId="0" fontId="7" fillId="2" borderId="20" xfId="0" applyFont="1" applyFill="1" applyBorder="1" applyAlignment="1">
      <alignment horizontal="center" wrapText="1"/>
    </xf>
    <xf numFmtId="0" fontId="7" fillId="2" borderId="21" xfId="0" applyFont="1" applyFill="1" applyBorder="1" applyAlignment="1">
      <alignment horizontal="center" wrapText="1"/>
    </xf>
    <xf numFmtId="0" fontId="3" fillId="3" borderId="0" xfId="0" applyFont="1" applyFill="1" applyAlignment="1">
      <alignment horizontal="right" vertical="center" wrapText="1"/>
    </xf>
    <xf numFmtId="0" fontId="3" fillId="3" borderId="11" xfId="0" applyFont="1" applyFill="1" applyBorder="1" applyAlignment="1">
      <alignment horizontal="right" vertical="center" wrapText="1"/>
    </xf>
    <xf numFmtId="0" fontId="3" fillId="3" borderId="9" xfId="0" applyFont="1" applyFill="1" applyBorder="1" applyAlignment="1">
      <alignment horizontal="right" vertical="center" wrapText="1"/>
    </xf>
    <xf numFmtId="0" fontId="3" fillId="3" borderId="10" xfId="0" applyFont="1" applyFill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</cellXfs>
  <cellStyles count="3">
    <cellStyle name="Normal" xfId="0" builtinId="0"/>
    <cellStyle name="Porcentagem" xfId="2" builtinId="5"/>
    <cellStyle name="Vírgula" xfId="1" builtinId="3"/>
  </cellStyles>
  <dxfs count="170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43543</xdr:colOff>
      <xdr:row>0</xdr:row>
      <xdr:rowOff>43543</xdr:rowOff>
    </xdr:from>
    <xdr:ext cx="1365934" cy="1469570"/>
    <xdr:pic>
      <xdr:nvPicPr>
        <xdr:cNvPr id="3" name="image1.jpeg">
          <a:extLst>
            <a:ext uri="{FF2B5EF4-FFF2-40B4-BE49-F238E27FC236}">
              <a16:creationId xmlns:a16="http://schemas.microsoft.com/office/drawing/2014/main" id="{A56DB9F0-7A3E-44B4-9BC9-555ED6EC2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43" y="43543"/>
          <a:ext cx="1365934" cy="146957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97972</xdr:rowOff>
    </xdr:from>
    <xdr:ext cx="1328057" cy="1404257"/>
    <xdr:pic>
      <xdr:nvPicPr>
        <xdr:cNvPr id="3" name="image1.jpeg">
          <a:extLst>
            <a:ext uri="{FF2B5EF4-FFF2-40B4-BE49-F238E27FC236}">
              <a16:creationId xmlns:a16="http://schemas.microsoft.com/office/drawing/2014/main" id="{23B56817-AB73-4572-8284-C7E2E4325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7972"/>
          <a:ext cx="1328057" cy="140425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362"/>
  <sheetViews>
    <sheetView tabSelected="1" view="pageBreakPreview" topLeftCell="A280" zoomScale="70" zoomScaleNormal="70" zoomScaleSheetLayoutView="70" workbookViewId="0">
      <selection activeCell="A56" sqref="A56:A58"/>
    </sheetView>
  </sheetViews>
  <sheetFormatPr defaultColWidth="9.21875" defaultRowHeight="13.8"/>
  <cols>
    <col min="1" max="1" width="21.6640625" style="16" customWidth="1"/>
    <col min="2" max="2" width="13.21875" style="16" customWidth="1"/>
    <col min="3" max="3" width="61.44140625" style="16" customWidth="1"/>
    <col min="4" max="4" width="13" style="16" customWidth="1"/>
    <col min="5" max="5" width="11.21875" style="16" customWidth="1"/>
    <col min="6" max="6" width="12.5546875" style="16" customWidth="1"/>
    <col min="7" max="7" width="13.77734375" style="16" customWidth="1"/>
    <col min="8" max="8" width="17.21875" style="16" customWidth="1"/>
    <col min="9" max="9" width="49.109375" style="16" customWidth="1"/>
    <col min="10" max="10" width="24.6640625" style="16" bestFit="1" customWidth="1"/>
    <col min="11" max="11" width="25" style="16" bestFit="1" customWidth="1"/>
    <col min="12" max="12" width="18.88671875" style="16" bestFit="1" customWidth="1"/>
    <col min="13" max="16384" width="9.21875" style="16"/>
  </cols>
  <sheetData>
    <row r="1" spans="1:12" ht="127.2" customHeight="1">
      <c r="A1" s="153"/>
      <c r="B1" s="184" t="s">
        <v>71</v>
      </c>
      <c r="C1" s="185"/>
      <c r="D1" s="154"/>
      <c r="E1" s="183" t="s">
        <v>69</v>
      </c>
      <c r="F1" s="183"/>
      <c r="G1" s="183" t="s">
        <v>599</v>
      </c>
      <c r="H1" s="183"/>
      <c r="I1" s="61" t="s">
        <v>70</v>
      </c>
      <c r="J1" s="187"/>
      <c r="K1" s="187"/>
      <c r="L1" s="187"/>
    </row>
    <row r="2" spans="1:12" ht="80.400000000000006" customHeight="1">
      <c r="A2" s="183" t="s">
        <v>72</v>
      </c>
      <c r="B2" s="183"/>
      <c r="C2" s="183"/>
      <c r="D2" s="183"/>
      <c r="E2" s="183" t="s">
        <v>68</v>
      </c>
      <c r="F2" s="183"/>
      <c r="G2" s="183" t="s">
        <v>639</v>
      </c>
      <c r="H2" s="183"/>
      <c r="I2" s="61" t="s">
        <v>598</v>
      </c>
      <c r="J2" s="187"/>
      <c r="K2" s="187"/>
      <c r="L2" s="187"/>
    </row>
    <row r="3" spans="1:12" ht="55.8" customHeight="1">
      <c r="A3" s="183" t="s">
        <v>73</v>
      </c>
      <c r="B3" s="183"/>
      <c r="C3" s="183"/>
      <c r="D3" s="183"/>
      <c r="E3" s="183" t="s">
        <v>74</v>
      </c>
      <c r="F3" s="183"/>
      <c r="G3" s="183"/>
      <c r="H3" s="183"/>
      <c r="I3" s="183"/>
      <c r="J3" s="189" t="s">
        <v>49</v>
      </c>
      <c r="K3" s="190"/>
      <c r="L3" s="84">
        <f>L346</f>
        <v>101593.32700000002</v>
      </c>
    </row>
    <row r="4" spans="1:12" ht="15" customHeight="1">
      <c r="A4" s="208"/>
      <c r="B4" s="209"/>
      <c r="C4" s="209"/>
      <c r="D4" s="209"/>
      <c r="E4" s="209"/>
      <c r="F4" s="209"/>
      <c r="G4" s="209"/>
      <c r="H4" s="210"/>
      <c r="I4" s="1"/>
      <c r="J4" s="188" t="s">
        <v>0</v>
      </c>
      <c r="K4" s="188"/>
      <c r="L4" s="188"/>
    </row>
    <row r="5" spans="1:12" ht="65.25" customHeight="1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3" t="s">
        <v>8</v>
      </c>
      <c r="I5" s="4"/>
      <c r="J5" s="4" t="s">
        <v>9</v>
      </c>
      <c r="K5" s="4" t="s">
        <v>10</v>
      </c>
      <c r="L5" s="4" t="s">
        <v>11</v>
      </c>
    </row>
    <row r="6" spans="1:12" ht="20.100000000000001" customHeight="1">
      <c r="A6" s="5">
        <v>1</v>
      </c>
      <c r="B6" s="174" t="s">
        <v>12</v>
      </c>
      <c r="C6" s="174"/>
      <c r="D6" s="174"/>
      <c r="E6" s="174"/>
      <c r="F6" s="174"/>
      <c r="G6" s="174"/>
      <c r="H6" s="6">
        <f>SUM(H7:H9)</f>
        <v>14468.484199999999</v>
      </c>
      <c r="I6" s="7"/>
      <c r="J6" s="186" t="s">
        <v>13</v>
      </c>
      <c r="K6" s="186"/>
      <c r="L6" s="186"/>
    </row>
    <row r="7" spans="1:12" s="79" customFormat="1" ht="49.95" customHeight="1">
      <c r="A7" s="93" t="s">
        <v>14</v>
      </c>
      <c r="B7" s="107">
        <v>103689</v>
      </c>
      <c r="C7" s="70" t="s">
        <v>77</v>
      </c>
      <c r="D7" s="71" t="s">
        <v>37</v>
      </c>
      <c r="E7" s="71" t="s">
        <v>63</v>
      </c>
      <c r="F7" s="72">
        <v>8</v>
      </c>
      <c r="G7" s="73">
        <v>537.1</v>
      </c>
      <c r="H7" s="73">
        <f>F7*G7</f>
        <v>4296.8</v>
      </c>
      <c r="I7" s="94"/>
      <c r="J7" s="135">
        <f>K7/F7</f>
        <v>1</v>
      </c>
      <c r="K7" s="136">
        <v>8</v>
      </c>
      <c r="L7" s="137">
        <f>J7*H7</f>
        <v>4296.8</v>
      </c>
    </row>
    <row r="8" spans="1:12" s="79" customFormat="1" ht="49.95" customHeight="1">
      <c r="A8" s="88" t="s">
        <v>15</v>
      </c>
      <c r="B8" s="108">
        <v>99059</v>
      </c>
      <c r="C8" s="88" t="s">
        <v>78</v>
      </c>
      <c r="D8" s="87" t="s">
        <v>37</v>
      </c>
      <c r="E8" s="87" t="s">
        <v>38</v>
      </c>
      <c r="F8" s="102">
        <v>132.87</v>
      </c>
      <c r="G8" s="32">
        <v>71.739999999999995</v>
      </c>
      <c r="H8" s="73">
        <f t="shared" ref="H8:H9" si="0">F8*G8</f>
        <v>9532.0937999999987</v>
      </c>
      <c r="I8" s="74"/>
      <c r="J8" s="135">
        <f t="shared" ref="J8:J9" si="1">K8/F8</f>
        <v>1</v>
      </c>
      <c r="K8" s="140">
        <v>132.87</v>
      </c>
      <c r="L8" s="137">
        <f t="shared" ref="L8:L9" si="2">J8*H8</f>
        <v>9532.0937999999987</v>
      </c>
    </row>
    <row r="9" spans="1:12" ht="49.95" customHeight="1">
      <c r="A9" s="95" t="s">
        <v>75</v>
      </c>
      <c r="B9" s="109">
        <v>98525</v>
      </c>
      <c r="C9" s="96" t="s">
        <v>79</v>
      </c>
      <c r="D9" s="97" t="s">
        <v>37</v>
      </c>
      <c r="E9" s="98" t="s">
        <v>63</v>
      </c>
      <c r="F9" s="99">
        <v>888.32</v>
      </c>
      <c r="G9" s="100">
        <v>0.72</v>
      </c>
      <c r="H9" s="73">
        <f t="shared" si="0"/>
        <v>639.59040000000005</v>
      </c>
      <c r="I9" s="101"/>
      <c r="J9" s="135">
        <f t="shared" si="1"/>
        <v>1</v>
      </c>
      <c r="K9" s="141">
        <v>888.32</v>
      </c>
      <c r="L9" s="137">
        <f t="shared" si="2"/>
        <v>639.59040000000005</v>
      </c>
    </row>
    <row r="10" spans="1:12" ht="19.2" customHeight="1">
      <c r="A10" s="85">
        <v>2</v>
      </c>
      <c r="B10" s="174" t="s">
        <v>76</v>
      </c>
      <c r="C10" s="174"/>
      <c r="D10" s="174"/>
      <c r="E10" s="174"/>
      <c r="F10" s="174"/>
      <c r="G10" s="174"/>
      <c r="H10" s="8">
        <f>SUM(H11,H13,H16,H27,H38,H42,H52,H55,H59,H130,H137)</f>
        <v>94029.074800000002</v>
      </c>
      <c r="I10" s="7"/>
      <c r="J10" s="7"/>
      <c r="K10" s="7"/>
      <c r="L10" s="7"/>
    </row>
    <row r="11" spans="1:12" ht="20.100000000000001" customHeight="1">
      <c r="A11" s="5" t="s">
        <v>16</v>
      </c>
      <c r="B11" s="174" t="s">
        <v>12</v>
      </c>
      <c r="C11" s="174"/>
      <c r="D11" s="174"/>
      <c r="E11" s="174"/>
      <c r="F11" s="174"/>
      <c r="G11" s="174"/>
      <c r="H11" s="8">
        <f>SUM(H12:H12)</f>
        <v>997.17599999999993</v>
      </c>
      <c r="I11" s="7"/>
      <c r="J11" s="7"/>
      <c r="K11" s="7"/>
      <c r="L11" s="7"/>
    </row>
    <row r="12" spans="1:12" ht="54.6" customHeight="1">
      <c r="A12" s="17" t="s">
        <v>80</v>
      </c>
      <c r="B12" s="109">
        <v>99059</v>
      </c>
      <c r="C12" s="34" t="s">
        <v>78</v>
      </c>
      <c r="D12" s="30" t="s">
        <v>37</v>
      </c>
      <c r="E12" s="30" t="s">
        <v>38</v>
      </c>
      <c r="F12" s="30">
        <v>13.9</v>
      </c>
      <c r="G12" s="32">
        <v>71.739999999999995</v>
      </c>
      <c r="H12" s="134">
        <f>F12*G12-0.01</f>
        <v>997.17599999999993</v>
      </c>
      <c r="I12" s="10"/>
      <c r="J12" s="135">
        <f t="shared" ref="J12" si="3">K12/F12</f>
        <v>1</v>
      </c>
      <c r="K12" s="138">
        <v>13.9</v>
      </c>
      <c r="L12" s="139">
        <f>J12*H12</f>
        <v>997.17599999999993</v>
      </c>
    </row>
    <row r="13" spans="1:12" ht="20.100000000000001" customHeight="1">
      <c r="A13" s="5" t="s">
        <v>17</v>
      </c>
      <c r="B13" s="174" t="s">
        <v>33</v>
      </c>
      <c r="C13" s="174"/>
      <c r="D13" s="174"/>
      <c r="E13" s="181"/>
      <c r="F13" s="174"/>
      <c r="G13" s="174"/>
      <c r="H13" s="8">
        <f>SUM(H14:H15)</f>
        <v>1312.6276999999998</v>
      </c>
      <c r="I13" s="7"/>
      <c r="J13" s="7"/>
      <c r="K13" s="7"/>
      <c r="L13" s="7"/>
    </row>
    <row r="14" spans="1:12" ht="49.95" customHeight="1">
      <c r="A14" s="104" t="s">
        <v>81</v>
      </c>
      <c r="B14" s="109">
        <v>93358</v>
      </c>
      <c r="C14" s="104" t="s">
        <v>410</v>
      </c>
      <c r="D14" s="122" t="s">
        <v>37</v>
      </c>
      <c r="E14" s="123" t="s">
        <v>65</v>
      </c>
      <c r="F14" s="124">
        <v>11.6</v>
      </c>
      <c r="G14" s="126">
        <v>96.82</v>
      </c>
      <c r="H14" s="142">
        <f>F14*G14</f>
        <v>1123.1119999999999</v>
      </c>
      <c r="I14" s="103"/>
      <c r="J14" s="135">
        <f t="shared" ref="J14:J30" si="4">K14/F14</f>
        <v>1</v>
      </c>
      <c r="K14" s="168">
        <v>11.6</v>
      </c>
      <c r="L14" s="139">
        <f>J14*H14</f>
        <v>1123.1119999999999</v>
      </c>
    </row>
    <row r="15" spans="1:12" ht="49.95" customHeight="1">
      <c r="A15" s="104" t="s">
        <v>81</v>
      </c>
      <c r="B15" s="109">
        <v>104737</v>
      </c>
      <c r="C15" s="104" t="s">
        <v>411</v>
      </c>
      <c r="D15" s="122" t="s">
        <v>37</v>
      </c>
      <c r="E15" s="123" t="s">
        <v>65</v>
      </c>
      <c r="F15" s="124">
        <v>7.67</v>
      </c>
      <c r="G15" s="126">
        <v>24.71</v>
      </c>
      <c r="H15" s="142">
        <f>F15*G15-0.01</f>
        <v>189.51570000000001</v>
      </c>
      <c r="I15" s="103"/>
      <c r="J15" s="135">
        <f t="shared" si="4"/>
        <v>1</v>
      </c>
      <c r="K15" s="168">
        <v>7.67</v>
      </c>
      <c r="L15" s="139">
        <f>J15*H15</f>
        <v>189.51570000000001</v>
      </c>
    </row>
    <row r="16" spans="1:12" ht="20.100000000000001" customHeight="1">
      <c r="A16" s="111" t="s">
        <v>18</v>
      </c>
      <c r="B16" s="181" t="s">
        <v>40</v>
      </c>
      <c r="C16" s="181"/>
      <c r="D16" s="174"/>
      <c r="E16" s="182"/>
      <c r="F16" s="174"/>
      <c r="G16" s="174"/>
      <c r="H16" s="8">
        <f>SUM(H17:H26)-0.01</f>
        <v>13917.386500000001</v>
      </c>
      <c r="I16" s="7"/>
      <c r="J16" s="7"/>
      <c r="K16" s="7"/>
      <c r="L16" s="7"/>
    </row>
    <row r="17" spans="1:12" ht="49.95" customHeight="1">
      <c r="A17" s="88" t="s">
        <v>82</v>
      </c>
      <c r="B17" s="108">
        <v>96619</v>
      </c>
      <c r="C17" s="34" t="s">
        <v>412</v>
      </c>
      <c r="D17" s="110" t="s">
        <v>37</v>
      </c>
      <c r="E17" s="35" t="s">
        <v>63</v>
      </c>
      <c r="F17" s="36">
        <v>7.08</v>
      </c>
      <c r="G17" s="127">
        <v>44.9</v>
      </c>
      <c r="H17" s="32">
        <f>F17*G17</f>
        <v>317.892</v>
      </c>
      <c r="I17" s="10"/>
      <c r="J17" s="135">
        <f t="shared" si="4"/>
        <v>1</v>
      </c>
      <c r="K17" s="169">
        <v>7.08</v>
      </c>
      <c r="L17" s="139">
        <f>J17*H17</f>
        <v>317.892</v>
      </c>
    </row>
    <row r="18" spans="1:12" ht="49.95" customHeight="1">
      <c r="A18" s="88" t="s">
        <v>83</v>
      </c>
      <c r="B18" s="108">
        <v>101616</v>
      </c>
      <c r="C18" s="34" t="s">
        <v>413</v>
      </c>
      <c r="D18" s="110" t="s">
        <v>37</v>
      </c>
      <c r="E18" s="35" t="s">
        <v>63</v>
      </c>
      <c r="F18" s="36">
        <v>16.010000000000002</v>
      </c>
      <c r="G18" s="127">
        <v>7.07</v>
      </c>
      <c r="H18" s="32">
        <f t="shared" ref="H18:H26" si="5">F18*G18</f>
        <v>113.19070000000002</v>
      </c>
      <c r="I18" s="10"/>
      <c r="J18" s="135">
        <f t="shared" si="4"/>
        <v>1</v>
      </c>
      <c r="K18" s="169">
        <v>16.010000000000002</v>
      </c>
      <c r="L18" s="139">
        <f t="shared" ref="L18:L30" si="6">J18*H18</f>
        <v>113.19070000000002</v>
      </c>
    </row>
    <row r="19" spans="1:12" ht="49.95" customHeight="1">
      <c r="A19" s="88" t="s">
        <v>84</v>
      </c>
      <c r="B19" s="108">
        <v>94971</v>
      </c>
      <c r="C19" s="34" t="s">
        <v>414</v>
      </c>
      <c r="D19" s="110" t="s">
        <v>37</v>
      </c>
      <c r="E19" s="35" t="s">
        <v>65</v>
      </c>
      <c r="F19" s="36">
        <v>3.93</v>
      </c>
      <c r="G19" s="127">
        <v>559.80999999999995</v>
      </c>
      <c r="H19" s="32">
        <f t="shared" si="5"/>
        <v>2200.0533</v>
      </c>
      <c r="I19" s="10"/>
      <c r="J19" s="135">
        <f t="shared" si="4"/>
        <v>1</v>
      </c>
      <c r="K19" s="169">
        <v>3.93</v>
      </c>
      <c r="L19" s="139">
        <f t="shared" si="6"/>
        <v>2200.0533</v>
      </c>
    </row>
    <row r="20" spans="1:12" ht="49.95" customHeight="1">
      <c r="A20" s="88" t="s">
        <v>85</v>
      </c>
      <c r="B20" s="108">
        <v>103670</v>
      </c>
      <c r="C20" s="34" t="s">
        <v>415</v>
      </c>
      <c r="D20" s="56" t="s">
        <v>37</v>
      </c>
      <c r="E20" s="38" t="s">
        <v>65</v>
      </c>
      <c r="F20" s="39">
        <v>3.93</v>
      </c>
      <c r="G20" s="60">
        <v>331.13</v>
      </c>
      <c r="H20" s="32">
        <f t="shared" si="5"/>
        <v>1301.3409000000001</v>
      </c>
      <c r="I20" s="10"/>
      <c r="J20" s="135">
        <f t="shared" si="4"/>
        <v>1</v>
      </c>
      <c r="K20" s="170">
        <v>3.93</v>
      </c>
      <c r="L20" s="139">
        <f t="shared" si="6"/>
        <v>1301.3409000000001</v>
      </c>
    </row>
    <row r="21" spans="1:12" ht="49.95" customHeight="1">
      <c r="A21" s="88" t="s">
        <v>86</v>
      </c>
      <c r="B21" s="108">
        <v>104927</v>
      </c>
      <c r="C21" s="34" t="s">
        <v>416</v>
      </c>
      <c r="D21" s="56" t="s">
        <v>37</v>
      </c>
      <c r="E21" s="38" t="s">
        <v>63</v>
      </c>
      <c r="F21" s="39">
        <v>9.9499999999999993</v>
      </c>
      <c r="G21" s="60">
        <v>93.61</v>
      </c>
      <c r="H21" s="32">
        <f>F21*G21-0.01</f>
        <v>931.40949999999998</v>
      </c>
      <c r="I21" s="10"/>
      <c r="J21" s="135">
        <f t="shared" si="4"/>
        <v>1</v>
      </c>
      <c r="K21" s="170">
        <v>9.9499999999999993</v>
      </c>
      <c r="L21" s="139">
        <f t="shared" si="6"/>
        <v>931.40949999999998</v>
      </c>
    </row>
    <row r="22" spans="1:12" ht="49.95" customHeight="1">
      <c r="A22" s="88" t="s">
        <v>87</v>
      </c>
      <c r="B22" s="108">
        <v>96542</v>
      </c>
      <c r="C22" s="34" t="s">
        <v>417</v>
      </c>
      <c r="D22" s="56" t="s">
        <v>37</v>
      </c>
      <c r="E22" s="38" t="s">
        <v>63</v>
      </c>
      <c r="F22" s="39">
        <v>33.68</v>
      </c>
      <c r="G22" s="60">
        <v>102.97</v>
      </c>
      <c r="H22" s="32">
        <f>F22*G22-0.01</f>
        <v>3468.0195999999996</v>
      </c>
      <c r="I22" s="10"/>
      <c r="J22" s="135">
        <f t="shared" si="4"/>
        <v>1</v>
      </c>
      <c r="K22" s="170">
        <v>33.68</v>
      </c>
      <c r="L22" s="139">
        <f t="shared" si="6"/>
        <v>3468.0195999999996</v>
      </c>
    </row>
    <row r="23" spans="1:12" ht="49.95" customHeight="1">
      <c r="A23" s="88" t="s">
        <v>88</v>
      </c>
      <c r="B23" s="108">
        <v>104917</v>
      </c>
      <c r="C23" s="34" t="s">
        <v>418</v>
      </c>
      <c r="D23" s="56" t="s">
        <v>37</v>
      </c>
      <c r="E23" s="38" t="s">
        <v>42</v>
      </c>
      <c r="F23" s="39">
        <v>53</v>
      </c>
      <c r="G23" s="60">
        <v>17.399999999999999</v>
      </c>
      <c r="H23" s="32">
        <f t="shared" si="5"/>
        <v>922.19999999999993</v>
      </c>
      <c r="I23" s="10"/>
      <c r="J23" s="135">
        <f t="shared" si="4"/>
        <v>1</v>
      </c>
      <c r="K23" s="170">
        <v>53</v>
      </c>
      <c r="L23" s="139">
        <f t="shared" si="6"/>
        <v>922.19999999999993</v>
      </c>
    </row>
    <row r="24" spans="1:12" ht="49.95" customHeight="1">
      <c r="A24" s="88" t="s">
        <v>89</v>
      </c>
      <c r="B24" s="108">
        <v>104916</v>
      </c>
      <c r="C24" s="34" t="s">
        <v>419</v>
      </c>
      <c r="D24" s="56" t="s">
        <v>37</v>
      </c>
      <c r="E24" s="38" t="s">
        <v>42</v>
      </c>
      <c r="F24" s="39">
        <v>52.9</v>
      </c>
      <c r="G24" s="60">
        <v>18.75</v>
      </c>
      <c r="H24" s="32">
        <f>F24*G24-0.01</f>
        <v>991.86500000000001</v>
      </c>
      <c r="I24" s="10"/>
      <c r="J24" s="135">
        <f t="shared" si="4"/>
        <v>1</v>
      </c>
      <c r="K24" s="170">
        <v>52.9</v>
      </c>
      <c r="L24" s="139">
        <f t="shared" si="6"/>
        <v>991.86500000000001</v>
      </c>
    </row>
    <row r="25" spans="1:12" ht="49.95" customHeight="1">
      <c r="A25" s="88" t="s">
        <v>90</v>
      </c>
      <c r="B25" s="108">
        <v>104918</v>
      </c>
      <c r="C25" s="34" t="s">
        <v>420</v>
      </c>
      <c r="D25" s="56" t="s">
        <v>37</v>
      </c>
      <c r="E25" s="38" t="s">
        <v>42</v>
      </c>
      <c r="F25" s="39">
        <v>81.2</v>
      </c>
      <c r="G25" s="60">
        <v>16.16</v>
      </c>
      <c r="H25" s="32">
        <f t="shared" si="5"/>
        <v>1312.192</v>
      </c>
      <c r="I25" s="10"/>
      <c r="J25" s="135">
        <f t="shared" si="4"/>
        <v>1</v>
      </c>
      <c r="K25" s="170">
        <v>81.2</v>
      </c>
      <c r="L25" s="139">
        <f t="shared" si="6"/>
        <v>1312.192</v>
      </c>
    </row>
    <row r="26" spans="1:12" ht="49.95" customHeight="1">
      <c r="A26" s="88" t="s">
        <v>91</v>
      </c>
      <c r="B26" s="108">
        <v>98557</v>
      </c>
      <c r="C26" s="34" t="s">
        <v>421</v>
      </c>
      <c r="D26" s="56" t="s">
        <v>37</v>
      </c>
      <c r="E26" s="38" t="s">
        <v>63</v>
      </c>
      <c r="F26" s="39">
        <v>43.73</v>
      </c>
      <c r="G26" s="60">
        <v>53.95</v>
      </c>
      <c r="H26" s="32">
        <f t="shared" si="5"/>
        <v>2359.2334999999998</v>
      </c>
      <c r="I26" s="10"/>
      <c r="J26" s="135">
        <f t="shared" si="4"/>
        <v>1</v>
      </c>
      <c r="K26" s="170">
        <v>43.73</v>
      </c>
      <c r="L26" s="139">
        <f t="shared" si="6"/>
        <v>2359.2334999999998</v>
      </c>
    </row>
    <row r="27" spans="1:12" ht="20.100000000000001" customHeight="1">
      <c r="A27" s="106" t="s">
        <v>92</v>
      </c>
      <c r="B27" s="182" t="s">
        <v>93</v>
      </c>
      <c r="C27" s="182"/>
      <c r="D27" s="174"/>
      <c r="E27" s="174"/>
      <c r="F27" s="174"/>
      <c r="G27" s="174"/>
      <c r="H27" s="8">
        <f>SUM(H28:H37)+0.02</f>
        <v>15491.799799999997</v>
      </c>
      <c r="I27" s="7"/>
      <c r="J27" s="7"/>
      <c r="K27" s="7"/>
      <c r="L27" s="7"/>
    </row>
    <row r="28" spans="1:12" ht="49.95" customHeight="1">
      <c r="A28" s="26" t="s">
        <v>94</v>
      </c>
      <c r="B28" s="112">
        <v>92429</v>
      </c>
      <c r="C28" s="37" t="s">
        <v>422</v>
      </c>
      <c r="D28" s="38" t="s">
        <v>37</v>
      </c>
      <c r="E28" s="38" t="s">
        <v>63</v>
      </c>
      <c r="F28" s="39">
        <v>57.56</v>
      </c>
      <c r="G28" s="60">
        <v>82.09</v>
      </c>
      <c r="H28" s="32">
        <f>F28*G28</f>
        <v>4725.1004000000003</v>
      </c>
      <c r="I28" s="10"/>
      <c r="J28" s="135">
        <f t="shared" si="4"/>
        <v>1</v>
      </c>
      <c r="K28" s="170">
        <v>57.56</v>
      </c>
      <c r="L28" s="139">
        <f t="shared" si="6"/>
        <v>4725.1004000000003</v>
      </c>
    </row>
    <row r="29" spans="1:12" ht="49.95" customHeight="1">
      <c r="A29" s="26" t="s">
        <v>95</v>
      </c>
      <c r="B29" s="112">
        <v>92476</v>
      </c>
      <c r="C29" s="37" t="s">
        <v>423</v>
      </c>
      <c r="D29" s="38" t="s">
        <v>37</v>
      </c>
      <c r="E29" s="38" t="s">
        <v>63</v>
      </c>
      <c r="F29" s="39">
        <v>12.9</v>
      </c>
      <c r="G29" s="60">
        <v>101.44</v>
      </c>
      <c r="H29" s="32">
        <f>F29*G29-0.01</f>
        <v>1308.566</v>
      </c>
      <c r="I29" s="10"/>
      <c r="J29" s="135">
        <f t="shared" si="4"/>
        <v>1</v>
      </c>
      <c r="K29" s="170">
        <v>12.9</v>
      </c>
      <c r="L29" s="139">
        <f t="shared" si="6"/>
        <v>1308.566</v>
      </c>
    </row>
    <row r="30" spans="1:12" ht="49.95" customHeight="1">
      <c r="A30" s="26" t="s">
        <v>96</v>
      </c>
      <c r="B30" s="112">
        <v>92486</v>
      </c>
      <c r="C30" s="37" t="s">
        <v>424</v>
      </c>
      <c r="D30" s="38" t="s">
        <v>37</v>
      </c>
      <c r="E30" s="38" t="s">
        <v>63</v>
      </c>
      <c r="F30" s="39">
        <v>6.04</v>
      </c>
      <c r="G30" s="60">
        <v>181.19</v>
      </c>
      <c r="H30" s="32">
        <f>F30*G30-0.01</f>
        <v>1094.3776</v>
      </c>
      <c r="I30" s="10"/>
      <c r="J30" s="135">
        <f t="shared" si="4"/>
        <v>1</v>
      </c>
      <c r="K30" s="170">
        <v>6.04</v>
      </c>
      <c r="L30" s="139">
        <f t="shared" si="6"/>
        <v>1094.3776</v>
      </c>
    </row>
    <row r="31" spans="1:12" ht="49.95" customHeight="1">
      <c r="A31" s="26" t="s">
        <v>97</v>
      </c>
      <c r="B31" s="112">
        <v>92759</v>
      </c>
      <c r="C31" s="37" t="s">
        <v>425</v>
      </c>
      <c r="D31" s="38" t="s">
        <v>37</v>
      </c>
      <c r="E31" s="38" t="s">
        <v>42</v>
      </c>
      <c r="F31" s="39">
        <v>77.8</v>
      </c>
      <c r="G31" s="60">
        <v>15.87</v>
      </c>
      <c r="H31" s="32">
        <f>F31*G31-0.01</f>
        <v>1234.6759999999999</v>
      </c>
      <c r="I31" s="10"/>
      <c r="J31" s="135"/>
      <c r="K31" s="10"/>
      <c r="L31" s="139"/>
    </row>
    <row r="32" spans="1:12" ht="49.95" customHeight="1">
      <c r="A32" s="26" t="s">
        <v>98</v>
      </c>
      <c r="B32" s="112">
        <v>104108</v>
      </c>
      <c r="C32" s="37" t="s">
        <v>426</v>
      </c>
      <c r="D32" s="38" t="s">
        <v>37</v>
      </c>
      <c r="E32" s="38" t="s">
        <v>42</v>
      </c>
      <c r="F32" s="39">
        <v>172.6</v>
      </c>
      <c r="G32" s="60">
        <v>14.5</v>
      </c>
      <c r="H32" s="32">
        <f t="shared" ref="H32:H37" si="7">F32*G32</f>
        <v>2502.6999999999998</v>
      </c>
      <c r="I32" s="10"/>
      <c r="J32" s="10"/>
      <c r="K32" s="10"/>
      <c r="L32" s="10"/>
    </row>
    <row r="33" spans="1:12" ht="49.95" customHeight="1">
      <c r="A33" s="26" t="s">
        <v>99</v>
      </c>
      <c r="B33" s="112">
        <v>92761</v>
      </c>
      <c r="C33" s="37" t="s">
        <v>427</v>
      </c>
      <c r="D33" s="38" t="s">
        <v>37</v>
      </c>
      <c r="E33" s="38" t="s">
        <v>42</v>
      </c>
      <c r="F33" s="39">
        <v>28.2</v>
      </c>
      <c r="G33" s="60">
        <v>14.08</v>
      </c>
      <c r="H33" s="32">
        <f>F33*G33-0.01</f>
        <v>397.04599999999999</v>
      </c>
      <c r="I33" s="10"/>
      <c r="J33" s="10"/>
      <c r="K33" s="10"/>
      <c r="L33" s="10"/>
    </row>
    <row r="34" spans="1:12" ht="49.95" customHeight="1">
      <c r="A34" s="26" t="s">
        <v>100</v>
      </c>
      <c r="B34" s="112">
        <v>94971</v>
      </c>
      <c r="C34" s="37" t="s">
        <v>428</v>
      </c>
      <c r="D34" s="38" t="s">
        <v>37</v>
      </c>
      <c r="E34" s="38" t="s">
        <v>65</v>
      </c>
      <c r="F34" s="39">
        <v>4.5199999999999996</v>
      </c>
      <c r="G34" s="60">
        <v>559.80999999999995</v>
      </c>
      <c r="H34" s="32">
        <f t="shared" si="7"/>
        <v>2530.3411999999994</v>
      </c>
      <c r="I34" s="10"/>
      <c r="J34" s="10"/>
      <c r="K34" s="10"/>
      <c r="L34" s="10"/>
    </row>
    <row r="35" spans="1:12" ht="49.95" customHeight="1">
      <c r="A35" s="26" t="s">
        <v>101</v>
      </c>
      <c r="B35" s="112">
        <v>103670</v>
      </c>
      <c r="C35" s="37" t="s">
        <v>415</v>
      </c>
      <c r="D35" s="38" t="s">
        <v>37</v>
      </c>
      <c r="E35" s="38" t="s">
        <v>65</v>
      </c>
      <c r="F35" s="39">
        <v>4.5199999999999996</v>
      </c>
      <c r="G35" s="60">
        <v>331.13</v>
      </c>
      <c r="H35" s="32">
        <f>F35*G35-0.01</f>
        <v>1496.6975999999997</v>
      </c>
      <c r="I35" s="10"/>
      <c r="J35" s="10"/>
      <c r="K35" s="10"/>
      <c r="L35" s="10"/>
    </row>
    <row r="36" spans="1:12" ht="49.95" customHeight="1">
      <c r="A36" s="26" t="s">
        <v>102</v>
      </c>
      <c r="B36" s="112">
        <v>92768</v>
      </c>
      <c r="C36" s="37" t="s">
        <v>429</v>
      </c>
      <c r="D36" s="38" t="s">
        <v>37</v>
      </c>
      <c r="E36" s="38" t="s">
        <v>42</v>
      </c>
      <c r="F36" s="39">
        <v>5.5</v>
      </c>
      <c r="G36" s="60">
        <v>15.31</v>
      </c>
      <c r="H36" s="32">
        <f>F36*G36-0.01</f>
        <v>84.194999999999993</v>
      </c>
      <c r="I36" s="10"/>
      <c r="J36" s="10"/>
      <c r="K36" s="10"/>
      <c r="L36" s="10"/>
    </row>
    <row r="37" spans="1:12" ht="49.95" customHeight="1">
      <c r="A37" s="26" t="s">
        <v>103</v>
      </c>
      <c r="B37" s="112">
        <v>92769</v>
      </c>
      <c r="C37" s="37" t="s">
        <v>430</v>
      </c>
      <c r="D37" s="38" t="s">
        <v>37</v>
      </c>
      <c r="E37" s="38" t="s">
        <v>42</v>
      </c>
      <c r="F37" s="39">
        <v>8.1999999999999993</v>
      </c>
      <c r="G37" s="60">
        <v>14.4</v>
      </c>
      <c r="H37" s="32">
        <f t="shared" si="7"/>
        <v>118.08</v>
      </c>
      <c r="I37" s="10"/>
      <c r="J37" s="10"/>
      <c r="K37" s="10"/>
      <c r="L37" s="10"/>
    </row>
    <row r="38" spans="1:12" ht="20.100000000000001" customHeight="1">
      <c r="A38" s="5" t="s">
        <v>104</v>
      </c>
      <c r="B38" s="174" t="s">
        <v>105</v>
      </c>
      <c r="C38" s="174"/>
      <c r="D38" s="174"/>
      <c r="E38" s="174"/>
      <c r="F38" s="174"/>
      <c r="G38" s="174"/>
      <c r="H38" s="8">
        <f>SUM(H39:H41)-0.01</f>
        <v>4669.9361000000008</v>
      </c>
      <c r="I38" s="7"/>
      <c r="J38" s="7"/>
      <c r="K38" s="7"/>
      <c r="L38" s="7"/>
    </row>
    <row r="39" spans="1:12" ht="49.95" customHeight="1">
      <c r="A39" s="17" t="s">
        <v>107</v>
      </c>
      <c r="B39" s="113">
        <v>103356</v>
      </c>
      <c r="C39" s="34" t="s">
        <v>431</v>
      </c>
      <c r="D39" s="41" t="s">
        <v>37</v>
      </c>
      <c r="E39" s="41" t="s">
        <v>63</v>
      </c>
      <c r="F39" s="42">
        <v>56.17</v>
      </c>
      <c r="G39" s="128">
        <v>67.73</v>
      </c>
      <c r="H39" s="32">
        <f>F39*G39</f>
        <v>3804.3941000000004</v>
      </c>
      <c r="I39" s="10"/>
      <c r="J39" s="10"/>
      <c r="K39" s="10"/>
      <c r="L39" s="10"/>
    </row>
    <row r="40" spans="1:12" ht="49.95" customHeight="1">
      <c r="A40" s="17" t="s">
        <v>108</v>
      </c>
      <c r="B40" s="113">
        <v>105023</v>
      </c>
      <c r="C40" s="34" t="s">
        <v>432</v>
      </c>
      <c r="D40" s="41" t="s">
        <v>37</v>
      </c>
      <c r="E40" s="41" t="s">
        <v>38</v>
      </c>
      <c r="F40" s="42">
        <v>8.1</v>
      </c>
      <c r="G40" s="128">
        <v>71.61</v>
      </c>
      <c r="H40" s="32">
        <f t="shared" ref="H40:H41" si="8">F40*G40</f>
        <v>580.04099999999994</v>
      </c>
      <c r="I40" s="10"/>
      <c r="J40" s="10"/>
      <c r="K40" s="10"/>
      <c r="L40" s="10"/>
    </row>
    <row r="41" spans="1:12" ht="49.95" customHeight="1">
      <c r="A41" s="17" t="s">
        <v>109</v>
      </c>
      <c r="B41" s="113">
        <v>105029</v>
      </c>
      <c r="C41" s="34" t="s">
        <v>433</v>
      </c>
      <c r="D41" s="41" t="s">
        <v>37</v>
      </c>
      <c r="E41" s="41" t="s">
        <v>38</v>
      </c>
      <c r="F41" s="42">
        <v>5.3</v>
      </c>
      <c r="G41" s="128">
        <v>53.87</v>
      </c>
      <c r="H41" s="32">
        <f t="shared" si="8"/>
        <v>285.51099999999997</v>
      </c>
      <c r="I41" s="10"/>
      <c r="J41" s="10"/>
      <c r="K41" s="10"/>
      <c r="L41" s="10"/>
    </row>
    <row r="42" spans="1:12" ht="20.100000000000001" customHeight="1">
      <c r="A42" s="5" t="s">
        <v>106</v>
      </c>
      <c r="B42" s="174" t="s">
        <v>45</v>
      </c>
      <c r="C42" s="174"/>
      <c r="D42" s="174"/>
      <c r="E42" s="174"/>
      <c r="F42" s="174"/>
      <c r="G42" s="174"/>
      <c r="H42" s="8">
        <f>SUM(H43:H51)</f>
        <v>12028.4033</v>
      </c>
      <c r="I42" s="7"/>
      <c r="J42" s="7"/>
      <c r="K42" s="7"/>
      <c r="L42" s="7"/>
    </row>
    <row r="43" spans="1:12" ht="49.95" customHeight="1">
      <c r="A43" s="17" t="s">
        <v>110</v>
      </c>
      <c r="B43" s="33">
        <v>87878</v>
      </c>
      <c r="C43" s="34" t="s">
        <v>494</v>
      </c>
      <c r="D43" s="30" t="s">
        <v>37</v>
      </c>
      <c r="E43" s="30" t="s">
        <v>63</v>
      </c>
      <c r="F43" s="31">
        <v>56.17</v>
      </c>
      <c r="G43" s="32">
        <v>5.51</v>
      </c>
      <c r="H43" s="32">
        <f>F43*G43-0.01</f>
        <v>309.48669999999998</v>
      </c>
      <c r="I43" s="14"/>
      <c r="J43" s="11"/>
      <c r="K43" s="12"/>
      <c r="L43" s="13"/>
    </row>
    <row r="44" spans="1:12" ht="49.95" customHeight="1">
      <c r="A44" s="17" t="s">
        <v>111</v>
      </c>
      <c r="B44" s="33">
        <v>87545</v>
      </c>
      <c r="C44" s="34" t="s">
        <v>435</v>
      </c>
      <c r="D44" s="30" t="s">
        <v>37</v>
      </c>
      <c r="E44" s="30" t="s">
        <v>63</v>
      </c>
      <c r="F44" s="31">
        <v>33.18</v>
      </c>
      <c r="G44" s="32">
        <v>32.409999999999997</v>
      </c>
      <c r="H44" s="32">
        <f t="shared" ref="H44:H51" si="9">F44*G44</f>
        <v>1075.3637999999999</v>
      </c>
      <c r="I44" s="14"/>
      <c r="J44" s="11"/>
      <c r="K44" s="12"/>
      <c r="L44" s="13"/>
    </row>
    <row r="45" spans="1:12" ht="49.95" customHeight="1">
      <c r="A45" s="17" t="s">
        <v>112</v>
      </c>
      <c r="B45" s="33">
        <v>87529</v>
      </c>
      <c r="C45" s="34" t="s">
        <v>436</v>
      </c>
      <c r="D45" s="30" t="s">
        <v>37</v>
      </c>
      <c r="E45" s="30" t="s">
        <v>63</v>
      </c>
      <c r="F45" s="31">
        <v>33.18</v>
      </c>
      <c r="G45" s="32">
        <v>40.299999999999997</v>
      </c>
      <c r="H45" s="32">
        <f t="shared" si="9"/>
        <v>1337.154</v>
      </c>
      <c r="I45" s="14"/>
      <c r="J45" s="11"/>
      <c r="K45" s="12"/>
      <c r="L45" s="13"/>
    </row>
    <row r="46" spans="1:12" ht="49.95" customHeight="1">
      <c r="A46" s="17" t="s">
        <v>113</v>
      </c>
      <c r="B46" s="114" t="s">
        <v>409</v>
      </c>
      <c r="C46" s="34" t="s">
        <v>437</v>
      </c>
      <c r="D46" s="30" t="s">
        <v>64</v>
      </c>
      <c r="E46" s="30" t="s">
        <v>63</v>
      </c>
      <c r="F46" s="31">
        <v>33.18</v>
      </c>
      <c r="G46" s="32">
        <v>74.900000000000006</v>
      </c>
      <c r="H46" s="32">
        <f t="shared" si="9"/>
        <v>2485.1820000000002</v>
      </c>
      <c r="I46" s="14"/>
      <c r="J46" s="11"/>
      <c r="K46" s="12"/>
      <c r="L46" s="13"/>
    </row>
    <row r="47" spans="1:12" ht="49.95" customHeight="1">
      <c r="A47" s="17" t="s">
        <v>114</v>
      </c>
      <c r="B47" s="33">
        <v>87908</v>
      </c>
      <c r="C47" s="34" t="s">
        <v>438</v>
      </c>
      <c r="D47" s="30" t="s">
        <v>37</v>
      </c>
      <c r="E47" s="30" t="s">
        <v>63</v>
      </c>
      <c r="F47" s="31">
        <v>47.35</v>
      </c>
      <c r="G47" s="32">
        <v>6.83</v>
      </c>
      <c r="H47" s="32">
        <f t="shared" si="9"/>
        <v>323.40050000000002</v>
      </c>
      <c r="I47" s="14"/>
      <c r="J47" s="11"/>
      <c r="K47" s="12"/>
      <c r="L47" s="13"/>
    </row>
    <row r="48" spans="1:12" ht="49.95" customHeight="1">
      <c r="A48" s="17" t="s">
        <v>115</v>
      </c>
      <c r="B48" s="33">
        <v>104218</v>
      </c>
      <c r="C48" s="34" t="s">
        <v>439</v>
      </c>
      <c r="D48" s="86" t="s">
        <v>37</v>
      </c>
      <c r="E48" s="86" t="s">
        <v>63</v>
      </c>
      <c r="F48" s="31">
        <v>47.35</v>
      </c>
      <c r="G48" s="32">
        <v>61.59</v>
      </c>
      <c r="H48" s="32">
        <f>F48*G48-0.01</f>
        <v>2916.2764999999999</v>
      </c>
      <c r="I48" s="14"/>
      <c r="J48" s="11"/>
      <c r="K48" s="12"/>
      <c r="L48" s="13"/>
    </row>
    <row r="49" spans="1:12" ht="49.95" customHeight="1">
      <c r="A49" s="17" t="s">
        <v>116</v>
      </c>
      <c r="B49" s="33">
        <v>13</v>
      </c>
      <c r="C49" s="34" t="s">
        <v>440</v>
      </c>
      <c r="D49" s="86" t="s">
        <v>64</v>
      </c>
      <c r="E49" s="86" t="s">
        <v>63</v>
      </c>
      <c r="F49" s="31">
        <v>28.22</v>
      </c>
      <c r="G49" s="32">
        <v>76.790000000000006</v>
      </c>
      <c r="H49" s="32">
        <f t="shared" si="9"/>
        <v>2167.0138000000002</v>
      </c>
      <c r="I49" s="14"/>
      <c r="J49" s="11"/>
      <c r="K49" s="12"/>
      <c r="L49" s="13"/>
    </row>
    <row r="50" spans="1:12" ht="49.95" customHeight="1">
      <c r="A50" s="17" t="s">
        <v>117</v>
      </c>
      <c r="B50" s="114" t="s">
        <v>409</v>
      </c>
      <c r="C50" s="34" t="s">
        <v>437</v>
      </c>
      <c r="D50" s="30" t="s">
        <v>64</v>
      </c>
      <c r="E50" s="30" t="s">
        <v>63</v>
      </c>
      <c r="F50" s="31">
        <v>13.64</v>
      </c>
      <c r="G50" s="32">
        <v>74.900000000000006</v>
      </c>
      <c r="H50" s="32">
        <f>F50*G50-0.01</f>
        <v>1021.6260000000001</v>
      </c>
      <c r="I50" s="14"/>
      <c r="J50" s="11"/>
      <c r="K50" s="12"/>
      <c r="L50" s="13"/>
    </row>
    <row r="51" spans="1:12" ht="49.95" customHeight="1">
      <c r="A51" s="17" t="s">
        <v>118</v>
      </c>
      <c r="B51" s="33">
        <v>98555</v>
      </c>
      <c r="C51" s="34" t="s">
        <v>441</v>
      </c>
      <c r="D51" s="30" t="s">
        <v>37</v>
      </c>
      <c r="E51" s="30" t="s">
        <v>63</v>
      </c>
      <c r="F51" s="31">
        <v>10</v>
      </c>
      <c r="G51" s="32">
        <v>39.29</v>
      </c>
      <c r="H51" s="32">
        <f t="shared" si="9"/>
        <v>392.9</v>
      </c>
      <c r="I51" s="14"/>
      <c r="J51" s="11"/>
      <c r="K51" s="12"/>
      <c r="L51" s="13"/>
    </row>
    <row r="52" spans="1:12" ht="20.100000000000001" customHeight="1">
      <c r="A52" s="5" t="s">
        <v>119</v>
      </c>
      <c r="B52" s="174" t="s">
        <v>120</v>
      </c>
      <c r="C52" s="174"/>
      <c r="D52" s="174"/>
      <c r="E52" s="174"/>
      <c r="F52" s="174"/>
      <c r="G52" s="174"/>
      <c r="H52" s="8">
        <f>SUM(H53:H54)</f>
        <v>913.62199999999996</v>
      </c>
      <c r="I52" s="7"/>
      <c r="J52" s="7"/>
      <c r="K52" s="7"/>
      <c r="L52" s="7"/>
    </row>
    <row r="53" spans="1:12" s="68" customFormat="1" ht="49.95" customHeight="1">
      <c r="A53" s="105" t="s">
        <v>121</v>
      </c>
      <c r="B53" s="115">
        <v>96486</v>
      </c>
      <c r="C53" s="120" t="s">
        <v>442</v>
      </c>
      <c r="D53" s="121" t="s">
        <v>37</v>
      </c>
      <c r="E53" s="121" t="s">
        <v>63</v>
      </c>
      <c r="F53" s="121">
        <v>9.6</v>
      </c>
      <c r="G53" s="129">
        <v>73.09</v>
      </c>
      <c r="H53" s="125">
        <f>F53*G53</f>
        <v>701.66399999999999</v>
      </c>
      <c r="I53" s="80"/>
      <c r="J53" s="65"/>
      <c r="K53" s="66"/>
      <c r="L53" s="67"/>
    </row>
    <row r="54" spans="1:12" s="68" customFormat="1" ht="49.95" customHeight="1">
      <c r="A54" s="105" t="s">
        <v>122</v>
      </c>
      <c r="B54" s="115">
        <v>96121</v>
      </c>
      <c r="C54" s="120" t="s">
        <v>443</v>
      </c>
      <c r="D54" s="121" t="s">
        <v>37</v>
      </c>
      <c r="E54" s="121" t="s">
        <v>38</v>
      </c>
      <c r="F54" s="121">
        <v>18.399999999999999</v>
      </c>
      <c r="G54" s="129">
        <v>11.52</v>
      </c>
      <c r="H54" s="125">
        <f>F54*G54-0.01</f>
        <v>211.958</v>
      </c>
      <c r="I54" s="80"/>
      <c r="J54" s="65"/>
      <c r="K54" s="66"/>
      <c r="L54" s="67"/>
    </row>
    <row r="55" spans="1:12" ht="20.100000000000001" customHeight="1">
      <c r="A55" s="85" t="s">
        <v>123</v>
      </c>
      <c r="B55" s="174" t="s">
        <v>46</v>
      </c>
      <c r="C55" s="174"/>
      <c r="D55" s="174"/>
      <c r="E55" s="174"/>
      <c r="F55" s="174"/>
      <c r="G55" s="174"/>
      <c r="H55" s="8">
        <f>SUM(H56:H58)</f>
        <v>1505.664</v>
      </c>
      <c r="I55" s="7"/>
      <c r="J55" s="7"/>
      <c r="K55" s="7"/>
      <c r="L55" s="7"/>
    </row>
    <row r="56" spans="1:12" ht="49.95" customHeight="1">
      <c r="A56" s="17" t="s">
        <v>844</v>
      </c>
      <c r="B56" s="33">
        <v>95241</v>
      </c>
      <c r="C56" s="34" t="s">
        <v>444</v>
      </c>
      <c r="D56" s="86" t="s">
        <v>37</v>
      </c>
      <c r="E56" s="86" t="s">
        <v>63</v>
      </c>
      <c r="F56" s="31">
        <v>9.6</v>
      </c>
      <c r="G56" s="32">
        <v>41.55</v>
      </c>
      <c r="H56" s="32">
        <f>F56*G56</f>
        <v>398.87999999999994</v>
      </c>
      <c r="I56" s="14"/>
      <c r="J56" s="11"/>
      <c r="K56" s="12"/>
      <c r="L56" s="13"/>
    </row>
    <row r="57" spans="1:12" ht="49.95" customHeight="1">
      <c r="A57" s="17" t="s">
        <v>845</v>
      </c>
      <c r="B57" s="33">
        <v>87622</v>
      </c>
      <c r="C57" s="34" t="s">
        <v>445</v>
      </c>
      <c r="D57" s="86" t="s">
        <v>37</v>
      </c>
      <c r="E57" s="86" t="s">
        <v>63</v>
      </c>
      <c r="F57" s="31">
        <v>9.6</v>
      </c>
      <c r="G57" s="32">
        <v>40.39</v>
      </c>
      <c r="H57" s="32">
        <f t="shared" ref="H57:H58" si="10">F57*G57</f>
        <v>387.74399999999997</v>
      </c>
      <c r="I57" s="14"/>
      <c r="J57" s="11"/>
      <c r="K57" s="12"/>
      <c r="L57" s="13"/>
    </row>
    <row r="58" spans="1:12" ht="49.95" customHeight="1">
      <c r="A58" s="17" t="s">
        <v>846</v>
      </c>
      <c r="B58" s="114" t="s">
        <v>409</v>
      </c>
      <c r="C58" s="34" t="s">
        <v>437</v>
      </c>
      <c r="D58" s="86" t="s">
        <v>64</v>
      </c>
      <c r="E58" s="86" t="s">
        <v>63</v>
      </c>
      <c r="F58" s="31">
        <v>9.6</v>
      </c>
      <c r="G58" s="32">
        <v>74.900000000000006</v>
      </c>
      <c r="H58" s="32">
        <f t="shared" si="10"/>
        <v>719.04000000000008</v>
      </c>
      <c r="I58" s="14"/>
      <c r="J58" s="11"/>
      <c r="K58" s="12"/>
      <c r="L58" s="13"/>
    </row>
    <row r="59" spans="1:12" ht="20.100000000000001" customHeight="1">
      <c r="A59" s="5" t="s">
        <v>124</v>
      </c>
      <c r="B59" s="174" t="s">
        <v>125</v>
      </c>
      <c r="C59" s="174"/>
      <c r="D59" s="174"/>
      <c r="E59" s="174"/>
      <c r="F59" s="174"/>
      <c r="G59" s="174"/>
      <c r="H59" s="8">
        <f>SUM(H60,H86,H108)</f>
        <v>14710.263199999998</v>
      </c>
      <c r="I59" s="7"/>
      <c r="J59" s="7"/>
      <c r="K59" s="7"/>
      <c r="L59" s="7"/>
    </row>
    <row r="60" spans="1:12" ht="20.100000000000001" customHeight="1">
      <c r="A60" s="85" t="s">
        <v>126</v>
      </c>
      <c r="B60" s="174" t="s">
        <v>47</v>
      </c>
      <c r="C60" s="174"/>
      <c r="D60" s="174"/>
      <c r="E60" s="174"/>
      <c r="F60" s="174"/>
      <c r="G60" s="174"/>
      <c r="H60" s="8">
        <f>SUM(H61:H85)-0.01</f>
        <v>3931.5154999999991</v>
      </c>
      <c r="I60" s="7"/>
      <c r="J60" s="7"/>
      <c r="K60" s="7"/>
      <c r="L60" s="7"/>
    </row>
    <row r="61" spans="1:12" ht="49.95" customHeight="1">
      <c r="A61" s="26" t="s">
        <v>127</v>
      </c>
      <c r="B61" s="116">
        <v>102607</v>
      </c>
      <c r="C61" s="43" t="s">
        <v>446</v>
      </c>
      <c r="D61" s="35" t="s">
        <v>37</v>
      </c>
      <c r="E61" s="35" t="s">
        <v>66</v>
      </c>
      <c r="F61" s="36">
        <v>1</v>
      </c>
      <c r="G61" s="127">
        <v>550.66999999999996</v>
      </c>
      <c r="H61" s="32">
        <f>F61*G61</f>
        <v>550.66999999999996</v>
      </c>
      <c r="I61" s="10"/>
      <c r="J61" s="10"/>
      <c r="K61" s="10"/>
      <c r="L61" s="10"/>
    </row>
    <row r="62" spans="1:12" ht="49.95" customHeight="1">
      <c r="A62" s="26" t="s">
        <v>128</v>
      </c>
      <c r="B62" s="116">
        <v>94795</v>
      </c>
      <c r="C62" s="43" t="s">
        <v>447</v>
      </c>
      <c r="D62" s="35" t="s">
        <v>37</v>
      </c>
      <c r="E62" s="35" t="s">
        <v>66</v>
      </c>
      <c r="F62" s="36">
        <v>1</v>
      </c>
      <c r="G62" s="130">
        <v>52.78</v>
      </c>
      <c r="H62" s="32">
        <f t="shared" ref="H62:H85" si="11">F62*G62</f>
        <v>52.78</v>
      </c>
      <c r="I62" s="10"/>
      <c r="J62" s="11"/>
      <c r="K62" s="12"/>
      <c r="L62" s="13"/>
    </row>
    <row r="63" spans="1:12" ht="49.95" customHeight="1">
      <c r="A63" s="26" t="s">
        <v>129</v>
      </c>
      <c r="B63" s="116">
        <v>86888</v>
      </c>
      <c r="C63" s="43" t="s">
        <v>448</v>
      </c>
      <c r="D63" s="35" t="s">
        <v>37</v>
      </c>
      <c r="E63" s="35" t="s">
        <v>66</v>
      </c>
      <c r="F63" s="36">
        <v>1</v>
      </c>
      <c r="G63" s="130">
        <v>591.21</v>
      </c>
      <c r="H63" s="32">
        <f t="shared" si="11"/>
        <v>591.21</v>
      </c>
      <c r="I63" s="10"/>
      <c r="J63" s="11"/>
      <c r="K63" s="12"/>
      <c r="L63" s="13"/>
    </row>
    <row r="64" spans="1:12" ht="49.95" customHeight="1">
      <c r="A64" s="26" t="s">
        <v>130</v>
      </c>
      <c r="B64" s="117">
        <v>1370</v>
      </c>
      <c r="C64" s="43" t="s">
        <v>449</v>
      </c>
      <c r="D64" s="35" t="s">
        <v>37</v>
      </c>
      <c r="E64" s="35" t="s">
        <v>66</v>
      </c>
      <c r="F64" s="36">
        <v>1</v>
      </c>
      <c r="G64" s="130">
        <v>141.46</v>
      </c>
      <c r="H64" s="32">
        <f t="shared" si="11"/>
        <v>141.46</v>
      </c>
      <c r="I64" s="10"/>
      <c r="J64" s="11"/>
      <c r="K64" s="12"/>
      <c r="L64" s="13"/>
    </row>
    <row r="65" spans="1:12" ht="49.95" customHeight="1">
      <c r="A65" s="26" t="s">
        <v>131</v>
      </c>
      <c r="B65" s="117">
        <v>10427</v>
      </c>
      <c r="C65" s="43" t="s">
        <v>450</v>
      </c>
      <c r="D65" s="35" t="s">
        <v>37</v>
      </c>
      <c r="E65" s="35" t="s">
        <v>66</v>
      </c>
      <c r="F65" s="36">
        <v>1</v>
      </c>
      <c r="G65" s="130">
        <v>596.73</v>
      </c>
      <c r="H65" s="32">
        <f t="shared" si="11"/>
        <v>596.73</v>
      </c>
      <c r="I65" s="10"/>
      <c r="J65" s="11"/>
      <c r="K65" s="12"/>
      <c r="L65" s="13"/>
    </row>
    <row r="66" spans="1:12" ht="49.95" customHeight="1">
      <c r="A66" s="26" t="s">
        <v>132</v>
      </c>
      <c r="B66" s="117">
        <v>6136</v>
      </c>
      <c r="C66" s="43" t="s">
        <v>451</v>
      </c>
      <c r="D66" s="35" t="s">
        <v>37</v>
      </c>
      <c r="E66" s="35" t="s">
        <v>66</v>
      </c>
      <c r="F66" s="36">
        <v>1</v>
      </c>
      <c r="G66" s="130">
        <v>206.49</v>
      </c>
      <c r="H66" s="32">
        <f t="shared" si="11"/>
        <v>206.49</v>
      </c>
      <c r="I66" s="10"/>
      <c r="J66" s="11"/>
      <c r="K66" s="12"/>
      <c r="L66" s="13"/>
    </row>
    <row r="67" spans="1:12" ht="49.95" customHeight="1">
      <c r="A67" s="26" t="s">
        <v>133</v>
      </c>
      <c r="B67" s="116">
        <v>86886</v>
      </c>
      <c r="C67" s="43" t="s">
        <v>452</v>
      </c>
      <c r="D67" s="35" t="s">
        <v>37</v>
      </c>
      <c r="E67" s="35" t="s">
        <v>66</v>
      </c>
      <c r="F67" s="36">
        <v>1</v>
      </c>
      <c r="G67" s="130">
        <v>53.04</v>
      </c>
      <c r="H67" s="32">
        <f t="shared" si="11"/>
        <v>53.04</v>
      </c>
      <c r="I67" s="10"/>
      <c r="J67" s="11"/>
      <c r="K67" s="12"/>
      <c r="L67" s="13"/>
    </row>
    <row r="68" spans="1:12" ht="49.95" customHeight="1">
      <c r="A68" s="26" t="s">
        <v>134</v>
      </c>
      <c r="B68" s="116">
        <v>86936</v>
      </c>
      <c r="C68" s="43" t="s">
        <v>453</v>
      </c>
      <c r="D68" s="35" t="s">
        <v>37</v>
      </c>
      <c r="E68" s="35" t="s">
        <v>66</v>
      </c>
      <c r="F68" s="36">
        <v>1</v>
      </c>
      <c r="G68" s="130">
        <v>562.74</v>
      </c>
      <c r="H68" s="32">
        <f t="shared" si="11"/>
        <v>562.74</v>
      </c>
      <c r="I68" s="10"/>
      <c r="J68" s="11"/>
      <c r="K68" s="12"/>
      <c r="L68" s="13"/>
    </row>
    <row r="69" spans="1:12" ht="49.95" customHeight="1">
      <c r="A69" s="26" t="s">
        <v>135</v>
      </c>
      <c r="B69" s="116">
        <v>86911</v>
      </c>
      <c r="C69" s="43" t="s">
        <v>454</v>
      </c>
      <c r="D69" s="35" t="s">
        <v>37</v>
      </c>
      <c r="E69" s="35" t="s">
        <v>66</v>
      </c>
      <c r="F69" s="36">
        <v>1</v>
      </c>
      <c r="G69" s="130">
        <v>112.25</v>
      </c>
      <c r="H69" s="32">
        <f t="shared" si="11"/>
        <v>112.25</v>
      </c>
      <c r="I69" s="10"/>
      <c r="J69" s="10"/>
      <c r="K69" s="10"/>
      <c r="L69" s="10"/>
    </row>
    <row r="70" spans="1:12" ht="49.95" customHeight="1">
      <c r="A70" s="26" t="s">
        <v>136</v>
      </c>
      <c r="B70" s="117">
        <v>13983</v>
      </c>
      <c r="C70" s="43" t="s">
        <v>455</v>
      </c>
      <c r="D70" s="35" t="s">
        <v>37</v>
      </c>
      <c r="E70" s="35" t="s">
        <v>66</v>
      </c>
      <c r="F70" s="36">
        <v>1</v>
      </c>
      <c r="G70" s="130">
        <v>121.48</v>
      </c>
      <c r="H70" s="32">
        <f t="shared" si="11"/>
        <v>121.48</v>
      </c>
      <c r="I70" s="10"/>
      <c r="J70" s="11"/>
      <c r="K70" s="12"/>
      <c r="L70" s="13"/>
    </row>
    <row r="71" spans="1:12" ht="49.95" customHeight="1">
      <c r="A71" s="26" t="s">
        <v>137</v>
      </c>
      <c r="B71" s="116">
        <v>89987</v>
      </c>
      <c r="C71" s="43" t="s">
        <v>456</v>
      </c>
      <c r="D71" s="35" t="s">
        <v>37</v>
      </c>
      <c r="E71" s="35" t="s">
        <v>66</v>
      </c>
      <c r="F71" s="36">
        <v>2</v>
      </c>
      <c r="G71" s="130">
        <v>115.36</v>
      </c>
      <c r="H71" s="32">
        <f t="shared" si="11"/>
        <v>230.72</v>
      </c>
      <c r="I71" s="10"/>
      <c r="J71" s="11"/>
      <c r="K71" s="12"/>
      <c r="L71" s="13"/>
    </row>
    <row r="72" spans="1:12" ht="49.95" customHeight="1">
      <c r="A72" s="26" t="s">
        <v>138</v>
      </c>
      <c r="B72" s="116">
        <v>94492</v>
      </c>
      <c r="C72" s="43" t="s">
        <v>457</v>
      </c>
      <c r="D72" s="35" t="s">
        <v>37</v>
      </c>
      <c r="E72" s="35" t="s">
        <v>66</v>
      </c>
      <c r="F72" s="36">
        <v>2</v>
      </c>
      <c r="G72" s="130">
        <v>54.83</v>
      </c>
      <c r="H72" s="32">
        <f t="shared" si="11"/>
        <v>109.66</v>
      </c>
      <c r="I72" s="10"/>
      <c r="J72" s="11"/>
      <c r="K72" s="12"/>
      <c r="L72" s="13"/>
    </row>
    <row r="73" spans="1:12" ht="49.95" customHeight="1">
      <c r="A73" s="26" t="s">
        <v>139</v>
      </c>
      <c r="B73" s="116">
        <v>94489</v>
      </c>
      <c r="C73" s="43" t="s">
        <v>458</v>
      </c>
      <c r="D73" s="35" t="s">
        <v>37</v>
      </c>
      <c r="E73" s="35" t="s">
        <v>66</v>
      </c>
      <c r="F73" s="36">
        <v>1</v>
      </c>
      <c r="G73" s="130">
        <v>26.72</v>
      </c>
      <c r="H73" s="32">
        <f t="shared" si="11"/>
        <v>26.72</v>
      </c>
      <c r="I73" s="10"/>
      <c r="J73" s="11"/>
      <c r="K73" s="12"/>
      <c r="L73" s="13"/>
    </row>
    <row r="74" spans="1:12" ht="49.95" customHeight="1">
      <c r="A74" s="26" t="s">
        <v>140</v>
      </c>
      <c r="B74" s="116">
        <v>94656</v>
      </c>
      <c r="C74" s="43" t="s">
        <v>459</v>
      </c>
      <c r="D74" s="35" t="s">
        <v>37</v>
      </c>
      <c r="E74" s="35" t="s">
        <v>66</v>
      </c>
      <c r="F74" s="36">
        <v>2</v>
      </c>
      <c r="G74" s="130">
        <v>3.57</v>
      </c>
      <c r="H74" s="32">
        <f t="shared" si="11"/>
        <v>7.14</v>
      </c>
      <c r="I74" s="10"/>
      <c r="J74" s="11"/>
      <c r="K74" s="12"/>
      <c r="L74" s="13"/>
    </row>
    <row r="75" spans="1:12" ht="49.95" customHeight="1">
      <c r="A75" s="26" t="s">
        <v>141</v>
      </c>
      <c r="B75" s="116">
        <v>103966</v>
      </c>
      <c r="C75" s="43" t="s">
        <v>460</v>
      </c>
      <c r="D75" s="35" t="s">
        <v>37</v>
      </c>
      <c r="E75" s="35" t="s">
        <v>66</v>
      </c>
      <c r="F75" s="36">
        <v>1</v>
      </c>
      <c r="G75" s="130">
        <v>10.14</v>
      </c>
      <c r="H75" s="32">
        <f t="shared" si="11"/>
        <v>10.14</v>
      </c>
      <c r="I75" s="10"/>
      <c r="J75" s="11"/>
      <c r="K75" s="12"/>
      <c r="L75" s="13"/>
    </row>
    <row r="76" spans="1:12" ht="49.95" customHeight="1">
      <c r="A76" s="26" t="s">
        <v>142</v>
      </c>
      <c r="B76" s="116">
        <v>89364</v>
      </c>
      <c r="C76" s="43" t="s">
        <v>461</v>
      </c>
      <c r="D76" s="35" t="s">
        <v>37</v>
      </c>
      <c r="E76" s="35" t="s">
        <v>66</v>
      </c>
      <c r="F76" s="36">
        <v>8</v>
      </c>
      <c r="G76" s="130">
        <v>12.66</v>
      </c>
      <c r="H76" s="32">
        <f t="shared" si="11"/>
        <v>101.28</v>
      </c>
      <c r="I76" s="10"/>
      <c r="J76" s="11"/>
      <c r="K76" s="12"/>
      <c r="L76" s="13"/>
    </row>
    <row r="77" spans="1:12" ht="49.95" customHeight="1">
      <c r="A77" s="26" t="s">
        <v>143</v>
      </c>
      <c r="B77" s="116">
        <v>103986</v>
      </c>
      <c r="C77" s="43" t="s">
        <v>462</v>
      </c>
      <c r="D77" s="35" t="s">
        <v>37</v>
      </c>
      <c r="E77" s="35" t="s">
        <v>66</v>
      </c>
      <c r="F77" s="36">
        <v>1</v>
      </c>
      <c r="G77" s="130">
        <v>30.01</v>
      </c>
      <c r="H77" s="32">
        <f t="shared" si="11"/>
        <v>30.01</v>
      </c>
      <c r="I77" s="10"/>
      <c r="J77" s="11"/>
      <c r="K77" s="12"/>
      <c r="L77" s="13"/>
    </row>
    <row r="78" spans="1:12" ht="49.95" customHeight="1">
      <c r="A78" s="26" t="s">
        <v>144</v>
      </c>
      <c r="B78" s="116">
        <v>89363</v>
      </c>
      <c r="C78" s="43" t="s">
        <v>463</v>
      </c>
      <c r="D78" s="35" t="s">
        <v>37</v>
      </c>
      <c r="E78" s="35" t="s">
        <v>66</v>
      </c>
      <c r="F78" s="36">
        <v>7</v>
      </c>
      <c r="G78" s="130">
        <v>10.94</v>
      </c>
      <c r="H78" s="32">
        <f t="shared" si="11"/>
        <v>76.58</v>
      </c>
      <c r="I78" s="10"/>
      <c r="J78" s="11"/>
      <c r="K78" s="12"/>
      <c r="L78" s="13"/>
    </row>
    <row r="79" spans="1:12" ht="49.95" customHeight="1">
      <c r="A79" s="26" t="s">
        <v>145</v>
      </c>
      <c r="B79" s="116">
        <v>89408</v>
      </c>
      <c r="C79" s="43" t="s">
        <v>464</v>
      </c>
      <c r="D79" s="35" t="s">
        <v>37</v>
      </c>
      <c r="E79" s="35" t="s">
        <v>66</v>
      </c>
      <c r="F79" s="36">
        <v>7</v>
      </c>
      <c r="G79" s="130">
        <v>9.18</v>
      </c>
      <c r="H79" s="32">
        <f t="shared" si="11"/>
        <v>64.259999999999991</v>
      </c>
      <c r="I79" s="10"/>
      <c r="J79" s="11"/>
      <c r="K79" s="12"/>
      <c r="L79" s="13"/>
    </row>
    <row r="80" spans="1:12" ht="49.95" customHeight="1">
      <c r="A80" s="26" t="s">
        <v>146</v>
      </c>
      <c r="B80" s="116">
        <v>89731</v>
      </c>
      <c r="C80" s="43" t="s">
        <v>465</v>
      </c>
      <c r="D80" s="35" t="s">
        <v>37</v>
      </c>
      <c r="E80" s="35" t="s">
        <v>66</v>
      </c>
      <c r="F80" s="36">
        <v>1</v>
      </c>
      <c r="G80" s="130">
        <v>17.02</v>
      </c>
      <c r="H80" s="32">
        <f t="shared" si="11"/>
        <v>17.02</v>
      </c>
      <c r="I80" s="10"/>
      <c r="J80" s="11"/>
      <c r="K80" s="12"/>
      <c r="L80" s="13"/>
    </row>
    <row r="81" spans="1:12" ht="49.95" customHeight="1">
      <c r="A81" s="26" t="s">
        <v>147</v>
      </c>
      <c r="B81" s="116">
        <v>105189</v>
      </c>
      <c r="C81" s="43" t="s">
        <v>466</v>
      </c>
      <c r="D81" s="35" t="s">
        <v>37</v>
      </c>
      <c r="E81" s="35" t="s">
        <v>66</v>
      </c>
      <c r="F81" s="36">
        <v>1</v>
      </c>
      <c r="G81" s="130">
        <v>22.77</v>
      </c>
      <c r="H81" s="32">
        <f t="shared" si="11"/>
        <v>22.77</v>
      </c>
      <c r="I81" s="10"/>
      <c r="J81" s="11"/>
      <c r="K81" s="12"/>
      <c r="L81" s="13"/>
    </row>
    <row r="82" spans="1:12" ht="49.95" customHeight="1">
      <c r="A82" s="26" t="s">
        <v>148</v>
      </c>
      <c r="B82" s="116">
        <v>89617</v>
      </c>
      <c r="C82" s="43" t="s">
        <v>467</v>
      </c>
      <c r="D82" s="35" t="s">
        <v>37</v>
      </c>
      <c r="E82" s="35" t="s">
        <v>66</v>
      </c>
      <c r="F82" s="36">
        <v>3</v>
      </c>
      <c r="G82" s="130">
        <v>7.9</v>
      </c>
      <c r="H82" s="32">
        <f t="shared" si="11"/>
        <v>23.700000000000003</v>
      </c>
      <c r="I82" s="10"/>
      <c r="J82" s="11"/>
      <c r="K82" s="12"/>
      <c r="L82" s="13"/>
    </row>
    <row r="83" spans="1:12" ht="49.95" customHeight="1">
      <c r="A83" s="26" t="s">
        <v>149</v>
      </c>
      <c r="B83" s="116">
        <v>94694</v>
      </c>
      <c r="C83" s="43" t="s">
        <v>468</v>
      </c>
      <c r="D83" s="35" t="s">
        <v>37</v>
      </c>
      <c r="E83" s="35" t="s">
        <v>66</v>
      </c>
      <c r="F83" s="36">
        <v>1</v>
      </c>
      <c r="G83" s="130">
        <v>24.89</v>
      </c>
      <c r="H83" s="32">
        <f t="shared" si="11"/>
        <v>24.89</v>
      </c>
      <c r="I83" s="10"/>
      <c r="J83" s="11"/>
      <c r="K83" s="12"/>
      <c r="L83" s="13"/>
    </row>
    <row r="84" spans="1:12" ht="49.95" customHeight="1">
      <c r="A84" s="26" t="s">
        <v>150</v>
      </c>
      <c r="B84" s="116">
        <v>89446</v>
      </c>
      <c r="C84" s="43" t="s">
        <v>469</v>
      </c>
      <c r="D84" s="35" t="s">
        <v>37</v>
      </c>
      <c r="E84" s="35" t="s">
        <v>38</v>
      </c>
      <c r="F84" s="36">
        <v>20.260000000000002</v>
      </c>
      <c r="G84" s="130">
        <v>6.09</v>
      </c>
      <c r="H84" s="32">
        <f t="shared" si="11"/>
        <v>123.38340000000001</v>
      </c>
      <c r="I84" s="10"/>
      <c r="J84" s="11"/>
      <c r="K84" s="12"/>
      <c r="L84" s="13"/>
    </row>
    <row r="85" spans="1:12" ht="49.95" customHeight="1">
      <c r="A85" s="26" t="s">
        <v>151</v>
      </c>
      <c r="B85" s="116">
        <v>89449</v>
      </c>
      <c r="C85" s="43" t="s">
        <v>470</v>
      </c>
      <c r="D85" s="35" t="s">
        <v>37</v>
      </c>
      <c r="E85" s="35" t="s">
        <v>38</v>
      </c>
      <c r="F85" s="36">
        <v>3.61</v>
      </c>
      <c r="G85" s="127">
        <v>20.61</v>
      </c>
      <c r="H85" s="32">
        <f t="shared" si="11"/>
        <v>74.40209999999999</v>
      </c>
      <c r="I85" s="10"/>
      <c r="J85" s="11"/>
      <c r="K85" s="12"/>
      <c r="L85" s="13"/>
    </row>
    <row r="86" spans="1:12" ht="20.100000000000001" customHeight="1">
      <c r="A86" s="85" t="s">
        <v>152</v>
      </c>
      <c r="B86" s="178" t="s">
        <v>153</v>
      </c>
      <c r="C86" s="179"/>
      <c r="D86" s="179"/>
      <c r="E86" s="179"/>
      <c r="F86" s="179"/>
      <c r="G86" s="180"/>
      <c r="H86" s="8">
        <f>SUM(H87:H107)</f>
        <v>5307.6832999999997</v>
      </c>
      <c r="I86" s="7"/>
      <c r="J86" s="7"/>
      <c r="K86" s="7"/>
      <c r="L86" s="7"/>
    </row>
    <row r="87" spans="1:12" ht="49.95" customHeight="1">
      <c r="A87" s="17" t="s">
        <v>154</v>
      </c>
      <c r="B87" s="45">
        <v>91914</v>
      </c>
      <c r="C87" s="46" t="s">
        <v>491</v>
      </c>
      <c r="D87" s="28" t="s">
        <v>37</v>
      </c>
      <c r="E87" s="28" t="s">
        <v>66</v>
      </c>
      <c r="F87" s="27">
        <v>2</v>
      </c>
      <c r="G87" s="73">
        <v>18.579999999999998</v>
      </c>
      <c r="H87" s="32">
        <f>F87*G87</f>
        <v>37.159999999999997</v>
      </c>
      <c r="I87" s="10"/>
      <c r="J87" s="10"/>
      <c r="K87" s="10"/>
      <c r="L87" s="10"/>
    </row>
    <row r="88" spans="1:12" ht="49.95" customHeight="1">
      <c r="A88" s="17" t="s">
        <v>155</v>
      </c>
      <c r="B88" s="33">
        <v>91884</v>
      </c>
      <c r="C88" s="47" t="s">
        <v>492</v>
      </c>
      <c r="D88" s="86" t="s">
        <v>37</v>
      </c>
      <c r="E88" s="86" t="s">
        <v>66</v>
      </c>
      <c r="F88" s="31">
        <v>4</v>
      </c>
      <c r="G88" s="32">
        <v>11.97</v>
      </c>
      <c r="H88" s="32">
        <f t="shared" ref="H88:H107" si="12">F88*G88</f>
        <v>47.88</v>
      </c>
      <c r="I88" s="10"/>
      <c r="J88" s="10"/>
      <c r="K88" s="10"/>
      <c r="L88" s="10"/>
    </row>
    <row r="89" spans="1:12" ht="49.95" customHeight="1">
      <c r="A89" s="17" t="s">
        <v>156</v>
      </c>
      <c r="B89" s="118">
        <v>39470</v>
      </c>
      <c r="C89" s="47" t="s">
        <v>473</v>
      </c>
      <c r="D89" s="86" t="s">
        <v>37</v>
      </c>
      <c r="E89" s="86" t="s">
        <v>66</v>
      </c>
      <c r="F89" s="31">
        <v>2</v>
      </c>
      <c r="G89" s="32">
        <v>89.64</v>
      </c>
      <c r="H89" s="32">
        <f t="shared" si="12"/>
        <v>179.28</v>
      </c>
      <c r="I89" s="10"/>
      <c r="J89" s="10"/>
      <c r="K89" s="10"/>
      <c r="L89" s="10"/>
    </row>
    <row r="90" spans="1:12" ht="49.95" customHeight="1">
      <c r="A90" s="17" t="s">
        <v>157</v>
      </c>
      <c r="B90" s="33">
        <v>16</v>
      </c>
      <c r="C90" s="47" t="s">
        <v>474</v>
      </c>
      <c r="D90" s="86" t="s">
        <v>64</v>
      </c>
      <c r="E90" s="86" t="s">
        <v>5</v>
      </c>
      <c r="F90" s="31">
        <v>1</v>
      </c>
      <c r="G90" s="32">
        <v>196.6</v>
      </c>
      <c r="H90" s="32">
        <f t="shared" si="12"/>
        <v>196.6</v>
      </c>
      <c r="I90" s="10"/>
      <c r="J90" s="10"/>
      <c r="K90" s="10"/>
      <c r="L90" s="10"/>
    </row>
    <row r="91" spans="1:12" ht="49.95" customHeight="1">
      <c r="A91" s="17" t="s">
        <v>158</v>
      </c>
      <c r="B91" s="45">
        <v>93653</v>
      </c>
      <c r="C91" s="46" t="s">
        <v>475</v>
      </c>
      <c r="D91" s="28" t="s">
        <v>37</v>
      </c>
      <c r="E91" s="28" t="s">
        <v>66</v>
      </c>
      <c r="F91" s="27">
        <v>1</v>
      </c>
      <c r="G91" s="73">
        <v>12.41</v>
      </c>
      <c r="H91" s="32">
        <f t="shared" si="12"/>
        <v>12.41</v>
      </c>
      <c r="I91" s="10"/>
      <c r="J91" s="10"/>
      <c r="K91" s="10"/>
      <c r="L91" s="10"/>
    </row>
    <row r="92" spans="1:12" ht="49.95" customHeight="1">
      <c r="A92" s="17" t="s">
        <v>159</v>
      </c>
      <c r="B92" s="33">
        <v>93654</v>
      </c>
      <c r="C92" s="47" t="s">
        <v>476</v>
      </c>
      <c r="D92" s="86" t="s">
        <v>37</v>
      </c>
      <c r="E92" s="86" t="s">
        <v>66</v>
      </c>
      <c r="F92" s="31">
        <v>1</v>
      </c>
      <c r="G92" s="32">
        <v>13.12</v>
      </c>
      <c r="H92" s="32">
        <f t="shared" si="12"/>
        <v>13.12</v>
      </c>
      <c r="I92" s="10"/>
      <c r="J92" s="10"/>
      <c r="K92" s="10"/>
      <c r="L92" s="10"/>
    </row>
    <row r="93" spans="1:12" ht="49.95" customHeight="1">
      <c r="A93" s="17" t="s">
        <v>160</v>
      </c>
      <c r="B93" s="33">
        <v>93657</v>
      </c>
      <c r="C93" s="47" t="s">
        <v>477</v>
      </c>
      <c r="D93" s="86" t="s">
        <v>37</v>
      </c>
      <c r="E93" s="86" t="s">
        <v>66</v>
      </c>
      <c r="F93" s="31">
        <v>1</v>
      </c>
      <c r="G93" s="32">
        <v>16.21</v>
      </c>
      <c r="H93" s="32">
        <f t="shared" si="12"/>
        <v>16.21</v>
      </c>
      <c r="I93" s="10"/>
      <c r="J93" s="10"/>
      <c r="K93" s="10"/>
      <c r="L93" s="10"/>
    </row>
    <row r="94" spans="1:12" ht="49.95" customHeight="1">
      <c r="A94" s="17" t="s">
        <v>161</v>
      </c>
      <c r="B94" s="45">
        <v>91953</v>
      </c>
      <c r="C94" s="46" t="s">
        <v>478</v>
      </c>
      <c r="D94" s="28" t="s">
        <v>37</v>
      </c>
      <c r="E94" s="28" t="s">
        <v>66</v>
      </c>
      <c r="F94" s="27">
        <v>1</v>
      </c>
      <c r="G94" s="73">
        <v>32.159999999999997</v>
      </c>
      <c r="H94" s="32">
        <f t="shared" si="12"/>
        <v>32.159999999999997</v>
      </c>
      <c r="I94" s="10"/>
      <c r="J94" s="10"/>
      <c r="K94" s="10"/>
      <c r="L94" s="10"/>
    </row>
    <row r="95" spans="1:12" ht="49.95" customHeight="1">
      <c r="A95" s="17" t="s">
        <v>162</v>
      </c>
      <c r="B95" s="33">
        <v>91967</v>
      </c>
      <c r="C95" s="47" t="s">
        <v>479</v>
      </c>
      <c r="D95" s="86" t="s">
        <v>37</v>
      </c>
      <c r="E95" s="86" t="s">
        <v>66</v>
      </c>
      <c r="F95" s="31">
        <v>1</v>
      </c>
      <c r="G95" s="32">
        <v>65.77</v>
      </c>
      <c r="H95" s="32">
        <f t="shared" si="12"/>
        <v>65.77</v>
      </c>
      <c r="I95" s="10"/>
      <c r="J95" s="10"/>
      <c r="K95" s="10"/>
      <c r="L95" s="10"/>
    </row>
    <row r="96" spans="1:12" ht="49.95" customHeight="1">
      <c r="A96" s="17" t="s">
        <v>163</v>
      </c>
      <c r="B96" s="33">
        <v>101876</v>
      </c>
      <c r="C96" s="47" t="s">
        <v>493</v>
      </c>
      <c r="D96" s="86" t="s">
        <v>37</v>
      </c>
      <c r="E96" s="86" t="s">
        <v>66</v>
      </c>
      <c r="F96" s="31">
        <v>1</v>
      </c>
      <c r="G96" s="32">
        <v>119.29</v>
      </c>
      <c r="H96" s="32">
        <f t="shared" si="12"/>
        <v>119.29</v>
      </c>
      <c r="I96" s="10"/>
      <c r="J96" s="10"/>
      <c r="K96" s="10"/>
      <c r="L96" s="10"/>
    </row>
    <row r="97" spans="1:12" ht="49.95" customHeight="1">
      <c r="A97" s="17" t="s">
        <v>164</v>
      </c>
      <c r="B97" s="33">
        <v>97886</v>
      </c>
      <c r="C97" s="47" t="s">
        <v>480</v>
      </c>
      <c r="D97" s="86" t="s">
        <v>37</v>
      </c>
      <c r="E97" s="86" t="s">
        <v>66</v>
      </c>
      <c r="F97" s="31">
        <v>1</v>
      </c>
      <c r="G97" s="32">
        <v>182.85</v>
      </c>
      <c r="H97" s="32">
        <f t="shared" si="12"/>
        <v>182.85</v>
      </c>
      <c r="I97" s="10"/>
      <c r="J97" s="10"/>
      <c r="K97" s="10"/>
      <c r="L97" s="10"/>
    </row>
    <row r="98" spans="1:12" ht="49.95" customHeight="1">
      <c r="A98" s="17" t="s">
        <v>165</v>
      </c>
      <c r="B98" s="45">
        <v>96985</v>
      </c>
      <c r="C98" s="46" t="s">
        <v>481</v>
      </c>
      <c r="D98" s="28" t="s">
        <v>37</v>
      </c>
      <c r="E98" s="28" t="s">
        <v>66</v>
      </c>
      <c r="F98" s="27">
        <v>1</v>
      </c>
      <c r="G98" s="73">
        <v>99.89</v>
      </c>
      <c r="H98" s="32">
        <f t="shared" si="12"/>
        <v>99.89</v>
      </c>
      <c r="I98" s="10"/>
      <c r="J98" s="10"/>
      <c r="K98" s="10"/>
      <c r="L98" s="10"/>
    </row>
    <row r="99" spans="1:12" ht="49.95" customHeight="1">
      <c r="A99" s="17" t="s">
        <v>166</v>
      </c>
      <c r="B99" s="33">
        <v>17</v>
      </c>
      <c r="C99" s="47" t="s">
        <v>482</v>
      </c>
      <c r="D99" s="86" t="s">
        <v>64</v>
      </c>
      <c r="E99" s="86" t="s">
        <v>5</v>
      </c>
      <c r="F99" s="31">
        <v>1</v>
      </c>
      <c r="G99" s="32">
        <v>71.3</v>
      </c>
      <c r="H99" s="32">
        <f t="shared" si="12"/>
        <v>71.3</v>
      </c>
      <c r="I99" s="10"/>
      <c r="J99" s="10"/>
      <c r="K99" s="10"/>
      <c r="L99" s="10"/>
    </row>
    <row r="100" spans="1:12" ht="49.95" customHeight="1">
      <c r="A100" s="17" t="s">
        <v>167</v>
      </c>
      <c r="B100" s="33">
        <v>91998</v>
      </c>
      <c r="C100" s="47" t="s">
        <v>483</v>
      </c>
      <c r="D100" s="86" t="s">
        <v>37</v>
      </c>
      <c r="E100" s="86" t="s">
        <v>66</v>
      </c>
      <c r="F100" s="31">
        <v>3</v>
      </c>
      <c r="G100" s="32">
        <v>21.88</v>
      </c>
      <c r="H100" s="32">
        <f t="shared" si="12"/>
        <v>65.64</v>
      </c>
      <c r="I100" s="10"/>
      <c r="J100" s="10"/>
      <c r="K100" s="10"/>
      <c r="L100" s="10"/>
    </row>
    <row r="101" spans="1:12" ht="49.95" customHeight="1">
      <c r="A101" s="17" t="s">
        <v>168</v>
      </c>
      <c r="B101" s="33">
        <v>92004</v>
      </c>
      <c r="C101" s="47" t="s">
        <v>484</v>
      </c>
      <c r="D101" s="86" t="s">
        <v>37</v>
      </c>
      <c r="E101" s="86" t="s">
        <v>66</v>
      </c>
      <c r="F101" s="31">
        <v>1</v>
      </c>
      <c r="G101" s="32">
        <v>60.61</v>
      </c>
      <c r="H101" s="32">
        <f t="shared" si="12"/>
        <v>60.61</v>
      </c>
      <c r="I101" s="10"/>
      <c r="J101" s="10"/>
      <c r="K101" s="10"/>
      <c r="L101" s="10"/>
    </row>
    <row r="102" spans="1:12" ht="49.95" customHeight="1">
      <c r="A102" s="17" t="s">
        <v>169</v>
      </c>
      <c r="B102" s="45">
        <v>91931</v>
      </c>
      <c r="C102" s="46" t="s">
        <v>485</v>
      </c>
      <c r="D102" s="28" t="s">
        <v>37</v>
      </c>
      <c r="E102" s="28" t="s">
        <v>38</v>
      </c>
      <c r="F102" s="27">
        <v>127.8</v>
      </c>
      <c r="G102" s="73">
        <v>13.01</v>
      </c>
      <c r="H102" s="32">
        <f>F102*G102-0.01</f>
        <v>1662.6679999999999</v>
      </c>
      <c r="I102" s="10"/>
      <c r="J102" s="10"/>
      <c r="K102" s="10"/>
      <c r="L102" s="10"/>
    </row>
    <row r="103" spans="1:12" ht="49.95" customHeight="1">
      <c r="A103" s="17" t="s">
        <v>170</v>
      </c>
      <c r="B103" s="33">
        <v>91924</v>
      </c>
      <c r="C103" s="47" t="s">
        <v>486</v>
      </c>
      <c r="D103" s="86" t="s">
        <v>37</v>
      </c>
      <c r="E103" s="86" t="s">
        <v>38</v>
      </c>
      <c r="F103" s="31">
        <v>111.6</v>
      </c>
      <c r="G103" s="32">
        <v>3.72</v>
      </c>
      <c r="H103" s="32">
        <f t="shared" si="12"/>
        <v>415.15199999999999</v>
      </c>
      <c r="I103" s="10"/>
      <c r="J103" s="10"/>
      <c r="K103" s="10"/>
      <c r="L103" s="10"/>
    </row>
    <row r="104" spans="1:12" ht="49.95" customHeight="1">
      <c r="A104" s="17" t="s">
        <v>171</v>
      </c>
      <c r="B104" s="33">
        <v>91926</v>
      </c>
      <c r="C104" s="47" t="s">
        <v>487</v>
      </c>
      <c r="D104" s="86" t="s">
        <v>37</v>
      </c>
      <c r="E104" s="86" t="s">
        <v>38</v>
      </c>
      <c r="F104" s="31">
        <v>27.2</v>
      </c>
      <c r="G104" s="32">
        <v>5.47</v>
      </c>
      <c r="H104" s="32">
        <f t="shared" si="12"/>
        <v>148.78399999999999</v>
      </c>
      <c r="I104" s="10"/>
      <c r="J104" s="10"/>
      <c r="K104" s="10"/>
      <c r="L104" s="10"/>
    </row>
    <row r="105" spans="1:12" ht="49.95" customHeight="1">
      <c r="A105" s="17" t="s">
        <v>172</v>
      </c>
      <c r="B105" s="33">
        <v>23</v>
      </c>
      <c r="C105" s="47" t="s">
        <v>488</v>
      </c>
      <c r="D105" s="86" t="s">
        <v>64</v>
      </c>
      <c r="E105" s="86" t="s">
        <v>38</v>
      </c>
      <c r="F105" s="31">
        <v>38.76</v>
      </c>
      <c r="G105" s="32">
        <v>26.17</v>
      </c>
      <c r="H105" s="32">
        <f>F105*G105-0.01</f>
        <v>1014.3392</v>
      </c>
      <c r="I105" s="10"/>
      <c r="J105" s="10"/>
      <c r="K105" s="10"/>
      <c r="L105" s="10"/>
    </row>
    <row r="106" spans="1:12" ht="49.95" customHeight="1">
      <c r="A106" s="17" t="s">
        <v>173</v>
      </c>
      <c r="B106" s="45">
        <v>95727</v>
      </c>
      <c r="C106" s="46" t="s">
        <v>489</v>
      </c>
      <c r="D106" s="28" t="s">
        <v>37</v>
      </c>
      <c r="E106" s="28" t="s">
        <v>38</v>
      </c>
      <c r="F106" s="27">
        <v>28.53</v>
      </c>
      <c r="G106" s="73">
        <v>22.3</v>
      </c>
      <c r="H106" s="32">
        <f>F106*G106-0.01</f>
        <v>636.20900000000006</v>
      </c>
      <c r="I106" s="10"/>
      <c r="J106" s="10"/>
      <c r="K106" s="10"/>
      <c r="L106" s="10"/>
    </row>
    <row r="107" spans="1:12" ht="49.95" customHeight="1">
      <c r="A107" s="17" t="s">
        <v>174</v>
      </c>
      <c r="B107" s="33">
        <v>91854</v>
      </c>
      <c r="C107" s="47" t="s">
        <v>490</v>
      </c>
      <c r="D107" s="86" t="s">
        <v>37</v>
      </c>
      <c r="E107" s="86" t="s">
        <v>38</v>
      </c>
      <c r="F107" s="31">
        <v>21.31</v>
      </c>
      <c r="G107" s="32">
        <v>10.81</v>
      </c>
      <c r="H107" s="32">
        <f t="shared" si="12"/>
        <v>230.36109999999999</v>
      </c>
      <c r="I107" s="10"/>
      <c r="J107" s="10"/>
      <c r="K107" s="10"/>
      <c r="L107" s="10"/>
    </row>
    <row r="108" spans="1:12" ht="20.100000000000001" customHeight="1">
      <c r="A108" s="85" t="s">
        <v>175</v>
      </c>
      <c r="B108" s="175" t="s">
        <v>176</v>
      </c>
      <c r="C108" s="176"/>
      <c r="D108" s="176"/>
      <c r="E108" s="176"/>
      <c r="F108" s="176"/>
      <c r="G108" s="177"/>
      <c r="H108" s="8">
        <f>SUM(H109:H129)</f>
        <v>5471.0644000000002</v>
      </c>
      <c r="I108" s="7"/>
      <c r="J108" s="7"/>
      <c r="K108" s="7"/>
      <c r="L108" s="7"/>
    </row>
    <row r="109" spans="1:12" ht="49.95" customHeight="1">
      <c r="A109" s="17" t="s">
        <v>177</v>
      </c>
      <c r="B109" s="48">
        <v>98062</v>
      </c>
      <c r="C109" s="44" t="s">
        <v>495</v>
      </c>
      <c r="D109" s="38" t="s">
        <v>37</v>
      </c>
      <c r="E109" s="38" t="s">
        <v>66</v>
      </c>
      <c r="F109" s="39">
        <v>1</v>
      </c>
      <c r="G109" s="60">
        <v>3778.29</v>
      </c>
      <c r="H109" s="32">
        <f>F109*G109</f>
        <v>3778.29</v>
      </c>
      <c r="I109" s="10"/>
      <c r="J109" s="10"/>
      <c r="K109" s="10"/>
      <c r="L109" s="10"/>
    </row>
    <row r="110" spans="1:12" ht="49.95" customHeight="1">
      <c r="A110" s="17" t="s">
        <v>178</v>
      </c>
      <c r="B110" s="48">
        <v>104084</v>
      </c>
      <c r="C110" s="44" t="s">
        <v>511</v>
      </c>
      <c r="D110" s="38" t="s">
        <v>37</v>
      </c>
      <c r="E110" s="38" t="s">
        <v>66</v>
      </c>
      <c r="F110" s="39">
        <v>1</v>
      </c>
      <c r="G110" s="60">
        <v>91.1</v>
      </c>
      <c r="H110" s="32">
        <f t="shared" ref="H110:H129" si="13">F110*G110</f>
        <v>91.1</v>
      </c>
      <c r="I110" s="10"/>
      <c r="J110" s="10"/>
      <c r="K110" s="10"/>
      <c r="L110" s="10"/>
    </row>
    <row r="111" spans="1:12" ht="49.95" customHeight="1">
      <c r="A111" s="17" t="s">
        <v>179</v>
      </c>
      <c r="B111" s="48">
        <v>104065</v>
      </c>
      <c r="C111" s="44" t="s">
        <v>496</v>
      </c>
      <c r="D111" s="38" t="s">
        <v>37</v>
      </c>
      <c r="E111" s="38" t="s">
        <v>66</v>
      </c>
      <c r="F111" s="39">
        <v>1</v>
      </c>
      <c r="G111" s="60">
        <v>161.43</v>
      </c>
      <c r="H111" s="32">
        <f t="shared" si="13"/>
        <v>161.43</v>
      </c>
      <c r="I111" s="10"/>
      <c r="J111" s="10"/>
      <c r="K111" s="10"/>
      <c r="L111" s="10"/>
    </row>
    <row r="112" spans="1:12" ht="49.95" customHeight="1">
      <c r="A112" s="17" t="s">
        <v>180</v>
      </c>
      <c r="B112" s="48">
        <v>89733</v>
      </c>
      <c r="C112" s="44" t="s">
        <v>497</v>
      </c>
      <c r="D112" s="38" t="s">
        <v>37</v>
      </c>
      <c r="E112" s="38" t="s">
        <v>66</v>
      </c>
      <c r="F112" s="39">
        <v>2</v>
      </c>
      <c r="G112" s="60">
        <v>26.18</v>
      </c>
      <c r="H112" s="32">
        <f t="shared" si="13"/>
        <v>52.36</v>
      </c>
      <c r="I112" s="10"/>
      <c r="J112" s="10"/>
      <c r="K112" s="10"/>
      <c r="L112" s="10"/>
    </row>
    <row r="113" spans="1:12" ht="49.95" customHeight="1">
      <c r="A113" s="17" t="s">
        <v>181</v>
      </c>
      <c r="B113" s="48">
        <v>89726</v>
      </c>
      <c r="C113" s="44" t="s">
        <v>498</v>
      </c>
      <c r="D113" s="38" t="s">
        <v>37</v>
      </c>
      <c r="E113" s="38" t="s">
        <v>66</v>
      </c>
      <c r="F113" s="39">
        <v>3</v>
      </c>
      <c r="G113" s="60">
        <v>10.95</v>
      </c>
      <c r="H113" s="32">
        <f t="shared" si="13"/>
        <v>32.849999999999994</v>
      </c>
      <c r="I113" s="10"/>
      <c r="J113" s="10"/>
      <c r="K113" s="10"/>
      <c r="L113" s="10"/>
    </row>
    <row r="114" spans="1:12" ht="49.95" customHeight="1">
      <c r="A114" s="17" t="s">
        <v>182</v>
      </c>
      <c r="B114" s="48">
        <v>89732</v>
      </c>
      <c r="C114" s="44" t="s">
        <v>499</v>
      </c>
      <c r="D114" s="38" t="s">
        <v>37</v>
      </c>
      <c r="E114" s="38" t="s">
        <v>66</v>
      </c>
      <c r="F114" s="39">
        <v>5</v>
      </c>
      <c r="G114" s="60">
        <v>17.82</v>
      </c>
      <c r="H114" s="32">
        <f t="shared" si="13"/>
        <v>89.1</v>
      </c>
      <c r="I114" s="10"/>
      <c r="J114" s="10"/>
      <c r="K114" s="10"/>
      <c r="L114" s="10"/>
    </row>
    <row r="115" spans="1:12" ht="49.95" customHeight="1">
      <c r="A115" s="17" t="s">
        <v>183</v>
      </c>
      <c r="B115" s="48">
        <v>89724</v>
      </c>
      <c r="C115" s="44" t="s">
        <v>500</v>
      </c>
      <c r="D115" s="38" t="s">
        <v>37</v>
      </c>
      <c r="E115" s="38" t="s">
        <v>66</v>
      </c>
      <c r="F115" s="39">
        <v>2</v>
      </c>
      <c r="G115" s="60">
        <v>10.7</v>
      </c>
      <c r="H115" s="32">
        <f t="shared" si="13"/>
        <v>21.4</v>
      </c>
      <c r="I115" s="10"/>
      <c r="J115" s="10"/>
      <c r="K115" s="10"/>
      <c r="L115" s="10"/>
    </row>
    <row r="116" spans="1:12" ht="49.95" customHeight="1">
      <c r="A116" s="17" t="s">
        <v>184</v>
      </c>
      <c r="B116" s="48">
        <v>89731</v>
      </c>
      <c r="C116" s="44" t="s">
        <v>465</v>
      </c>
      <c r="D116" s="38" t="s">
        <v>37</v>
      </c>
      <c r="E116" s="38" t="s">
        <v>66</v>
      </c>
      <c r="F116" s="39">
        <v>8</v>
      </c>
      <c r="G116" s="60">
        <v>17.02</v>
      </c>
      <c r="H116" s="32">
        <f t="shared" si="13"/>
        <v>136.16</v>
      </c>
      <c r="I116" s="10"/>
      <c r="J116" s="10"/>
      <c r="K116" s="10"/>
      <c r="L116" s="10"/>
    </row>
    <row r="117" spans="1:12" ht="49.95" customHeight="1">
      <c r="A117" s="17" t="s">
        <v>185</v>
      </c>
      <c r="B117" s="48">
        <v>89744</v>
      </c>
      <c r="C117" s="44" t="s">
        <v>501</v>
      </c>
      <c r="D117" s="38" t="s">
        <v>37</v>
      </c>
      <c r="E117" s="38" t="s">
        <v>66</v>
      </c>
      <c r="F117" s="39">
        <v>1</v>
      </c>
      <c r="G117" s="60">
        <v>31.13</v>
      </c>
      <c r="H117" s="32">
        <f t="shared" si="13"/>
        <v>31.13</v>
      </c>
      <c r="I117" s="10"/>
      <c r="J117" s="10"/>
      <c r="K117" s="10"/>
      <c r="L117" s="10"/>
    </row>
    <row r="118" spans="1:12" ht="49.95" customHeight="1">
      <c r="A118" s="17" t="s">
        <v>186</v>
      </c>
      <c r="B118" s="48">
        <v>89785</v>
      </c>
      <c r="C118" s="44" t="s">
        <v>502</v>
      </c>
      <c r="D118" s="38" t="s">
        <v>37</v>
      </c>
      <c r="E118" s="38" t="s">
        <v>66</v>
      </c>
      <c r="F118" s="39">
        <v>1</v>
      </c>
      <c r="G118" s="60">
        <v>30.01</v>
      </c>
      <c r="H118" s="32">
        <f t="shared" si="13"/>
        <v>30.01</v>
      </c>
      <c r="I118" s="10"/>
      <c r="J118" s="10"/>
      <c r="K118" s="10"/>
      <c r="L118" s="10"/>
    </row>
    <row r="119" spans="1:12" ht="49.95" customHeight="1">
      <c r="A119" s="17" t="s">
        <v>187</v>
      </c>
      <c r="B119" s="48">
        <v>104353</v>
      </c>
      <c r="C119" s="44" t="s">
        <v>503</v>
      </c>
      <c r="D119" s="38" t="s">
        <v>37</v>
      </c>
      <c r="E119" s="38" t="s">
        <v>66</v>
      </c>
      <c r="F119" s="39">
        <v>1</v>
      </c>
      <c r="G119" s="60">
        <v>46.81</v>
      </c>
      <c r="H119" s="32">
        <f t="shared" si="13"/>
        <v>46.81</v>
      </c>
      <c r="I119" s="10"/>
      <c r="J119" s="10"/>
      <c r="K119" s="10"/>
      <c r="L119" s="10"/>
    </row>
    <row r="120" spans="1:12" ht="49.95" customHeight="1">
      <c r="A120" s="17" t="s">
        <v>188</v>
      </c>
      <c r="B120" s="48">
        <v>104348</v>
      </c>
      <c r="C120" s="44" t="s">
        <v>504</v>
      </c>
      <c r="D120" s="38" t="s">
        <v>37</v>
      </c>
      <c r="E120" s="38" t="s">
        <v>66</v>
      </c>
      <c r="F120" s="39">
        <v>1</v>
      </c>
      <c r="G120" s="60">
        <v>11.64</v>
      </c>
      <c r="H120" s="32">
        <f t="shared" si="13"/>
        <v>11.64</v>
      </c>
      <c r="I120" s="10"/>
      <c r="J120" s="10"/>
      <c r="K120" s="10"/>
      <c r="L120" s="10"/>
    </row>
    <row r="121" spans="1:12" ht="49.95" customHeight="1">
      <c r="A121" s="17" t="s">
        <v>189</v>
      </c>
      <c r="B121" s="48">
        <v>89796</v>
      </c>
      <c r="C121" s="44" t="s">
        <v>505</v>
      </c>
      <c r="D121" s="38" t="s">
        <v>37</v>
      </c>
      <c r="E121" s="38" t="s">
        <v>66</v>
      </c>
      <c r="F121" s="39">
        <v>2</v>
      </c>
      <c r="G121" s="60">
        <v>48.82</v>
      </c>
      <c r="H121" s="32">
        <f t="shared" si="13"/>
        <v>97.64</v>
      </c>
      <c r="I121" s="10"/>
      <c r="J121" s="10"/>
      <c r="K121" s="10"/>
      <c r="L121" s="10"/>
    </row>
    <row r="122" spans="1:12" ht="49.95" customHeight="1">
      <c r="A122" s="17" t="s">
        <v>190</v>
      </c>
      <c r="B122" s="119">
        <v>20181</v>
      </c>
      <c r="C122" s="44" t="s">
        <v>506</v>
      </c>
      <c r="D122" s="38" t="s">
        <v>37</v>
      </c>
      <c r="E122" s="38" t="s">
        <v>66</v>
      </c>
      <c r="F122" s="39">
        <v>1</v>
      </c>
      <c r="G122" s="60">
        <v>125.71</v>
      </c>
      <c r="H122" s="32">
        <f t="shared" si="13"/>
        <v>125.71</v>
      </c>
      <c r="I122" s="10"/>
      <c r="J122" s="10"/>
      <c r="K122" s="10"/>
      <c r="L122" s="10"/>
    </row>
    <row r="123" spans="1:12" ht="49.95" customHeight="1">
      <c r="A123" s="17" t="s">
        <v>191</v>
      </c>
      <c r="B123" s="48">
        <v>104329</v>
      </c>
      <c r="C123" s="44" t="s">
        <v>507</v>
      </c>
      <c r="D123" s="38" t="s">
        <v>37</v>
      </c>
      <c r="E123" s="38" t="s">
        <v>66</v>
      </c>
      <c r="F123" s="39">
        <v>1</v>
      </c>
      <c r="G123" s="60">
        <v>77.48</v>
      </c>
      <c r="H123" s="32">
        <f t="shared" si="13"/>
        <v>77.48</v>
      </c>
      <c r="I123" s="10"/>
      <c r="J123" s="10"/>
      <c r="K123" s="10"/>
      <c r="L123" s="10"/>
    </row>
    <row r="124" spans="1:12" ht="49.95" customHeight="1">
      <c r="A124" s="17" t="s">
        <v>192</v>
      </c>
      <c r="B124" s="119">
        <v>6138</v>
      </c>
      <c r="C124" s="44" t="s">
        <v>508</v>
      </c>
      <c r="D124" s="38" t="s">
        <v>37</v>
      </c>
      <c r="E124" s="38" t="s">
        <v>66</v>
      </c>
      <c r="F124" s="39">
        <v>2</v>
      </c>
      <c r="G124" s="60">
        <v>10.67</v>
      </c>
      <c r="H124" s="32">
        <f t="shared" si="13"/>
        <v>21.34</v>
      </c>
      <c r="I124" s="10"/>
      <c r="J124" s="10"/>
      <c r="K124" s="10"/>
      <c r="L124" s="10"/>
    </row>
    <row r="125" spans="1:12" ht="49.95" customHeight="1">
      <c r="A125" s="17" t="s">
        <v>193</v>
      </c>
      <c r="B125" s="48">
        <v>89711</v>
      </c>
      <c r="C125" s="44" t="s">
        <v>512</v>
      </c>
      <c r="D125" s="38" t="s">
        <v>37</v>
      </c>
      <c r="E125" s="38" t="s">
        <v>38</v>
      </c>
      <c r="F125" s="39">
        <v>1.97</v>
      </c>
      <c r="G125" s="60">
        <v>23.31</v>
      </c>
      <c r="H125" s="32">
        <f t="shared" si="13"/>
        <v>45.920699999999997</v>
      </c>
      <c r="I125" s="10"/>
      <c r="J125" s="10"/>
      <c r="K125" s="10"/>
      <c r="L125" s="10"/>
    </row>
    <row r="126" spans="1:12" ht="49.95" customHeight="1">
      <c r="A126" s="17" t="s">
        <v>194</v>
      </c>
      <c r="B126" s="48">
        <v>89712</v>
      </c>
      <c r="C126" s="44" t="s">
        <v>513</v>
      </c>
      <c r="D126" s="38" t="s">
        <v>37</v>
      </c>
      <c r="E126" s="38" t="s">
        <v>38</v>
      </c>
      <c r="F126" s="39">
        <v>7.86</v>
      </c>
      <c r="G126" s="60">
        <v>29.55</v>
      </c>
      <c r="H126" s="32">
        <f t="shared" si="13"/>
        <v>232.26300000000001</v>
      </c>
      <c r="I126" s="10"/>
      <c r="J126" s="10"/>
      <c r="K126" s="10"/>
      <c r="L126" s="10"/>
    </row>
    <row r="127" spans="1:12" ht="49.95" customHeight="1">
      <c r="A127" s="17" t="s">
        <v>195</v>
      </c>
      <c r="B127" s="48">
        <v>89713</v>
      </c>
      <c r="C127" s="44" t="s">
        <v>514</v>
      </c>
      <c r="D127" s="38" t="s">
        <v>37</v>
      </c>
      <c r="E127" s="38" t="s">
        <v>38</v>
      </c>
      <c r="F127" s="39">
        <v>0.47</v>
      </c>
      <c r="G127" s="60">
        <v>36.79</v>
      </c>
      <c r="H127" s="32">
        <f t="shared" si="13"/>
        <v>17.2913</v>
      </c>
      <c r="I127" s="10"/>
      <c r="J127" s="10"/>
      <c r="K127" s="10"/>
      <c r="L127" s="10"/>
    </row>
    <row r="128" spans="1:12" ht="49.95" customHeight="1">
      <c r="A128" s="17" t="s">
        <v>196</v>
      </c>
      <c r="B128" s="48">
        <v>89714</v>
      </c>
      <c r="C128" s="44" t="s">
        <v>515</v>
      </c>
      <c r="D128" s="38" t="s">
        <v>37</v>
      </c>
      <c r="E128" s="38" t="s">
        <v>38</v>
      </c>
      <c r="F128" s="39">
        <v>1.83</v>
      </c>
      <c r="G128" s="60">
        <v>41.13</v>
      </c>
      <c r="H128" s="32">
        <f>F128*G128-0.01</f>
        <v>75.257900000000006</v>
      </c>
      <c r="I128" s="10"/>
      <c r="J128" s="10"/>
      <c r="K128" s="10"/>
      <c r="L128" s="10"/>
    </row>
    <row r="129" spans="1:12" ht="49.95" customHeight="1">
      <c r="A129" s="17" t="s">
        <v>197</v>
      </c>
      <c r="B129" s="48">
        <v>19</v>
      </c>
      <c r="C129" s="44" t="s">
        <v>516</v>
      </c>
      <c r="D129" s="38" t="s">
        <v>64</v>
      </c>
      <c r="E129" s="38" t="s">
        <v>38</v>
      </c>
      <c r="F129" s="39">
        <v>4.3099999999999996</v>
      </c>
      <c r="G129" s="60">
        <v>68.650000000000006</v>
      </c>
      <c r="H129" s="32">
        <f t="shared" si="13"/>
        <v>295.88150000000002</v>
      </c>
      <c r="I129" s="10"/>
      <c r="J129" s="10"/>
      <c r="K129" s="10"/>
      <c r="L129" s="10"/>
    </row>
    <row r="130" spans="1:12" ht="20.100000000000001" customHeight="1">
      <c r="A130" s="85" t="s">
        <v>198</v>
      </c>
      <c r="B130" s="178" t="s">
        <v>21</v>
      </c>
      <c r="C130" s="179"/>
      <c r="D130" s="179"/>
      <c r="E130" s="179"/>
      <c r="F130" s="179"/>
      <c r="G130" s="180"/>
      <c r="H130" s="8">
        <f>SUM(H131:H136)</f>
        <v>27189.414199999999</v>
      </c>
      <c r="I130" s="7"/>
      <c r="J130" s="7"/>
      <c r="K130" s="7"/>
      <c r="L130" s="7"/>
    </row>
    <row r="131" spans="1:12" ht="49.95" customHeight="1">
      <c r="A131" s="17" t="s">
        <v>199</v>
      </c>
      <c r="B131" s="48">
        <v>94204</v>
      </c>
      <c r="C131" s="44" t="s">
        <v>517</v>
      </c>
      <c r="D131" s="38" t="s">
        <v>37</v>
      </c>
      <c r="E131" s="38" t="s">
        <v>63</v>
      </c>
      <c r="F131" s="39">
        <v>98.46</v>
      </c>
      <c r="G131" s="60">
        <v>52.95</v>
      </c>
      <c r="H131" s="32">
        <f>F131*G131-0.01</f>
        <v>5213.4470000000001</v>
      </c>
      <c r="I131" s="10"/>
      <c r="J131" s="10"/>
      <c r="K131" s="10"/>
      <c r="L131" s="10"/>
    </row>
    <row r="132" spans="1:12" ht="49.95" customHeight="1">
      <c r="A132" s="17" t="s">
        <v>200</v>
      </c>
      <c r="B132" s="48">
        <v>92540</v>
      </c>
      <c r="C132" s="44" t="s">
        <v>518</v>
      </c>
      <c r="D132" s="38" t="s">
        <v>37</v>
      </c>
      <c r="E132" s="38" t="s">
        <v>63</v>
      </c>
      <c r="F132" s="39">
        <v>98.46</v>
      </c>
      <c r="G132" s="60">
        <v>92.74</v>
      </c>
      <c r="H132" s="32">
        <f t="shared" ref="H132:H136" si="14">F132*G132</f>
        <v>9131.1803999999993</v>
      </c>
      <c r="I132" s="10"/>
      <c r="J132" s="10"/>
      <c r="K132" s="10"/>
      <c r="L132" s="10"/>
    </row>
    <row r="133" spans="1:12" ht="49.95" customHeight="1">
      <c r="A133" s="17" t="s">
        <v>201</v>
      </c>
      <c r="B133" s="48">
        <v>100357</v>
      </c>
      <c r="C133" s="44" t="s">
        <v>519</v>
      </c>
      <c r="D133" s="38" t="s">
        <v>37</v>
      </c>
      <c r="E133" s="38" t="s">
        <v>66</v>
      </c>
      <c r="F133" s="39">
        <v>4</v>
      </c>
      <c r="G133" s="60">
        <v>1159.1500000000001</v>
      </c>
      <c r="H133" s="32">
        <f t="shared" si="14"/>
        <v>4636.6000000000004</v>
      </c>
      <c r="I133" s="10"/>
      <c r="J133" s="10"/>
      <c r="K133" s="10"/>
      <c r="L133" s="10"/>
    </row>
    <row r="134" spans="1:12" ht="49.95" customHeight="1">
      <c r="A134" s="17" t="s">
        <v>202</v>
      </c>
      <c r="B134" s="48">
        <v>100358</v>
      </c>
      <c r="C134" s="44" t="s">
        <v>520</v>
      </c>
      <c r="D134" s="38" t="s">
        <v>37</v>
      </c>
      <c r="E134" s="38" t="s">
        <v>66</v>
      </c>
      <c r="F134" s="39">
        <v>4</v>
      </c>
      <c r="G134" s="60">
        <v>1568.57</v>
      </c>
      <c r="H134" s="32">
        <f t="shared" si="14"/>
        <v>6274.28</v>
      </c>
      <c r="I134" s="10"/>
      <c r="J134" s="10"/>
      <c r="K134" s="10"/>
      <c r="L134" s="10"/>
    </row>
    <row r="135" spans="1:12" ht="49.95" customHeight="1">
      <c r="A135" s="17" t="s">
        <v>203</v>
      </c>
      <c r="B135" s="48">
        <v>102233</v>
      </c>
      <c r="C135" s="44" t="s">
        <v>521</v>
      </c>
      <c r="D135" s="38" t="s">
        <v>37</v>
      </c>
      <c r="E135" s="38" t="s">
        <v>63</v>
      </c>
      <c r="F135" s="39">
        <v>24.62</v>
      </c>
      <c r="G135" s="60">
        <v>13.54</v>
      </c>
      <c r="H135" s="32">
        <f t="shared" si="14"/>
        <v>333.35480000000001</v>
      </c>
      <c r="I135" s="10"/>
      <c r="J135" s="10"/>
      <c r="K135" s="10"/>
      <c r="L135" s="10"/>
    </row>
    <row r="136" spans="1:12" ht="49.95" customHeight="1">
      <c r="A136" s="17" t="s">
        <v>204</v>
      </c>
      <c r="B136" s="48">
        <v>94219</v>
      </c>
      <c r="C136" s="44" t="s">
        <v>522</v>
      </c>
      <c r="D136" s="38" t="s">
        <v>37</v>
      </c>
      <c r="E136" s="38" t="s">
        <v>38</v>
      </c>
      <c r="F136" s="39">
        <v>47.2</v>
      </c>
      <c r="G136" s="60">
        <v>33.909999999999997</v>
      </c>
      <c r="H136" s="32">
        <f t="shared" si="14"/>
        <v>1600.5519999999999</v>
      </c>
      <c r="I136" s="10"/>
      <c r="J136" s="10"/>
      <c r="K136" s="10"/>
      <c r="L136" s="10"/>
    </row>
    <row r="137" spans="1:12" ht="20.100000000000001" customHeight="1">
      <c r="A137" s="85" t="s">
        <v>205</v>
      </c>
      <c r="B137" s="191" t="s">
        <v>48</v>
      </c>
      <c r="C137" s="192"/>
      <c r="D137" s="192"/>
      <c r="E137" s="192"/>
      <c r="F137" s="192"/>
      <c r="G137" s="193"/>
      <c r="H137" s="8">
        <f>SUM(H138:H140)</f>
        <v>1292.7819999999999</v>
      </c>
      <c r="I137" s="7"/>
      <c r="J137" s="7"/>
      <c r="K137" s="7"/>
      <c r="L137" s="7"/>
    </row>
    <row r="138" spans="1:12" ht="49.95" customHeight="1">
      <c r="A138" s="17" t="s">
        <v>206</v>
      </c>
      <c r="B138" s="113">
        <v>90822</v>
      </c>
      <c r="C138" s="34" t="s">
        <v>523</v>
      </c>
      <c r="D138" s="86" t="s">
        <v>37</v>
      </c>
      <c r="E138" s="86" t="s">
        <v>66</v>
      </c>
      <c r="F138" s="31">
        <v>2</v>
      </c>
      <c r="G138" s="32">
        <v>443.77</v>
      </c>
      <c r="H138" s="32">
        <f>F138*G138</f>
        <v>887.54</v>
      </c>
      <c r="I138" s="10"/>
      <c r="J138" s="10"/>
      <c r="K138" s="10"/>
      <c r="L138" s="10"/>
    </row>
    <row r="139" spans="1:12" ht="49.95" customHeight="1">
      <c r="A139" s="17" t="s">
        <v>207</v>
      </c>
      <c r="B139" s="113">
        <v>101162</v>
      </c>
      <c r="C139" s="34" t="s">
        <v>524</v>
      </c>
      <c r="D139" s="86" t="s">
        <v>37</v>
      </c>
      <c r="E139" s="86" t="s">
        <v>63</v>
      </c>
      <c r="F139" s="31">
        <v>0.2</v>
      </c>
      <c r="G139" s="32">
        <v>172.11</v>
      </c>
      <c r="H139" s="32">
        <f t="shared" ref="H139:H140" si="15">F139*G139</f>
        <v>34.422000000000004</v>
      </c>
      <c r="I139" s="10"/>
      <c r="J139" s="10"/>
      <c r="K139" s="10"/>
      <c r="L139" s="10"/>
    </row>
    <row r="140" spans="1:12" ht="49.95" customHeight="1">
      <c r="A140" s="17" t="s">
        <v>208</v>
      </c>
      <c r="B140" s="113">
        <v>90830</v>
      </c>
      <c r="C140" s="34" t="s">
        <v>525</v>
      </c>
      <c r="D140" s="86" t="s">
        <v>37</v>
      </c>
      <c r="E140" s="86" t="s">
        <v>66</v>
      </c>
      <c r="F140" s="31">
        <v>2</v>
      </c>
      <c r="G140" s="32">
        <v>185.41</v>
      </c>
      <c r="H140" s="32">
        <f t="shared" si="15"/>
        <v>370.82</v>
      </c>
      <c r="I140" s="10"/>
      <c r="J140" s="10"/>
      <c r="K140" s="10"/>
      <c r="L140" s="10"/>
    </row>
    <row r="141" spans="1:12" ht="19.5" customHeight="1">
      <c r="A141" s="85">
        <v>3</v>
      </c>
      <c r="B141" s="174" t="s">
        <v>209</v>
      </c>
      <c r="C141" s="174"/>
      <c r="D141" s="174"/>
      <c r="E141" s="174"/>
      <c r="F141" s="174"/>
      <c r="G141" s="174"/>
      <c r="H141" s="8">
        <f>SUM(H142,H144,H147,H158,H169,H173,H181,H186,H190,H256,H262)+0.02</f>
        <v>48294.647399999994</v>
      </c>
      <c r="I141" s="7"/>
      <c r="J141" s="7"/>
      <c r="K141" s="7"/>
      <c r="L141" s="7"/>
    </row>
    <row r="142" spans="1:12" ht="19.5" customHeight="1">
      <c r="A142" s="5" t="s">
        <v>19</v>
      </c>
      <c r="B142" s="174" t="s">
        <v>12</v>
      </c>
      <c r="C142" s="174"/>
      <c r="D142" s="174"/>
      <c r="E142" s="174"/>
      <c r="F142" s="174"/>
      <c r="G142" s="174"/>
      <c r="H142" s="8">
        <f>SUM(H143)</f>
        <v>1054.568</v>
      </c>
      <c r="I142" s="7"/>
      <c r="J142" s="7"/>
      <c r="K142" s="7"/>
      <c r="L142" s="7"/>
    </row>
    <row r="143" spans="1:12" ht="49.95" customHeight="1">
      <c r="A143" s="17" t="s">
        <v>41</v>
      </c>
      <c r="B143" s="33">
        <v>99059</v>
      </c>
      <c r="C143" s="34" t="s">
        <v>78</v>
      </c>
      <c r="D143" s="30" t="s">
        <v>37</v>
      </c>
      <c r="E143" s="30" t="s">
        <v>38</v>
      </c>
      <c r="F143" s="31">
        <v>14.7</v>
      </c>
      <c r="G143" s="32">
        <v>71.739999999999995</v>
      </c>
      <c r="H143" s="32">
        <f>F143*G143-0.01</f>
        <v>1054.568</v>
      </c>
      <c r="I143" s="10"/>
      <c r="J143" s="135">
        <f t="shared" ref="J143:J168" si="16">K143/F143</f>
        <v>1</v>
      </c>
      <c r="K143" s="31">
        <v>14.7</v>
      </c>
      <c r="L143" s="139">
        <f t="shared" ref="L143" si="17">J143*H143</f>
        <v>1054.568</v>
      </c>
    </row>
    <row r="144" spans="1:12" ht="19.2" customHeight="1">
      <c r="A144" s="85" t="s">
        <v>20</v>
      </c>
      <c r="B144" s="174" t="s">
        <v>33</v>
      </c>
      <c r="C144" s="174"/>
      <c r="D144" s="174"/>
      <c r="E144" s="174"/>
      <c r="F144" s="174"/>
      <c r="G144" s="174"/>
      <c r="H144" s="8">
        <f>SUM(H145:H146)</f>
        <v>438.90919999999994</v>
      </c>
      <c r="I144" s="7"/>
      <c r="J144" s="7"/>
      <c r="K144" s="7"/>
      <c r="L144" s="7"/>
    </row>
    <row r="145" spans="1:12" ht="49.95" customHeight="1">
      <c r="A145" s="17" t="s">
        <v>43</v>
      </c>
      <c r="B145" s="33">
        <v>93358</v>
      </c>
      <c r="C145" s="34" t="s">
        <v>410</v>
      </c>
      <c r="D145" s="30" t="s">
        <v>37</v>
      </c>
      <c r="E145" s="30" t="s">
        <v>65</v>
      </c>
      <c r="F145" s="31">
        <v>3.88</v>
      </c>
      <c r="G145" s="32">
        <v>96.82</v>
      </c>
      <c r="H145" s="32">
        <f>F145*G145</f>
        <v>375.66159999999996</v>
      </c>
      <c r="I145" s="10"/>
      <c r="J145" s="135">
        <f t="shared" si="16"/>
        <v>1</v>
      </c>
      <c r="K145" s="31">
        <v>3.88</v>
      </c>
      <c r="L145" s="139">
        <f t="shared" ref="L145:L146" si="18">J145*H145</f>
        <v>375.66159999999996</v>
      </c>
    </row>
    <row r="146" spans="1:12" ht="49.95" customHeight="1">
      <c r="A146" s="17" t="s">
        <v>44</v>
      </c>
      <c r="B146" s="33">
        <v>104737</v>
      </c>
      <c r="C146" s="34" t="s">
        <v>411</v>
      </c>
      <c r="D146" s="30" t="s">
        <v>37</v>
      </c>
      <c r="E146" s="30" t="s">
        <v>65</v>
      </c>
      <c r="F146" s="31">
        <v>2.56</v>
      </c>
      <c r="G146" s="32">
        <v>24.71</v>
      </c>
      <c r="H146" s="32">
        <f>F146*G146-0.01</f>
        <v>63.247600000000006</v>
      </c>
      <c r="I146" s="10"/>
      <c r="J146" s="135">
        <f t="shared" si="16"/>
        <v>1</v>
      </c>
      <c r="K146" s="31">
        <v>2.56</v>
      </c>
      <c r="L146" s="139">
        <f t="shared" si="18"/>
        <v>63.247600000000006</v>
      </c>
    </row>
    <row r="147" spans="1:12" ht="19.2" customHeight="1">
      <c r="A147" s="85" t="s">
        <v>210</v>
      </c>
      <c r="B147" s="174" t="s">
        <v>40</v>
      </c>
      <c r="C147" s="174"/>
      <c r="D147" s="174"/>
      <c r="E147" s="174"/>
      <c r="F147" s="174"/>
      <c r="G147" s="174"/>
      <c r="H147" s="8">
        <f>SUM(H148:H157)-0.01</f>
        <v>4537.0481</v>
      </c>
      <c r="I147" s="7"/>
      <c r="J147" s="7"/>
      <c r="K147" s="7"/>
      <c r="L147" s="7"/>
    </row>
    <row r="148" spans="1:12" ht="49.95" customHeight="1">
      <c r="A148" s="17" t="s">
        <v>211</v>
      </c>
      <c r="B148" s="33">
        <v>96619</v>
      </c>
      <c r="C148" s="34" t="s">
        <v>412</v>
      </c>
      <c r="D148" s="30" t="s">
        <v>37</v>
      </c>
      <c r="E148" s="30" t="s">
        <v>63</v>
      </c>
      <c r="F148" s="31">
        <v>2.38</v>
      </c>
      <c r="G148" s="32">
        <v>44.9</v>
      </c>
      <c r="H148" s="32">
        <f>F148*G148</f>
        <v>106.86199999999999</v>
      </c>
      <c r="I148" s="10"/>
      <c r="J148" s="135">
        <f t="shared" si="16"/>
        <v>1</v>
      </c>
      <c r="K148" s="31">
        <v>2.38</v>
      </c>
      <c r="L148" s="139">
        <f t="shared" ref="L148:L168" si="19">J148*H148</f>
        <v>106.86199999999999</v>
      </c>
    </row>
    <row r="149" spans="1:12" ht="49.95" customHeight="1">
      <c r="A149" s="17" t="s">
        <v>212</v>
      </c>
      <c r="B149" s="33">
        <v>101616</v>
      </c>
      <c r="C149" s="34" t="s">
        <v>413</v>
      </c>
      <c r="D149" s="30" t="s">
        <v>37</v>
      </c>
      <c r="E149" s="30" t="s">
        <v>63</v>
      </c>
      <c r="F149" s="31">
        <v>4.6100000000000003</v>
      </c>
      <c r="G149" s="32">
        <v>7.07</v>
      </c>
      <c r="H149" s="32">
        <f t="shared" ref="H149:H157" si="20">F149*G149</f>
        <v>32.592700000000001</v>
      </c>
      <c r="I149" s="10"/>
      <c r="J149" s="135">
        <f t="shared" si="16"/>
        <v>1</v>
      </c>
      <c r="K149" s="31">
        <v>4.6100000000000003</v>
      </c>
      <c r="L149" s="139">
        <f t="shared" si="19"/>
        <v>32.592700000000001</v>
      </c>
    </row>
    <row r="150" spans="1:12" ht="49.95" customHeight="1">
      <c r="A150" s="17" t="s">
        <v>213</v>
      </c>
      <c r="B150" s="33">
        <v>94971</v>
      </c>
      <c r="C150" s="34" t="s">
        <v>414</v>
      </c>
      <c r="D150" s="30" t="s">
        <v>37</v>
      </c>
      <c r="E150" s="30" t="s">
        <v>65</v>
      </c>
      <c r="F150" s="31">
        <v>1.32</v>
      </c>
      <c r="G150" s="32">
        <v>559.80999999999995</v>
      </c>
      <c r="H150" s="32">
        <f>F150*G150-0.01</f>
        <v>738.93920000000003</v>
      </c>
      <c r="I150" s="10"/>
      <c r="J150" s="135">
        <f t="shared" si="16"/>
        <v>1</v>
      </c>
      <c r="K150" s="31">
        <v>1.32</v>
      </c>
      <c r="L150" s="139">
        <f t="shared" si="19"/>
        <v>738.93920000000003</v>
      </c>
    </row>
    <row r="151" spans="1:12" ht="49.95" customHeight="1">
      <c r="A151" s="17" t="s">
        <v>214</v>
      </c>
      <c r="B151" s="33">
        <v>103670</v>
      </c>
      <c r="C151" s="34" t="s">
        <v>415</v>
      </c>
      <c r="D151" s="30" t="s">
        <v>37</v>
      </c>
      <c r="E151" s="30" t="s">
        <v>65</v>
      </c>
      <c r="F151" s="31">
        <v>1.32</v>
      </c>
      <c r="G151" s="32">
        <v>331.13</v>
      </c>
      <c r="H151" s="32">
        <f t="shared" si="20"/>
        <v>437.09160000000003</v>
      </c>
      <c r="I151" s="10"/>
      <c r="J151" s="135">
        <f t="shared" si="16"/>
        <v>1</v>
      </c>
      <c r="K151" s="31">
        <v>1.32</v>
      </c>
      <c r="L151" s="139">
        <f t="shared" si="19"/>
        <v>437.09160000000003</v>
      </c>
    </row>
    <row r="152" spans="1:12" ht="49.95" customHeight="1">
      <c r="A152" s="17" t="s">
        <v>215</v>
      </c>
      <c r="B152" s="33">
        <v>104927</v>
      </c>
      <c r="C152" s="34" t="s">
        <v>416</v>
      </c>
      <c r="D152" s="30" t="s">
        <v>37</v>
      </c>
      <c r="E152" s="30" t="s">
        <v>63</v>
      </c>
      <c r="F152" s="31">
        <v>3.1</v>
      </c>
      <c r="G152" s="32">
        <v>93.61</v>
      </c>
      <c r="H152" s="32">
        <f t="shared" si="20"/>
        <v>290.19100000000003</v>
      </c>
      <c r="I152" s="10"/>
      <c r="J152" s="135">
        <f t="shared" si="16"/>
        <v>1</v>
      </c>
      <c r="K152" s="31">
        <v>3.1</v>
      </c>
      <c r="L152" s="139">
        <f t="shared" si="19"/>
        <v>290.19100000000003</v>
      </c>
    </row>
    <row r="153" spans="1:12" ht="49.95" customHeight="1">
      <c r="A153" s="17" t="s">
        <v>216</v>
      </c>
      <c r="B153" s="33">
        <v>96542</v>
      </c>
      <c r="C153" s="34" t="s">
        <v>526</v>
      </c>
      <c r="D153" s="30" t="s">
        <v>37</v>
      </c>
      <c r="E153" s="30" t="s">
        <v>63</v>
      </c>
      <c r="F153" s="31">
        <v>11.93</v>
      </c>
      <c r="G153" s="32">
        <v>102.97</v>
      </c>
      <c r="H153" s="32">
        <f t="shared" si="20"/>
        <v>1228.4321</v>
      </c>
      <c r="I153" s="10"/>
      <c r="J153" s="135">
        <f t="shared" si="16"/>
        <v>1</v>
      </c>
      <c r="K153" s="31">
        <v>11.93</v>
      </c>
      <c r="L153" s="139">
        <f t="shared" si="19"/>
        <v>1228.4321</v>
      </c>
    </row>
    <row r="154" spans="1:12" ht="49.95" customHeight="1">
      <c r="A154" s="17" t="s">
        <v>217</v>
      </c>
      <c r="B154" s="33">
        <v>104917</v>
      </c>
      <c r="C154" s="34" t="s">
        <v>418</v>
      </c>
      <c r="D154" s="30" t="s">
        <v>37</v>
      </c>
      <c r="E154" s="30" t="s">
        <v>42</v>
      </c>
      <c r="F154" s="31">
        <v>17.600000000000001</v>
      </c>
      <c r="G154" s="32">
        <v>17.399999999999999</v>
      </c>
      <c r="H154" s="32">
        <f t="shared" si="20"/>
        <v>306.24</v>
      </c>
      <c r="I154" s="10"/>
      <c r="J154" s="135">
        <f t="shared" si="16"/>
        <v>1</v>
      </c>
      <c r="K154" s="31">
        <v>17.600000000000001</v>
      </c>
      <c r="L154" s="139">
        <f t="shared" si="19"/>
        <v>306.24</v>
      </c>
    </row>
    <row r="155" spans="1:12" ht="49.95" customHeight="1">
      <c r="A155" s="17" t="s">
        <v>218</v>
      </c>
      <c r="B155" s="33">
        <v>104916</v>
      </c>
      <c r="C155" s="34" t="s">
        <v>419</v>
      </c>
      <c r="D155" s="30" t="s">
        <v>37</v>
      </c>
      <c r="E155" s="30" t="s">
        <v>42</v>
      </c>
      <c r="F155" s="31">
        <v>11.2</v>
      </c>
      <c r="G155" s="32">
        <v>18.75</v>
      </c>
      <c r="H155" s="32">
        <f t="shared" si="20"/>
        <v>210</v>
      </c>
      <c r="I155" s="10"/>
      <c r="J155" s="135">
        <f t="shared" si="16"/>
        <v>1</v>
      </c>
      <c r="K155" s="31">
        <v>11.2</v>
      </c>
      <c r="L155" s="139">
        <f t="shared" si="19"/>
        <v>210</v>
      </c>
    </row>
    <row r="156" spans="1:12" ht="49.95" customHeight="1">
      <c r="A156" s="17" t="s">
        <v>219</v>
      </c>
      <c r="B156" s="33">
        <v>104918</v>
      </c>
      <c r="C156" s="34" t="s">
        <v>420</v>
      </c>
      <c r="D156" s="30" t="s">
        <v>37</v>
      </c>
      <c r="E156" s="30" t="s">
        <v>42</v>
      </c>
      <c r="F156" s="31">
        <v>28.8</v>
      </c>
      <c r="G156" s="32">
        <v>16.16</v>
      </c>
      <c r="H156" s="32">
        <f>F156*G156-0.01</f>
        <v>465.39800000000002</v>
      </c>
      <c r="I156" s="10"/>
      <c r="J156" s="135">
        <f t="shared" si="16"/>
        <v>1</v>
      </c>
      <c r="K156" s="31">
        <v>28.8</v>
      </c>
      <c r="L156" s="139">
        <f t="shared" si="19"/>
        <v>465.39800000000002</v>
      </c>
    </row>
    <row r="157" spans="1:12" ht="49.95" customHeight="1">
      <c r="A157" s="17" t="s">
        <v>220</v>
      </c>
      <c r="B157" s="33">
        <v>98557</v>
      </c>
      <c r="C157" s="29" t="s">
        <v>421</v>
      </c>
      <c r="D157" s="30" t="s">
        <v>37</v>
      </c>
      <c r="E157" s="30" t="s">
        <v>63</v>
      </c>
      <c r="F157" s="31">
        <v>13.37</v>
      </c>
      <c r="G157" s="32">
        <v>53.95</v>
      </c>
      <c r="H157" s="32">
        <f t="shared" si="20"/>
        <v>721.31150000000002</v>
      </c>
      <c r="I157" s="10"/>
      <c r="J157" s="135">
        <f t="shared" si="16"/>
        <v>1</v>
      </c>
      <c r="K157" s="31">
        <v>13.37</v>
      </c>
      <c r="L157" s="139">
        <f t="shared" si="19"/>
        <v>721.31150000000002</v>
      </c>
    </row>
    <row r="158" spans="1:12" ht="19.2" customHeight="1">
      <c r="A158" s="85" t="s">
        <v>221</v>
      </c>
      <c r="B158" s="174" t="s">
        <v>39</v>
      </c>
      <c r="C158" s="174"/>
      <c r="D158" s="174"/>
      <c r="E158" s="174"/>
      <c r="F158" s="174"/>
      <c r="G158" s="174"/>
      <c r="H158" s="8">
        <f>SUM(H159:H168)-0.01</f>
        <v>10077.3951</v>
      </c>
      <c r="I158" s="7"/>
      <c r="J158" s="7"/>
      <c r="K158" s="7"/>
      <c r="L158" s="7"/>
    </row>
    <row r="159" spans="1:12" ht="49.95" customHeight="1">
      <c r="A159" s="17" t="s">
        <v>222</v>
      </c>
      <c r="B159" s="33">
        <v>92429</v>
      </c>
      <c r="C159" s="34" t="s">
        <v>422</v>
      </c>
      <c r="D159" s="30" t="s">
        <v>37</v>
      </c>
      <c r="E159" s="30" t="s">
        <v>63</v>
      </c>
      <c r="F159" s="31">
        <v>18.72</v>
      </c>
      <c r="G159" s="32">
        <v>82.09</v>
      </c>
      <c r="H159" s="32">
        <f>F159*G159</f>
        <v>1536.7248</v>
      </c>
      <c r="I159" s="10"/>
      <c r="J159" s="135">
        <f t="shared" si="16"/>
        <v>1</v>
      </c>
      <c r="K159" s="31">
        <v>18.72</v>
      </c>
      <c r="L159" s="139">
        <f t="shared" si="19"/>
        <v>1536.7248</v>
      </c>
    </row>
    <row r="160" spans="1:12" ht="49.95" customHeight="1">
      <c r="A160" s="17" t="s">
        <v>223</v>
      </c>
      <c r="B160" s="33">
        <v>92476</v>
      </c>
      <c r="C160" s="47" t="s">
        <v>423</v>
      </c>
      <c r="D160" s="30" t="s">
        <v>37</v>
      </c>
      <c r="E160" s="30" t="s">
        <v>63</v>
      </c>
      <c r="F160" s="31">
        <v>17.04</v>
      </c>
      <c r="G160" s="32">
        <v>101.44</v>
      </c>
      <c r="H160" s="32">
        <f>F160*G160-0.01</f>
        <v>1728.5275999999999</v>
      </c>
      <c r="I160" s="10"/>
      <c r="J160" s="135">
        <f t="shared" si="16"/>
        <v>1</v>
      </c>
      <c r="K160" s="31">
        <v>17.04</v>
      </c>
      <c r="L160" s="139">
        <f t="shared" si="19"/>
        <v>1728.5275999999999</v>
      </c>
    </row>
    <row r="161" spans="1:12" ht="49.95" customHeight="1">
      <c r="A161" s="17" t="s">
        <v>224</v>
      </c>
      <c r="B161" s="33">
        <v>92759</v>
      </c>
      <c r="C161" s="34" t="s">
        <v>425</v>
      </c>
      <c r="D161" s="86" t="s">
        <v>37</v>
      </c>
      <c r="E161" s="86" t="s">
        <v>42</v>
      </c>
      <c r="F161" s="31">
        <v>43.2</v>
      </c>
      <c r="G161" s="32">
        <v>15.87</v>
      </c>
      <c r="H161" s="32">
        <f t="shared" ref="H161:H167" si="21">F161*G161</f>
        <v>685.58400000000006</v>
      </c>
      <c r="I161" s="10"/>
      <c r="J161" s="135">
        <f t="shared" si="16"/>
        <v>1</v>
      </c>
      <c r="K161" s="31">
        <v>43.2</v>
      </c>
      <c r="L161" s="139">
        <f t="shared" si="19"/>
        <v>685.58400000000006</v>
      </c>
    </row>
    <row r="162" spans="1:12" ht="49.95" customHeight="1">
      <c r="A162" s="17" t="s">
        <v>225</v>
      </c>
      <c r="B162" s="33">
        <v>104108</v>
      </c>
      <c r="C162" s="47" t="s">
        <v>426</v>
      </c>
      <c r="D162" s="86" t="s">
        <v>37</v>
      </c>
      <c r="E162" s="86" t="s">
        <v>42</v>
      </c>
      <c r="F162" s="31">
        <v>69.900000000000006</v>
      </c>
      <c r="G162" s="32">
        <v>14.5</v>
      </c>
      <c r="H162" s="32">
        <f t="shared" si="21"/>
        <v>1013.5500000000001</v>
      </c>
      <c r="I162" s="10"/>
      <c r="J162" s="135">
        <f t="shared" si="16"/>
        <v>1</v>
      </c>
      <c r="K162" s="31">
        <v>69.900000000000006</v>
      </c>
      <c r="L162" s="139">
        <f t="shared" si="19"/>
        <v>1013.5500000000001</v>
      </c>
    </row>
    <row r="163" spans="1:12" ht="49.95" customHeight="1">
      <c r="A163" s="17" t="s">
        <v>226</v>
      </c>
      <c r="B163" s="33">
        <v>92761</v>
      </c>
      <c r="C163" s="47" t="s">
        <v>427</v>
      </c>
      <c r="D163" s="86" t="s">
        <v>37</v>
      </c>
      <c r="E163" s="86" t="s">
        <v>42</v>
      </c>
      <c r="F163" s="31">
        <v>36.5</v>
      </c>
      <c r="G163" s="32">
        <v>14.08</v>
      </c>
      <c r="H163" s="32">
        <f t="shared" si="21"/>
        <v>513.91999999999996</v>
      </c>
      <c r="I163" s="10"/>
      <c r="J163" s="135">
        <f t="shared" si="16"/>
        <v>1</v>
      </c>
      <c r="K163" s="31">
        <v>36.5</v>
      </c>
      <c r="L163" s="139">
        <f t="shared" si="19"/>
        <v>513.91999999999996</v>
      </c>
    </row>
    <row r="164" spans="1:12" ht="49.95" customHeight="1">
      <c r="A164" s="17" t="s">
        <v>227</v>
      </c>
      <c r="B164" s="33">
        <v>94971</v>
      </c>
      <c r="C164" s="34" t="s">
        <v>414</v>
      </c>
      <c r="D164" s="86" t="s">
        <v>37</v>
      </c>
      <c r="E164" s="86" t="s">
        <v>65</v>
      </c>
      <c r="F164" s="31">
        <v>2.61</v>
      </c>
      <c r="G164" s="32">
        <v>559.80999999999995</v>
      </c>
      <c r="H164" s="32">
        <f t="shared" si="21"/>
        <v>1461.1040999999998</v>
      </c>
      <c r="I164" s="10"/>
      <c r="J164" s="135">
        <f t="shared" si="16"/>
        <v>1</v>
      </c>
      <c r="K164" s="31">
        <v>2.61</v>
      </c>
      <c r="L164" s="139">
        <f t="shared" si="19"/>
        <v>1461.1040999999998</v>
      </c>
    </row>
    <row r="165" spans="1:12" ht="49.95" customHeight="1">
      <c r="A165" s="17" t="s">
        <v>228</v>
      </c>
      <c r="B165" s="33">
        <v>103670</v>
      </c>
      <c r="C165" s="47" t="s">
        <v>415</v>
      </c>
      <c r="D165" s="86" t="s">
        <v>37</v>
      </c>
      <c r="E165" s="86" t="s">
        <v>65</v>
      </c>
      <c r="F165" s="31">
        <v>2.61</v>
      </c>
      <c r="G165" s="32">
        <v>331.13</v>
      </c>
      <c r="H165" s="32">
        <f>F165*G165-0.01</f>
        <v>864.23929999999996</v>
      </c>
      <c r="I165" s="10"/>
      <c r="J165" s="135">
        <f t="shared" si="16"/>
        <v>1</v>
      </c>
      <c r="K165" s="31">
        <v>2.61</v>
      </c>
      <c r="L165" s="139">
        <f t="shared" si="19"/>
        <v>864.23929999999996</v>
      </c>
    </row>
    <row r="166" spans="1:12" ht="49.95" customHeight="1">
      <c r="A166" s="17" t="s">
        <v>229</v>
      </c>
      <c r="B166" s="33">
        <v>92486</v>
      </c>
      <c r="C166" s="34" t="s">
        <v>424</v>
      </c>
      <c r="D166" s="86" t="s">
        <v>37</v>
      </c>
      <c r="E166" s="86" t="s">
        <v>63</v>
      </c>
      <c r="F166" s="31">
        <v>8.67</v>
      </c>
      <c r="G166" s="32">
        <v>181.19</v>
      </c>
      <c r="H166" s="32">
        <f>F166*G166-0.01</f>
        <v>1570.9073000000001</v>
      </c>
      <c r="I166" s="10"/>
      <c r="J166" s="135">
        <f t="shared" si="16"/>
        <v>1</v>
      </c>
      <c r="K166" s="31">
        <v>8.67</v>
      </c>
      <c r="L166" s="139">
        <f t="shared" si="19"/>
        <v>1570.9073000000001</v>
      </c>
    </row>
    <row r="167" spans="1:12" ht="49.95" customHeight="1">
      <c r="A167" s="17" t="s">
        <v>230</v>
      </c>
      <c r="B167" s="33">
        <v>92769</v>
      </c>
      <c r="C167" s="47" t="s">
        <v>430</v>
      </c>
      <c r="D167" s="86" t="s">
        <v>37</v>
      </c>
      <c r="E167" s="86" t="s">
        <v>42</v>
      </c>
      <c r="F167" s="31">
        <v>16.3</v>
      </c>
      <c r="G167" s="32">
        <v>14.4</v>
      </c>
      <c r="H167" s="32">
        <f t="shared" si="21"/>
        <v>234.72000000000003</v>
      </c>
      <c r="I167" s="10"/>
      <c r="J167" s="135">
        <f t="shared" si="16"/>
        <v>1</v>
      </c>
      <c r="K167" s="31">
        <v>16.3</v>
      </c>
      <c r="L167" s="139">
        <f t="shared" si="19"/>
        <v>234.72000000000003</v>
      </c>
    </row>
    <row r="168" spans="1:12" ht="49.95" customHeight="1">
      <c r="A168" s="17" t="s">
        <v>231</v>
      </c>
      <c r="B168" s="33">
        <v>92770</v>
      </c>
      <c r="C168" s="47" t="s">
        <v>527</v>
      </c>
      <c r="D168" s="86" t="s">
        <v>37</v>
      </c>
      <c r="E168" s="86" t="s">
        <v>42</v>
      </c>
      <c r="F168" s="31">
        <v>34.6</v>
      </c>
      <c r="G168" s="32">
        <v>13.53</v>
      </c>
      <c r="H168" s="32">
        <f>F168*G168-0.01</f>
        <v>468.12799999999999</v>
      </c>
      <c r="I168" s="10"/>
      <c r="J168" s="135">
        <f t="shared" si="16"/>
        <v>1</v>
      </c>
      <c r="K168" s="31">
        <v>34.6</v>
      </c>
      <c r="L168" s="139">
        <f t="shared" si="19"/>
        <v>468.12799999999999</v>
      </c>
    </row>
    <row r="169" spans="1:12" ht="20.100000000000001" customHeight="1">
      <c r="A169" s="85" t="s">
        <v>232</v>
      </c>
      <c r="B169" s="175" t="s">
        <v>105</v>
      </c>
      <c r="C169" s="176"/>
      <c r="D169" s="176"/>
      <c r="E169" s="176"/>
      <c r="F169" s="176"/>
      <c r="G169" s="177"/>
      <c r="H169" s="8">
        <f>SUM(H170:H172)</f>
        <v>3247.7518000000005</v>
      </c>
      <c r="I169" s="7"/>
      <c r="J169" s="7"/>
      <c r="K169" s="7"/>
      <c r="L169" s="7"/>
    </row>
    <row r="170" spans="1:12" ht="49.95" customHeight="1">
      <c r="A170" s="17" t="s">
        <v>233</v>
      </c>
      <c r="B170" s="48">
        <v>103356</v>
      </c>
      <c r="C170" s="44" t="s">
        <v>431</v>
      </c>
      <c r="D170" s="38" t="s">
        <v>37</v>
      </c>
      <c r="E170" s="38" t="s">
        <v>63</v>
      </c>
      <c r="F170" s="38">
        <v>36.76</v>
      </c>
      <c r="G170" s="131">
        <v>67.73</v>
      </c>
      <c r="H170" s="32">
        <f>F170*G170</f>
        <v>2489.7548000000002</v>
      </c>
      <c r="I170" s="10"/>
      <c r="J170" s="10"/>
      <c r="K170" s="10"/>
      <c r="L170" s="10"/>
    </row>
    <row r="171" spans="1:12" ht="49.95" customHeight="1">
      <c r="A171" s="17" t="s">
        <v>234</v>
      </c>
      <c r="B171" s="48">
        <v>105023</v>
      </c>
      <c r="C171" s="44" t="s">
        <v>432</v>
      </c>
      <c r="D171" s="38" t="s">
        <v>37</v>
      </c>
      <c r="E171" s="38" t="s">
        <v>38</v>
      </c>
      <c r="F171" s="38">
        <v>7.2</v>
      </c>
      <c r="G171" s="131">
        <v>71.61</v>
      </c>
      <c r="H171" s="32">
        <f t="shared" ref="H171" si="22">F171*G171</f>
        <v>515.59199999999998</v>
      </c>
      <c r="I171" s="10"/>
      <c r="J171" s="10"/>
      <c r="K171" s="10"/>
      <c r="L171" s="10"/>
    </row>
    <row r="172" spans="1:12" ht="49.95" customHeight="1">
      <c r="A172" s="17" t="s">
        <v>235</v>
      </c>
      <c r="B172" s="48">
        <v>105029</v>
      </c>
      <c r="C172" s="44" t="s">
        <v>433</v>
      </c>
      <c r="D172" s="38" t="s">
        <v>37</v>
      </c>
      <c r="E172" s="38" t="s">
        <v>38</v>
      </c>
      <c r="F172" s="38">
        <v>4.5</v>
      </c>
      <c r="G172" s="131">
        <v>53.87</v>
      </c>
      <c r="H172" s="32">
        <f>F172*G172-0.01</f>
        <v>242.405</v>
      </c>
      <c r="I172" s="10"/>
      <c r="J172" s="10"/>
      <c r="K172" s="10"/>
      <c r="L172" s="10"/>
    </row>
    <row r="173" spans="1:12" ht="20.100000000000001" customHeight="1">
      <c r="A173" s="85" t="s">
        <v>236</v>
      </c>
      <c r="B173" s="175" t="s">
        <v>45</v>
      </c>
      <c r="C173" s="176"/>
      <c r="D173" s="176"/>
      <c r="E173" s="176"/>
      <c r="F173" s="176"/>
      <c r="G173" s="177"/>
      <c r="H173" s="8">
        <f>SUM(H174:H180)</f>
        <v>6790.4302999999991</v>
      </c>
      <c r="I173" s="7"/>
      <c r="J173" s="7"/>
      <c r="K173" s="7"/>
      <c r="L173" s="7"/>
    </row>
    <row r="174" spans="1:12" ht="49.95" customHeight="1">
      <c r="A174" s="17" t="s">
        <v>237</v>
      </c>
      <c r="B174" s="28">
        <v>87878</v>
      </c>
      <c r="C174" s="49" t="s">
        <v>434</v>
      </c>
      <c r="D174" s="28" t="s">
        <v>37</v>
      </c>
      <c r="E174" s="28" t="s">
        <v>63</v>
      </c>
      <c r="F174" s="38">
        <v>36.76</v>
      </c>
      <c r="G174" s="132">
        <v>5.51</v>
      </c>
      <c r="H174" s="32">
        <f>F174*G174-0.01</f>
        <v>202.5376</v>
      </c>
      <c r="I174" s="10"/>
      <c r="J174" s="10"/>
      <c r="K174" s="10"/>
      <c r="L174" s="10"/>
    </row>
    <row r="175" spans="1:12" ht="49.95" customHeight="1">
      <c r="A175" s="17" t="s">
        <v>238</v>
      </c>
      <c r="B175" s="28">
        <v>87545</v>
      </c>
      <c r="C175" s="49" t="s">
        <v>435</v>
      </c>
      <c r="D175" s="28" t="s">
        <v>37</v>
      </c>
      <c r="E175" s="28" t="s">
        <v>63</v>
      </c>
      <c r="F175" s="38">
        <v>33.94</v>
      </c>
      <c r="G175" s="132">
        <v>32.409999999999997</v>
      </c>
      <c r="H175" s="32">
        <f>F175*G175-0.01</f>
        <v>1099.9853999999998</v>
      </c>
      <c r="I175" s="10"/>
      <c r="J175" s="10"/>
      <c r="K175" s="10"/>
      <c r="L175" s="10"/>
    </row>
    <row r="176" spans="1:12" ht="49.95" customHeight="1">
      <c r="A176" s="17" t="s">
        <v>239</v>
      </c>
      <c r="B176" s="28">
        <v>87529</v>
      </c>
      <c r="C176" s="49" t="s">
        <v>436</v>
      </c>
      <c r="D176" s="28" t="s">
        <v>37</v>
      </c>
      <c r="E176" s="28" t="s">
        <v>63</v>
      </c>
      <c r="F176" s="38">
        <v>33.94</v>
      </c>
      <c r="G176" s="132">
        <v>40.299999999999997</v>
      </c>
      <c r="H176" s="32">
        <f t="shared" ref="H176:H180" si="23">F176*G176</f>
        <v>1367.7819999999999</v>
      </c>
      <c r="I176" s="10"/>
      <c r="J176" s="10"/>
      <c r="K176" s="10"/>
      <c r="L176" s="10"/>
    </row>
    <row r="177" spans="1:12" ht="49.95" customHeight="1">
      <c r="A177" s="17" t="s">
        <v>240</v>
      </c>
      <c r="B177" s="28">
        <v>87908</v>
      </c>
      <c r="C177" s="49" t="s">
        <v>438</v>
      </c>
      <c r="D177" s="28" t="s">
        <v>37</v>
      </c>
      <c r="E177" s="28" t="s">
        <v>63</v>
      </c>
      <c r="F177" s="38">
        <v>40.83</v>
      </c>
      <c r="G177" s="132">
        <v>6.83</v>
      </c>
      <c r="H177" s="32">
        <f>F177*G177-0.01</f>
        <v>278.85890000000001</v>
      </c>
      <c r="I177" s="10"/>
      <c r="J177" s="10"/>
      <c r="K177" s="10"/>
      <c r="L177" s="10"/>
    </row>
    <row r="178" spans="1:12" ht="49.95" customHeight="1">
      <c r="A178" s="17" t="s">
        <v>241</v>
      </c>
      <c r="B178" s="28">
        <v>104218</v>
      </c>
      <c r="C178" s="49" t="s">
        <v>439</v>
      </c>
      <c r="D178" s="28" t="s">
        <v>37</v>
      </c>
      <c r="E178" s="28" t="s">
        <v>63</v>
      </c>
      <c r="F178" s="38">
        <v>40.83</v>
      </c>
      <c r="G178" s="132">
        <v>61.59</v>
      </c>
      <c r="H178" s="32">
        <f>F178*G178-0.01</f>
        <v>2514.7096999999999</v>
      </c>
      <c r="I178" s="10"/>
      <c r="J178" s="10"/>
      <c r="K178" s="10"/>
      <c r="L178" s="10"/>
    </row>
    <row r="179" spans="1:12" ht="49.95" customHeight="1">
      <c r="A179" s="17" t="s">
        <v>242</v>
      </c>
      <c r="B179" s="28">
        <v>88497</v>
      </c>
      <c r="C179" s="49" t="s">
        <v>528</v>
      </c>
      <c r="D179" s="28" t="s">
        <v>37</v>
      </c>
      <c r="E179" s="28" t="s">
        <v>63</v>
      </c>
      <c r="F179" s="38">
        <v>40.83</v>
      </c>
      <c r="G179" s="132">
        <v>18.440000000000001</v>
      </c>
      <c r="H179" s="32">
        <f>F179*G179-0.01</f>
        <v>752.89520000000005</v>
      </c>
      <c r="I179" s="10"/>
      <c r="J179" s="10"/>
      <c r="K179" s="10"/>
      <c r="L179" s="10"/>
    </row>
    <row r="180" spans="1:12" ht="49.95" customHeight="1">
      <c r="A180" s="17" t="s">
        <v>243</v>
      </c>
      <c r="B180" s="28">
        <v>88489</v>
      </c>
      <c r="C180" s="49" t="s">
        <v>529</v>
      </c>
      <c r="D180" s="28" t="s">
        <v>37</v>
      </c>
      <c r="E180" s="28" t="s">
        <v>63</v>
      </c>
      <c r="F180" s="38">
        <v>40.83</v>
      </c>
      <c r="G180" s="132">
        <v>14.05</v>
      </c>
      <c r="H180" s="32">
        <f t="shared" si="23"/>
        <v>573.66150000000005</v>
      </c>
      <c r="I180" s="10"/>
      <c r="J180" s="10"/>
      <c r="K180" s="10"/>
      <c r="L180" s="10"/>
    </row>
    <row r="181" spans="1:12" ht="20.100000000000001" customHeight="1">
      <c r="A181" s="5" t="s">
        <v>244</v>
      </c>
      <c r="B181" s="174" t="s">
        <v>245</v>
      </c>
      <c r="C181" s="174"/>
      <c r="D181" s="174"/>
      <c r="E181" s="174"/>
      <c r="F181" s="174"/>
      <c r="G181" s="174"/>
      <c r="H181" s="8">
        <f>SUM(H182:H185)-0.01</f>
        <v>1850.6069</v>
      </c>
      <c r="I181" s="7"/>
      <c r="J181" s="7"/>
      <c r="K181" s="7"/>
      <c r="L181" s="7"/>
    </row>
    <row r="182" spans="1:12" ht="49.95" customHeight="1">
      <c r="A182" s="17" t="s">
        <v>246</v>
      </c>
      <c r="B182" s="50">
        <v>88485</v>
      </c>
      <c r="C182" s="51" t="s">
        <v>530</v>
      </c>
      <c r="D182" s="52" t="s">
        <v>37</v>
      </c>
      <c r="E182" s="52" t="s">
        <v>63</v>
      </c>
      <c r="F182" s="53">
        <v>33.94</v>
      </c>
      <c r="G182" s="133">
        <v>4.2699999999999996</v>
      </c>
      <c r="H182" s="32">
        <f>F182*G182</f>
        <v>144.92379999999997</v>
      </c>
      <c r="I182" s="10"/>
      <c r="J182" s="10"/>
      <c r="K182" s="10"/>
      <c r="L182" s="10"/>
    </row>
    <row r="183" spans="1:12" ht="49.95" customHeight="1">
      <c r="A183" s="17" t="s">
        <v>247</v>
      </c>
      <c r="B183" s="40">
        <v>88497</v>
      </c>
      <c r="C183" s="34" t="s">
        <v>528</v>
      </c>
      <c r="D183" s="30" t="s">
        <v>37</v>
      </c>
      <c r="E183" s="30" t="s">
        <v>63</v>
      </c>
      <c r="F183" s="31">
        <v>33.94</v>
      </c>
      <c r="G183" s="32">
        <v>18.440000000000001</v>
      </c>
      <c r="H183" s="32">
        <f t="shared" ref="H183:H185" si="24">F183*G183</f>
        <v>625.85360000000003</v>
      </c>
      <c r="I183" s="10"/>
      <c r="J183" s="10"/>
      <c r="K183" s="10"/>
      <c r="L183" s="10"/>
    </row>
    <row r="184" spans="1:12" ht="49.95" customHeight="1">
      <c r="A184" s="17" t="s">
        <v>248</v>
      </c>
      <c r="B184" s="40">
        <v>88489</v>
      </c>
      <c r="C184" s="34" t="s">
        <v>529</v>
      </c>
      <c r="D184" s="30" t="s">
        <v>37</v>
      </c>
      <c r="E184" s="30" t="s">
        <v>63</v>
      </c>
      <c r="F184" s="31">
        <v>33.94</v>
      </c>
      <c r="G184" s="32">
        <v>14.05</v>
      </c>
      <c r="H184" s="32">
        <f>F184*G184-0.01</f>
        <v>476.84699999999998</v>
      </c>
      <c r="I184" s="10"/>
      <c r="J184" s="10"/>
      <c r="K184" s="10"/>
      <c r="L184" s="10"/>
    </row>
    <row r="185" spans="1:12" ht="49.95" customHeight="1">
      <c r="A185" s="17" t="s">
        <v>249</v>
      </c>
      <c r="B185" s="40">
        <v>96486</v>
      </c>
      <c r="C185" s="34" t="s">
        <v>442</v>
      </c>
      <c r="D185" s="30" t="s">
        <v>37</v>
      </c>
      <c r="E185" s="30" t="s">
        <v>63</v>
      </c>
      <c r="F185" s="31">
        <v>8.25</v>
      </c>
      <c r="G185" s="32">
        <v>73.09</v>
      </c>
      <c r="H185" s="32">
        <f t="shared" si="24"/>
        <v>602.99250000000006</v>
      </c>
      <c r="I185" s="10"/>
      <c r="J185" s="10"/>
      <c r="K185" s="10"/>
      <c r="L185" s="10"/>
    </row>
    <row r="186" spans="1:12" ht="20.100000000000001" customHeight="1">
      <c r="A186" s="85" t="s">
        <v>250</v>
      </c>
      <c r="B186" s="174" t="s">
        <v>46</v>
      </c>
      <c r="C186" s="174"/>
      <c r="D186" s="174"/>
      <c r="E186" s="174"/>
      <c r="F186" s="174"/>
      <c r="G186" s="174"/>
      <c r="H186" s="8">
        <f>SUM(H187:H189)+0.01</f>
        <v>1293.9100000000001</v>
      </c>
      <c r="I186" s="7"/>
      <c r="J186" s="7"/>
      <c r="K186" s="7"/>
      <c r="L186" s="7"/>
    </row>
    <row r="187" spans="1:12" ht="49.95" customHeight="1">
      <c r="A187" s="17" t="s">
        <v>251</v>
      </c>
      <c r="B187" s="40">
        <v>95241</v>
      </c>
      <c r="C187" s="34" t="s">
        <v>444</v>
      </c>
      <c r="D187" s="30" t="s">
        <v>37</v>
      </c>
      <c r="E187" s="30" t="s">
        <v>63</v>
      </c>
      <c r="F187" s="31">
        <v>8.25</v>
      </c>
      <c r="G187" s="32">
        <v>41.55</v>
      </c>
      <c r="H187" s="32">
        <f>F187*G187-0.01</f>
        <v>342.77749999999997</v>
      </c>
      <c r="I187" s="10"/>
      <c r="J187" s="10"/>
      <c r="K187" s="10"/>
      <c r="L187" s="10"/>
    </row>
    <row r="188" spans="1:12" ht="49.95" customHeight="1">
      <c r="A188" s="17" t="s">
        <v>252</v>
      </c>
      <c r="B188" s="40">
        <v>87622</v>
      </c>
      <c r="C188" s="34" t="s">
        <v>445</v>
      </c>
      <c r="D188" s="30" t="s">
        <v>37</v>
      </c>
      <c r="E188" s="30" t="s">
        <v>63</v>
      </c>
      <c r="F188" s="31">
        <v>8.25</v>
      </c>
      <c r="G188" s="32">
        <v>40.39</v>
      </c>
      <c r="H188" s="32">
        <f>F188*G188-0.01</f>
        <v>333.20750000000004</v>
      </c>
      <c r="I188" s="10"/>
      <c r="J188" s="10"/>
      <c r="K188" s="10"/>
      <c r="L188" s="10"/>
    </row>
    <row r="189" spans="1:12" ht="49.95" customHeight="1">
      <c r="A189" s="17" t="s">
        <v>253</v>
      </c>
      <c r="B189" s="40" t="s">
        <v>409</v>
      </c>
      <c r="C189" s="34" t="s">
        <v>437</v>
      </c>
      <c r="D189" s="30" t="s">
        <v>64</v>
      </c>
      <c r="E189" s="30" t="s">
        <v>63</v>
      </c>
      <c r="F189" s="31">
        <v>8.25</v>
      </c>
      <c r="G189" s="32">
        <v>74.900000000000006</v>
      </c>
      <c r="H189" s="32">
        <f>F189*G189-0.01</f>
        <v>617.91500000000008</v>
      </c>
      <c r="I189" s="10"/>
      <c r="J189" s="10"/>
      <c r="K189" s="10"/>
      <c r="L189" s="10"/>
    </row>
    <row r="190" spans="1:12" ht="20.100000000000001" customHeight="1">
      <c r="A190" s="85" t="s">
        <v>254</v>
      </c>
      <c r="B190" s="174" t="s">
        <v>125</v>
      </c>
      <c r="C190" s="174"/>
      <c r="D190" s="174"/>
      <c r="E190" s="174"/>
      <c r="F190" s="174"/>
      <c r="G190" s="174"/>
      <c r="H190" s="8">
        <f>SUM(H191,H216,H237)</f>
        <v>13670.025799999999</v>
      </c>
      <c r="I190" s="7"/>
      <c r="J190" s="7"/>
      <c r="K190" s="7"/>
      <c r="L190" s="7"/>
    </row>
    <row r="191" spans="1:12" ht="20.100000000000001" customHeight="1">
      <c r="A191" s="5" t="s">
        <v>255</v>
      </c>
      <c r="B191" s="174" t="s">
        <v>47</v>
      </c>
      <c r="C191" s="174"/>
      <c r="D191" s="174"/>
      <c r="E191" s="174"/>
      <c r="F191" s="174"/>
      <c r="G191" s="174"/>
      <c r="H191" s="8">
        <f>SUM(H192:H215)-0.01</f>
        <v>3065.1956</v>
      </c>
      <c r="I191" s="7"/>
      <c r="J191" s="7"/>
      <c r="K191" s="7"/>
      <c r="L191" s="7"/>
    </row>
    <row r="192" spans="1:12" ht="49.95" customHeight="1">
      <c r="A192" s="17" t="s">
        <v>256</v>
      </c>
      <c r="B192" s="40">
        <v>102611</v>
      </c>
      <c r="C192" s="29" t="s">
        <v>531</v>
      </c>
      <c r="D192" s="86" t="s">
        <v>37</v>
      </c>
      <c r="E192" s="86" t="s">
        <v>66</v>
      </c>
      <c r="F192" s="31">
        <v>1</v>
      </c>
      <c r="G192" s="32">
        <v>554.88</v>
      </c>
      <c r="H192" s="32">
        <f>F192*G192</f>
        <v>554.88</v>
      </c>
      <c r="I192" s="10"/>
      <c r="J192" s="10"/>
      <c r="K192" s="10"/>
      <c r="L192" s="10"/>
    </row>
    <row r="193" spans="1:12" ht="49.95" customHeight="1">
      <c r="A193" s="17" t="s">
        <v>257</v>
      </c>
      <c r="B193" s="40">
        <v>11762</v>
      </c>
      <c r="C193" s="29" t="s">
        <v>532</v>
      </c>
      <c r="D193" s="86" t="s">
        <v>37</v>
      </c>
      <c r="E193" s="86" t="s">
        <v>66</v>
      </c>
      <c r="F193" s="31">
        <v>1</v>
      </c>
      <c r="G193" s="32">
        <v>75.849999999999994</v>
      </c>
      <c r="H193" s="32">
        <f t="shared" ref="H193:H215" si="25">F193*G193</f>
        <v>75.849999999999994</v>
      </c>
      <c r="I193" s="10"/>
      <c r="J193" s="10"/>
      <c r="K193" s="10"/>
      <c r="L193" s="10"/>
    </row>
    <row r="194" spans="1:12" ht="49.95" customHeight="1">
      <c r="A194" s="17" t="s">
        <v>258</v>
      </c>
      <c r="B194" s="40">
        <v>86888</v>
      </c>
      <c r="C194" s="29" t="s">
        <v>448</v>
      </c>
      <c r="D194" s="86" t="s">
        <v>37</v>
      </c>
      <c r="E194" s="86" t="s">
        <v>66</v>
      </c>
      <c r="F194" s="31">
        <v>1</v>
      </c>
      <c r="G194" s="32">
        <v>591.21</v>
      </c>
      <c r="H194" s="32">
        <f t="shared" si="25"/>
        <v>591.21</v>
      </c>
      <c r="I194" s="10"/>
      <c r="J194" s="10"/>
      <c r="K194" s="10"/>
      <c r="L194" s="10"/>
    </row>
    <row r="195" spans="1:12" ht="49.95" customHeight="1">
      <c r="A195" s="17" t="s">
        <v>259</v>
      </c>
      <c r="B195" s="40">
        <v>1370</v>
      </c>
      <c r="C195" s="29" t="s">
        <v>449</v>
      </c>
      <c r="D195" s="86" t="s">
        <v>37</v>
      </c>
      <c r="E195" s="86" t="s">
        <v>66</v>
      </c>
      <c r="F195" s="31">
        <v>1</v>
      </c>
      <c r="G195" s="32">
        <v>141.46</v>
      </c>
      <c r="H195" s="32">
        <f t="shared" si="25"/>
        <v>141.46</v>
      </c>
      <c r="I195" s="10"/>
      <c r="J195" s="10"/>
      <c r="K195" s="10"/>
      <c r="L195" s="10"/>
    </row>
    <row r="196" spans="1:12" ht="49.95" customHeight="1">
      <c r="A196" s="17" t="s">
        <v>260</v>
      </c>
      <c r="B196" s="40">
        <v>10427</v>
      </c>
      <c r="C196" s="29" t="s">
        <v>450</v>
      </c>
      <c r="D196" s="86" t="s">
        <v>37</v>
      </c>
      <c r="E196" s="86" t="s">
        <v>66</v>
      </c>
      <c r="F196" s="31">
        <v>1</v>
      </c>
      <c r="G196" s="32">
        <v>596.73</v>
      </c>
      <c r="H196" s="32">
        <f t="shared" si="25"/>
        <v>596.73</v>
      </c>
      <c r="I196" s="10"/>
      <c r="J196" s="10"/>
      <c r="K196" s="10"/>
      <c r="L196" s="10"/>
    </row>
    <row r="197" spans="1:12" ht="49.95" customHeight="1">
      <c r="A197" s="17" t="s">
        <v>261</v>
      </c>
      <c r="B197" s="40">
        <v>6136</v>
      </c>
      <c r="C197" s="29" t="s">
        <v>451</v>
      </c>
      <c r="D197" s="86" t="s">
        <v>37</v>
      </c>
      <c r="E197" s="86" t="s">
        <v>66</v>
      </c>
      <c r="F197" s="31">
        <v>1</v>
      </c>
      <c r="G197" s="32">
        <v>206.49</v>
      </c>
      <c r="H197" s="32">
        <f t="shared" si="25"/>
        <v>206.49</v>
      </c>
      <c r="I197" s="10"/>
      <c r="J197" s="10"/>
      <c r="K197" s="10"/>
      <c r="L197" s="10"/>
    </row>
    <row r="198" spans="1:12" ht="49.95" customHeight="1">
      <c r="A198" s="17" t="s">
        <v>262</v>
      </c>
      <c r="B198" s="40">
        <v>86886</v>
      </c>
      <c r="C198" s="29" t="s">
        <v>452</v>
      </c>
      <c r="D198" s="86" t="s">
        <v>37</v>
      </c>
      <c r="E198" s="86" t="s">
        <v>66</v>
      </c>
      <c r="F198" s="31">
        <v>1</v>
      </c>
      <c r="G198" s="32">
        <v>53.04</v>
      </c>
      <c r="H198" s="32">
        <f t="shared" si="25"/>
        <v>53.04</v>
      </c>
      <c r="I198" s="10"/>
      <c r="J198" s="10"/>
      <c r="K198" s="10"/>
      <c r="L198" s="10"/>
    </row>
    <row r="199" spans="1:12" ht="49.95" customHeight="1">
      <c r="A199" s="17" t="s">
        <v>263</v>
      </c>
      <c r="B199" s="40">
        <v>100860</v>
      </c>
      <c r="C199" s="29" t="s">
        <v>533</v>
      </c>
      <c r="D199" s="86" t="s">
        <v>37</v>
      </c>
      <c r="E199" s="86" t="s">
        <v>66</v>
      </c>
      <c r="F199" s="31">
        <v>1</v>
      </c>
      <c r="G199" s="32">
        <v>120.45</v>
      </c>
      <c r="H199" s="32">
        <f t="shared" si="25"/>
        <v>120.45</v>
      </c>
      <c r="I199" s="10"/>
      <c r="J199" s="10"/>
      <c r="K199" s="10"/>
      <c r="L199" s="10"/>
    </row>
    <row r="200" spans="1:12" ht="49.95" customHeight="1">
      <c r="A200" s="17" t="s">
        <v>264</v>
      </c>
      <c r="B200" s="40">
        <v>89987</v>
      </c>
      <c r="C200" s="29" t="s">
        <v>534</v>
      </c>
      <c r="D200" s="86" t="s">
        <v>37</v>
      </c>
      <c r="E200" s="86" t="s">
        <v>66</v>
      </c>
      <c r="F200" s="31">
        <v>1</v>
      </c>
      <c r="G200" s="32">
        <v>115.36</v>
      </c>
      <c r="H200" s="32">
        <f t="shared" si="25"/>
        <v>115.36</v>
      </c>
      <c r="I200" s="10"/>
      <c r="J200" s="10"/>
      <c r="K200" s="10"/>
      <c r="L200" s="10"/>
    </row>
    <row r="201" spans="1:12" ht="49.95" customHeight="1">
      <c r="A201" s="17" t="s">
        <v>265</v>
      </c>
      <c r="B201" s="40">
        <v>89351</v>
      </c>
      <c r="C201" s="29" t="s">
        <v>535</v>
      </c>
      <c r="D201" s="86" t="s">
        <v>37</v>
      </c>
      <c r="E201" s="86" t="s">
        <v>66</v>
      </c>
      <c r="F201" s="31">
        <v>1</v>
      </c>
      <c r="G201" s="32">
        <v>40.01</v>
      </c>
      <c r="H201" s="32">
        <f t="shared" si="25"/>
        <v>40.01</v>
      </c>
      <c r="I201" s="10"/>
      <c r="J201" s="10"/>
      <c r="K201" s="10"/>
      <c r="L201" s="10"/>
    </row>
    <row r="202" spans="1:12" ht="49.95" customHeight="1">
      <c r="A202" s="17" t="s">
        <v>266</v>
      </c>
      <c r="B202" s="40">
        <v>94489</v>
      </c>
      <c r="C202" s="29" t="s">
        <v>458</v>
      </c>
      <c r="D202" s="86" t="s">
        <v>37</v>
      </c>
      <c r="E202" s="86" t="s">
        <v>66</v>
      </c>
      <c r="F202" s="31">
        <v>1</v>
      </c>
      <c r="G202" s="32">
        <v>26.72</v>
      </c>
      <c r="H202" s="32">
        <f t="shared" si="25"/>
        <v>26.72</v>
      </c>
      <c r="I202" s="10"/>
      <c r="J202" s="10"/>
      <c r="K202" s="10"/>
      <c r="L202" s="10"/>
    </row>
    <row r="203" spans="1:12" ht="49.95" customHeight="1">
      <c r="A203" s="17" t="s">
        <v>267</v>
      </c>
      <c r="B203" s="40">
        <v>94490</v>
      </c>
      <c r="C203" s="29" t="s">
        <v>536</v>
      </c>
      <c r="D203" s="86" t="s">
        <v>37</v>
      </c>
      <c r="E203" s="86" t="s">
        <v>66</v>
      </c>
      <c r="F203" s="31">
        <v>1</v>
      </c>
      <c r="G203" s="32">
        <v>39.07</v>
      </c>
      <c r="H203" s="32">
        <f t="shared" si="25"/>
        <v>39.07</v>
      </c>
      <c r="I203" s="10"/>
      <c r="J203" s="10"/>
      <c r="K203" s="10"/>
      <c r="L203" s="10"/>
    </row>
    <row r="204" spans="1:12" ht="49.95" customHeight="1">
      <c r="A204" s="17" t="s">
        <v>268</v>
      </c>
      <c r="B204" s="40">
        <v>94656</v>
      </c>
      <c r="C204" s="29" t="s">
        <v>459</v>
      </c>
      <c r="D204" s="86" t="s">
        <v>37</v>
      </c>
      <c r="E204" s="86" t="s">
        <v>66</v>
      </c>
      <c r="F204" s="31">
        <v>1</v>
      </c>
      <c r="G204" s="32">
        <v>3.57</v>
      </c>
      <c r="H204" s="32">
        <f t="shared" si="25"/>
        <v>3.57</v>
      </c>
      <c r="I204" s="10"/>
      <c r="J204" s="10"/>
      <c r="K204" s="10"/>
      <c r="L204" s="10"/>
    </row>
    <row r="205" spans="1:12" ht="49.95" customHeight="1">
      <c r="A205" s="17" t="s">
        <v>269</v>
      </c>
      <c r="B205" s="40">
        <v>89364</v>
      </c>
      <c r="C205" s="29" t="s">
        <v>461</v>
      </c>
      <c r="D205" s="86" t="s">
        <v>37</v>
      </c>
      <c r="E205" s="86" t="s">
        <v>66</v>
      </c>
      <c r="F205" s="31">
        <v>7</v>
      </c>
      <c r="G205" s="32">
        <v>12.66</v>
      </c>
      <c r="H205" s="32">
        <f t="shared" si="25"/>
        <v>88.62</v>
      </c>
      <c r="I205" s="10"/>
      <c r="J205" s="10"/>
      <c r="K205" s="10"/>
      <c r="L205" s="10"/>
    </row>
    <row r="206" spans="1:12" ht="49.95" customHeight="1">
      <c r="A206" s="17" t="s">
        <v>270</v>
      </c>
      <c r="B206" s="40">
        <v>89365</v>
      </c>
      <c r="C206" s="29" t="s">
        <v>537</v>
      </c>
      <c r="D206" s="86" t="s">
        <v>37</v>
      </c>
      <c r="E206" s="86" t="s">
        <v>66</v>
      </c>
      <c r="F206" s="31">
        <v>2</v>
      </c>
      <c r="G206" s="32">
        <v>12.04</v>
      </c>
      <c r="H206" s="32">
        <f t="shared" si="25"/>
        <v>24.08</v>
      </c>
      <c r="I206" s="10"/>
      <c r="J206" s="10"/>
      <c r="K206" s="10"/>
      <c r="L206" s="10"/>
    </row>
    <row r="207" spans="1:12" ht="49.95" customHeight="1">
      <c r="A207" s="17" t="s">
        <v>271</v>
      </c>
      <c r="B207" s="40">
        <v>89363</v>
      </c>
      <c r="C207" s="29" t="s">
        <v>463</v>
      </c>
      <c r="D207" s="86" t="s">
        <v>37</v>
      </c>
      <c r="E207" s="86" t="s">
        <v>66</v>
      </c>
      <c r="F207" s="31">
        <v>2</v>
      </c>
      <c r="G207" s="32">
        <v>10.94</v>
      </c>
      <c r="H207" s="32">
        <f t="shared" si="25"/>
        <v>21.88</v>
      </c>
      <c r="I207" s="10"/>
      <c r="J207" s="10"/>
      <c r="K207" s="10"/>
      <c r="L207" s="10"/>
    </row>
    <row r="208" spans="1:12" ht="49.95" customHeight="1">
      <c r="A208" s="17" t="s">
        <v>272</v>
      </c>
      <c r="B208" s="40">
        <v>89408</v>
      </c>
      <c r="C208" s="29" t="s">
        <v>464</v>
      </c>
      <c r="D208" s="86" t="s">
        <v>37</v>
      </c>
      <c r="E208" s="86" t="s">
        <v>66</v>
      </c>
      <c r="F208" s="31">
        <v>6</v>
      </c>
      <c r="G208" s="32">
        <v>9.18</v>
      </c>
      <c r="H208" s="32">
        <f t="shared" si="25"/>
        <v>55.08</v>
      </c>
      <c r="I208" s="10"/>
      <c r="J208" s="10"/>
      <c r="K208" s="10"/>
      <c r="L208" s="10"/>
    </row>
    <row r="209" spans="1:12" ht="49.95" customHeight="1">
      <c r="A209" s="17" t="s">
        <v>273</v>
      </c>
      <c r="B209" s="40">
        <v>89367</v>
      </c>
      <c r="C209" s="29" t="s">
        <v>538</v>
      </c>
      <c r="D209" s="86" t="s">
        <v>37</v>
      </c>
      <c r="E209" s="86" t="s">
        <v>66</v>
      </c>
      <c r="F209" s="31">
        <v>3</v>
      </c>
      <c r="G209" s="32">
        <v>13.93</v>
      </c>
      <c r="H209" s="32">
        <f t="shared" si="25"/>
        <v>41.79</v>
      </c>
      <c r="I209" s="10"/>
      <c r="J209" s="10"/>
      <c r="K209" s="10"/>
      <c r="L209" s="10"/>
    </row>
    <row r="210" spans="1:12" ht="49.95" customHeight="1">
      <c r="A210" s="17" t="s">
        <v>274</v>
      </c>
      <c r="B210" s="40">
        <v>89528</v>
      </c>
      <c r="C210" s="29" t="s">
        <v>539</v>
      </c>
      <c r="D210" s="86" t="s">
        <v>37</v>
      </c>
      <c r="E210" s="86" t="s">
        <v>66</v>
      </c>
      <c r="F210" s="31">
        <v>1</v>
      </c>
      <c r="G210" s="32">
        <v>4.42</v>
      </c>
      <c r="H210" s="32">
        <f t="shared" si="25"/>
        <v>4.42</v>
      </c>
      <c r="I210" s="10"/>
      <c r="J210" s="10"/>
      <c r="K210" s="10"/>
      <c r="L210" s="10"/>
    </row>
    <row r="211" spans="1:12" ht="49.95" customHeight="1">
      <c r="A211" s="17" t="s">
        <v>275</v>
      </c>
      <c r="B211" s="40">
        <v>89381</v>
      </c>
      <c r="C211" s="29" t="s">
        <v>540</v>
      </c>
      <c r="D211" s="86" t="s">
        <v>37</v>
      </c>
      <c r="E211" s="86" t="s">
        <v>66</v>
      </c>
      <c r="F211" s="31">
        <v>1</v>
      </c>
      <c r="G211" s="32">
        <v>13.55</v>
      </c>
      <c r="H211" s="32">
        <f t="shared" si="25"/>
        <v>13.55</v>
      </c>
      <c r="I211" s="10"/>
      <c r="J211" s="10"/>
      <c r="K211" s="10"/>
      <c r="L211" s="10"/>
    </row>
    <row r="212" spans="1:12" ht="49.95" customHeight="1">
      <c r="A212" s="17" t="s">
        <v>276</v>
      </c>
      <c r="B212" s="40">
        <v>89617</v>
      </c>
      <c r="C212" s="29" t="s">
        <v>467</v>
      </c>
      <c r="D212" s="86" t="s">
        <v>37</v>
      </c>
      <c r="E212" s="86" t="s">
        <v>66</v>
      </c>
      <c r="F212" s="31">
        <v>6</v>
      </c>
      <c r="G212" s="32">
        <v>7.9</v>
      </c>
      <c r="H212" s="32">
        <f t="shared" si="25"/>
        <v>47.400000000000006</v>
      </c>
      <c r="I212" s="10"/>
      <c r="J212" s="10"/>
      <c r="K212" s="10"/>
      <c r="L212" s="10"/>
    </row>
    <row r="213" spans="1:12" ht="49.95" customHeight="1">
      <c r="A213" s="17" t="s">
        <v>277</v>
      </c>
      <c r="B213" s="40">
        <v>89620</v>
      </c>
      <c r="C213" s="29" t="s">
        <v>541</v>
      </c>
      <c r="D213" s="86" t="s">
        <v>37</v>
      </c>
      <c r="E213" s="86" t="s">
        <v>66</v>
      </c>
      <c r="F213" s="31">
        <v>1</v>
      </c>
      <c r="G213" s="32">
        <v>12.52</v>
      </c>
      <c r="H213" s="32">
        <f t="shared" si="25"/>
        <v>12.52</v>
      </c>
      <c r="I213" s="10"/>
      <c r="J213" s="10"/>
      <c r="K213" s="10"/>
      <c r="L213" s="10"/>
    </row>
    <row r="214" spans="1:12" ht="49.95" customHeight="1">
      <c r="A214" s="17" t="s">
        <v>278</v>
      </c>
      <c r="B214" s="40">
        <v>89446</v>
      </c>
      <c r="C214" s="29" t="s">
        <v>469</v>
      </c>
      <c r="D214" s="30" t="s">
        <v>37</v>
      </c>
      <c r="E214" s="30" t="s">
        <v>38</v>
      </c>
      <c r="F214" s="31">
        <v>26.14</v>
      </c>
      <c r="G214" s="32">
        <v>6.09</v>
      </c>
      <c r="H214" s="32">
        <f t="shared" si="25"/>
        <v>159.1926</v>
      </c>
      <c r="I214" s="10"/>
      <c r="J214" s="10"/>
      <c r="K214" s="10"/>
      <c r="L214" s="10"/>
    </row>
    <row r="215" spans="1:12" ht="49.95" customHeight="1">
      <c r="A215" s="17" t="s">
        <v>279</v>
      </c>
      <c r="B215" s="54">
        <v>89447</v>
      </c>
      <c r="C215" s="34" t="s">
        <v>542</v>
      </c>
      <c r="D215" s="30" t="s">
        <v>37</v>
      </c>
      <c r="E215" s="30" t="s">
        <v>38</v>
      </c>
      <c r="F215" s="31">
        <v>2.62</v>
      </c>
      <c r="G215" s="32">
        <v>12.15</v>
      </c>
      <c r="H215" s="32">
        <f t="shared" si="25"/>
        <v>31.833000000000002</v>
      </c>
      <c r="I215" s="10"/>
      <c r="J215" s="10"/>
      <c r="K215" s="10"/>
      <c r="L215" s="10"/>
    </row>
    <row r="216" spans="1:12" ht="20.100000000000001" customHeight="1">
      <c r="A216" s="5" t="s">
        <v>280</v>
      </c>
      <c r="B216" s="174" t="s">
        <v>281</v>
      </c>
      <c r="C216" s="174"/>
      <c r="D216" s="174"/>
      <c r="E216" s="174"/>
      <c r="F216" s="174"/>
      <c r="G216" s="174"/>
      <c r="H216" s="8">
        <f>SUM(H217:H236)-0.01</f>
        <v>3565.1938999999993</v>
      </c>
      <c r="I216" s="7"/>
      <c r="J216" s="7"/>
      <c r="K216" s="7"/>
      <c r="L216" s="7"/>
    </row>
    <row r="217" spans="1:12" ht="49.95" customHeight="1">
      <c r="A217" s="17" t="s">
        <v>282</v>
      </c>
      <c r="B217" s="55">
        <v>91893</v>
      </c>
      <c r="C217" s="34" t="s">
        <v>543</v>
      </c>
      <c r="D217" s="56" t="s">
        <v>37</v>
      </c>
      <c r="E217" s="38" t="s">
        <v>66</v>
      </c>
      <c r="F217" s="39">
        <v>2</v>
      </c>
      <c r="G217" s="60">
        <v>16.37</v>
      </c>
      <c r="H217" s="32">
        <f>F217*G217</f>
        <v>32.74</v>
      </c>
      <c r="I217" s="10"/>
      <c r="J217" s="11"/>
      <c r="K217" s="12"/>
      <c r="L217" s="13"/>
    </row>
    <row r="218" spans="1:12" ht="49.95" customHeight="1">
      <c r="A218" s="17" t="s">
        <v>283</v>
      </c>
      <c r="B218" s="57">
        <v>95741</v>
      </c>
      <c r="C218" s="58" t="s">
        <v>544</v>
      </c>
      <c r="D218" s="59" t="s">
        <v>37</v>
      </c>
      <c r="E218" s="28" t="s">
        <v>66</v>
      </c>
      <c r="F218" s="27">
        <v>1</v>
      </c>
      <c r="G218" s="73">
        <v>16.03</v>
      </c>
      <c r="H218" s="32">
        <f t="shared" ref="H218:H236" si="26">F218*G218</f>
        <v>16.03</v>
      </c>
      <c r="I218" s="10"/>
      <c r="J218" s="10"/>
      <c r="K218" s="10"/>
      <c r="L218" s="10"/>
    </row>
    <row r="219" spans="1:12" ht="49.95" customHeight="1">
      <c r="A219" s="17" t="s">
        <v>284</v>
      </c>
      <c r="B219" s="33">
        <v>104447</v>
      </c>
      <c r="C219" s="34" t="s">
        <v>545</v>
      </c>
      <c r="D219" s="86" t="s">
        <v>37</v>
      </c>
      <c r="E219" s="86" t="s">
        <v>66</v>
      </c>
      <c r="F219" s="31">
        <v>4</v>
      </c>
      <c r="G219" s="32">
        <v>11.06</v>
      </c>
      <c r="H219" s="32">
        <f t="shared" si="26"/>
        <v>44.24</v>
      </c>
      <c r="I219" s="10"/>
      <c r="J219" s="10"/>
      <c r="K219" s="10"/>
      <c r="L219" s="10"/>
    </row>
    <row r="220" spans="1:12" ht="49.95" customHeight="1">
      <c r="A220" s="17" t="s">
        <v>285</v>
      </c>
      <c r="B220" s="33">
        <v>91953</v>
      </c>
      <c r="C220" s="34" t="s">
        <v>478</v>
      </c>
      <c r="D220" s="86" t="s">
        <v>37</v>
      </c>
      <c r="E220" s="86" t="s">
        <v>66</v>
      </c>
      <c r="F220" s="31">
        <v>1</v>
      </c>
      <c r="G220" s="32">
        <v>32.159999999999997</v>
      </c>
      <c r="H220" s="32">
        <f t="shared" si="26"/>
        <v>32.159999999999997</v>
      </c>
      <c r="I220" s="10"/>
      <c r="J220" s="10"/>
      <c r="K220" s="10"/>
      <c r="L220" s="10"/>
    </row>
    <row r="221" spans="1:12" ht="49.95" customHeight="1">
      <c r="A221" s="17" t="s">
        <v>286</v>
      </c>
      <c r="B221" s="33">
        <v>92023</v>
      </c>
      <c r="C221" s="34" t="s">
        <v>546</v>
      </c>
      <c r="D221" s="86" t="s">
        <v>37</v>
      </c>
      <c r="E221" s="86" t="s">
        <v>66</v>
      </c>
      <c r="F221" s="31">
        <v>1</v>
      </c>
      <c r="G221" s="32">
        <v>54.74</v>
      </c>
      <c r="H221" s="32">
        <f t="shared" si="26"/>
        <v>54.74</v>
      </c>
      <c r="I221" s="10"/>
      <c r="J221" s="10"/>
      <c r="K221" s="10"/>
      <c r="L221" s="10"/>
    </row>
    <row r="222" spans="1:12" ht="49.95" customHeight="1">
      <c r="A222" s="17" t="s">
        <v>287</v>
      </c>
      <c r="B222" s="33">
        <v>1872</v>
      </c>
      <c r="C222" s="34" t="s">
        <v>547</v>
      </c>
      <c r="D222" s="86" t="s">
        <v>37</v>
      </c>
      <c r="E222" s="86" t="s">
        <v>66</v>
      </c>
      <c r="F222" s="31">
        <v>1</v>
      </c>
      <c r="G222" s="32">
        <v>1.54</v>
      </c>
      <c r="H222" s="32">
        <f t="shared" si="26"/>
        <v>1.54</v>
      </c>
      <c r="I222" s="10"/>
      <c r="J222" s="10"/>
      <c r="K222" s="10"/>
      <c r="L222" s="10"/>
    </row>
    <row r="223" spans="1:12" ht="49.95" customHeight="1">
      <c r="A223" s="17" t="s">
        <v>288</v>
      </c>
      <c r="B223" s="33">
        <v>101876</v>
      </c>
      <c r="C223" s="34" t="s">
        <v>548</v>
      </c>
      <c r="D223" s="86" t="s">
        <v>37</v>
      </c>
      <c r="E223" s="86" t="s">
        <v>66</v>
      </c>
      <c r="F223" s="31">
        <v>1</v>
      </c>
      <c r="G223" s="32">
        <v>119.29</v>
      </c>
      <c r="H223" s="32">
        <f t="shared" si="26"/>
        <v>119.29</v>
      </c>
      <c r="I223" s="10"/>
      <c r="J223" s="10"/>
      <c r="K223" s="10"/>
      <c r="L223" s="10"/>
    </row>
    <row r="224" spans="1:12" ht="49.95" customHeight="1">
      <c r="A224" s="17" t="s">
        <v>289</v>
      </c>
      <c r="B224" s="33">
        <v>91996</v>
      </c>
      <c r="C224" s="34" t="s">
        <v>549</v>
      </c>
      <c r="D224" s="86" t="s">
        <v>37</v>
      </c>
      <c r="E224" s="86" t="s">
        <v>66</v>
      </c>
      <c r="F224" s="31">
        <v>1</v>
      </c>
      <c r="G224" s="32">
        <v>37.99</v>
      </c>
      <c r="H224" s="32">
        <f t="shared" si="26"/>
        <v>37.99</v>
      </c>
      <c r="I224" s="10"/>
      <c r="J224" s="10"/>
      <c r="K224" s="10"/>
      <c r="L224" s="10"/>
    </row>
    <row r="225" spans="1:12" ht="49.95" customHeight="1">
      <c r="A225" s="17" t="s">
        <v>290</v>
      </c>
      <c r="B225" s="55">
        <v>92004</v>
      </c>
      <c r="C225" s="34" t="s">
        <v>484</v>
      </c>
      <c r="D225" s="56" t="s">
        <v>37</v>
      </c>
      <c r="E225" s="38" t="s">
        <v>66</v>
      </c>
      <c r="F225" s="39">
        <v>1</v>
      </c>
      <c r="G225" s="60">
        <v>60.61</v>
      </c>
      <c r="H225" s="32">
        <f t="shared" si="26"/>
        <v>60.61</v>
      </c>
      <c r="I225" s="10"/>
      <c r="J225" s="11"/>
      <c r="K225" s="12"/>
      <c r="L225" s="13"/>
    </row>
    <row r="226" spans="1:12" ht="49.95" customHeight="1">
      <c r="A226" s="17" t="s">
        <v>291</v>
      </c>
      <c r="B226" s="57">
        <v>91924</v>
      </c>
      <c r="C226" s="58" t="s">
        <v>486</v>
      </c>
      <c r="D226" s="59" t="s">
        <v>37</v>
      </c>
      <c r="E226" s="28" t="s">
        <v>38</v>
      </c>
      <c r="F226" s="27">
        <v>16.600000000000001</v>
      </c>
      <c r="G226" s="73">
        <v>3.72</v>
      </c>
      <c r="H226" s="32">
        <f t="shared" si="26"/>
        <v>61.75200000000001</v>
      </c>
      <c r="I226" s="10"/>
      <c r="J226" s="10"/>
      <c r="K226" s="10"/>
      <c r="L226" s="10"/>
    </row>
    <row r="227" spans="1:12" ht="49.95" customHeight="1">
      <c r="A227" s="17" t="s">
        <v>292</v>
      </c>
      <c r="B227" s="33">
        <v>91926</v>
      </c>
      <c r="C227" s="34" t="s">
        <v>487</v>
      </c>
      <c r="D227" s="30" t="s">
        <v>37</v>
      </c>
      <c r="E227" s="30" t="s">
        <v>38</v>
      </c>
      <c r="F227" s="31">
        <v>52.2</v>
      </c>
      <c r="G227" s="32">
        <v>5.47</v>
      </c>
      <c r="H227" s="32">
        <f t="shared" si="26"/>
        <v>285.53399999999999</v>
      </c>
      <c r="I227" s="10"/>
      <c r="J227" s="10"/>
      <c r="K227" s="10"/>
      <c r="L227" s="10"/>
    </row>
    <row r="228" spans="1:12" ht="49.95" customHeight="1">
      <c r="A228" s="17" t="s">
        <v>293</v>
      </c>
      <c r="B228" s="33">
        <v>91931</v>
      </c>
      <c r="C228" s="34" t="s">
        <v>485</v>
      </c>
      <c r="D228" s="30" t="s">
        <v>37</v>
      </c>
      <c r="E228" s="30" t="s">
        <v>38</v>
      </c>
      <c r="F228" s="31">
        <v>112.2</v>
      </c>
      <c r="G228" s="32">
        <v>13.01</v>
      </c>
      <c r="H228" s="32">
        <f t="shared" si="26"/>
        <v>1459.722</v>
      </c>
      <c r="I228" s="10"/>
      <c r="J228" s="10"/>
      <c r="K228" s="10"/>
      <c r="L228" s="10"/>
    </row>
    <row r="229" spans="1:12" ht="49.95" customHeight="1">
      <c r="A229" s="17" t="s">
        <v>294</v>
      </c>
      <c r="B229" s="33">
        <v>91869</v>
      </c>
      <c r="C229" s="34" t="s">
        <v>550</v>
      </c>
      <c r="D229" s="30" t="s">
        <v>37</v>
      </c>
      <c r="E229" s="30" t="s">
        <v>38</v>
      </c>
      <c r="F229" s="31">
        <v>33.450000000000003</v>
      </c>
      <c r="G229" s="32">
        <v>20.399999999999999</v>
      </c>
      <c r="H229" s="32">
        <f t="shared" si="26"/>
        <v>682.38</v>
      </c>
      <c r="I229" s="10"/>
      <c r="J229" s="10"/>
      <c r="K229" s="10"/>
      <c r="L229" s="10"/>
    </row>
    <row r="230" spans="1:12" ht="49.95" customHeight="1">
      <c r="A230" s="17" t="s">
        <v>295</v>
      </c>
      <c r="B230" s="33">
        <v>95728</v>
      </c>
      <c r="C230" s="34" t="s">
        <v>551</v>
      </c>
      <c r="D230" s="30" t="s">
        <v>37</v>
      </c>
      <c r="E230" s="30" t="s">
        <v>38</v>
      </c>
      <c r="F230" s="31">
        <v>2.2799999999999998</v>
      </c>
      <c r="G230" s="32">
        <v>28.91</v>
      </c>
      <c r="H230" s="32">
        <f t="shared" si="26"/>
        <v>65.9148</v>
      </c>
      <c r="I230" s="10"/>
      <c r="J230" s="10"/>
      <c r="K230" s="10"/>
      <c r="L230" s="10"/>
    </row>
    <row r="231" spans="1:12" ht="49.95" customHeight="1">
      <c r="A231" s="17" t="s">
        <v>296</v>
      </c>
      <c r="B231" s="33">
        <v>91854</v>
      </c>
      <c r="C231" s="34" t="s">
        <v>490</v>
      </c>
      <c r="D231" s="30" t="s">
        <v>37</v>
      </c>
      <c r="E231" s="30" t="s">
        <v>38</v>
      </c>
      <c r="F231" s="31">
        <v>18.309999999999999</v>
      </c>
      <c r="G231" s="32">
        <v>10.81</v>
      </c>
      <c r="H231" s="32">
        <f t="shared" si="26"/>
        <v>197.93109999999999</v>
      </c>
      <c r="I231" s="10"/>
      <c r="J231" s="10"/>
      <c r="K231" s="10"/>
      <c r="L231" s="10"/>
    </row>
    <row r="232" spans="1:12" ht="49.95" customHeight="1">
      <c r="A232" s="17" t="s">
        <v>297</v>
      </c>
      <c r="B232" s="33">
        <v>39469</v>
      </c>
      <c r="C232" s="34" t="s">
        <v>552</v>
      </c>
      <c r="D232" s="86" t="s">
        <v>37</v>
      </c>
      <c r="E232" s="86" t="s">
        <v>66</v>
      </c>
      <c r="F232" s="31">
        <v>1</v>
      </c>
      <c r="G232" s="32">
        <v>72.95</v>
      </c>
      <c r="H232" s="32">
        <f t="shared" si="26"/>
        <v>72.95</v>
      </c>
      <c r="I232" s="10"/>
      <c r="J232" s="10"/>
      <c r="K232" s="10"/>
      <c r="L232" s="10"/>
    </row>
    <row r="233" spans="1:12" ht="49.95" customHeight="1">
      <c r="A233" s="17" t="s">
        <v>298</v>
      </c>
      <c r="B233" s="33">
        <v>39470</v>
      </c>
      <c r="C233" s="34" t="s">
        <v>473</v>
      </c>
      <c r="D233" s="86" t="s">
        <v>37</v>
      </c>
      <c r="E233" s="86" t="s">
        <v>66</v>
      </c>
      <c r="F233" s="31">
        <v>1</v>
      </c>
      <c r="G233" s="32">
        <v>89.64</v>
      </c>
      <c r="H233" s="32">
        <f t="shared" si="26"/>
        <v>89.64</v>
      </c>
      <c r="I233" s="10"/>
      <c r="J233" s="10"/>
      <c r="K233" s="10"/>
      <c r="L233" s="10"/>
    </row>
    <row r="234" spans="1:12" ht="49.95" customHeight="1">
      <c r="A234" s="17" t="s">
        <v>299</v>
      </c>
      <c r="B234" s="33">
        <v>16</v>
      </c>
      <c r="C234" s="34" t="s">
        <v>474</v>
      </c>
      <c r="D234" s="86" t="s">
        <v>64</v>
      </c>
      <c r="E234" s="86" t="s">
        <v>5</v>
      </c>
      <c r="F234" s="31">
        <v>1</v>
      </c>
      <c r="G234" s="32">
        <v>196.6</v>
      </c>
      <c r="H234" s="32">
        <f t="shared" si="26"/>
        <v>196.6</v>
      </c>
      <c r="I234" s="10"/>
      <c r="J234" s="10"/>
      <c r="K234" s="10"/>
      <c r="L234" s="10"/>
    </row>
    <row r="235" spans="1:12" ht="49.95" customHeight="1">
      <c r="A235" s="17" t="s">
        <v>300</v>
      </c>
      <c r="B235" s="33">
        <v>93653</v>
      </c>
      <c r="C235" s="34" t="s">
        <v>475</v>
      </c>
      <c r="D235" s="86" t="s">
        <v>37</v>
      </c>
      <c r="E235" s="86" t="s">
        <v>66</v>
      </c>
      <c r="F235" s="31">
        <v>3</v>
      </c>
      <c r="G235" s="32">
        <v>12.41</v>
      </c>
      <c r="H235" s="32">
        <f t="shared" si="26"/>
        <v>37.230000000000004</v>
      </c>
      <c r="I235" s="10"/>
      <c r="J235" s="10"/>
      <c r="K235" s="10"/>
      <c r="L235" s="10"/>
    </row>
    <row r="236" spans="1:12" ht="49.95" customHeight="1">
      <c r="A236" s="17" t="s">
        <v>301</v>
      </c>
      <c r="B236" s="33">
        <v>93657</v>
      </c>
      <c r="C236" s="34" t="s">
        <v>477</v>
      </c>
      <c r="D236" s="86" t="s">
        <v>37</v>
      </c>
      <c r="E236" s="86" t="s">
        <v>66</v>
      </c>
      <c r="F236" s="31">
        <v>1</v>
      </c>
      <c r="G236" s="32">
        <v>16.21</v>
      </c>
      <c r="H236" s="32">
        <f t="shared" si="26"/>
        <v>16.21</v>
      </c>
      <c r="I236" s="10"/>
      <c r="J236" s="10"/>
      <c r="K236" s="10"/>
      <c r="L236" s="10"/>
    </row>
    <row r="237" spans="1:12" ht="20.100000000000001" customHeight="1">
      <c r="A237" s="85" t="s">
        <v>302</v>
      </c>
      <c r="B237" s="175" t="s">
        <v>303</v>
      </c>
      <c r="C237" s="176"/>
      <c r="D237" s="176"/>
      <c r="E237" s="176"/>
      <c r="F237" s="176"/>
      <c r="G237" s="177"/>
      <c r="H237" s="8">
        <f>SUM(H238:H255)</f>
        <v>7039.6363000000001</v>
      </c>
      <c r="I237" s="7"/>
      <c r="J237" s="7"/>
      <c r="K237" s="7"/>
      <c r="L237" s="7"/>
    </row>
    <row r="238" spans="1:12" ht="49.95" customHeight="1">
      <c r="A238" s="17" t="s">
        <v>304</v>
      </c>
      <c r="B238" s="55">
        <v>98102</v>
      </c>
      <c r="C238" s="34" t="s">
        <v>553</v>
      </c>
      <c r="D238" s="56" t="s">
        <v>37</v>
      </c>
      <c r="E238" s="38" t="s">
        <v>66</v>
      </c>
      <c r="F238" s="39">
        <v>1</v>
      </c>
      <c r="G238" s="60">
        <v>232.2</v>
      </c>
      <c r="H238" s="32">
        <f>F238*G238</f>
        <v>232.2</v>
      </c>
      <c r="I238" s="10"/>
      <c r="J238" s="11"/>
      <c r="K238" s="12"/>
      <c r="L238" s="13"/>
    </row>
    <row r="239" spans="1:12" ht="49.95" customHeight="1">
      <c r="A239" s="17" t="s">
        <v>305</v>
      </c>
      <c r="B239" s="57">
        <v>104063</v>
      </c>
      <c r="C239" s="58" t="s">
        <v>554</v>
      </c>
      <c r="D239" s="59" t="s">
        <v>37</v>
      </c>
      <c r="E239" s="28" t="s">
        <v>66</v>
      </c>
      <c r="F239" s="27">
        <v>1</v>
      </c>
      <c r="G239" s="73">
        <v>72.98</v>
      </c>
      <c r="H239" s="32">
        <f t="shared" ref="H239:H255" si="27">F239*G239</f>
        <v>72.98</v>
      </c>
      <c r="I239" s="10"/>
      <c r="J239" s="10"/>
      <c r="K239" s="10"/>
      <c r="L239" s="10"/>
    </row>
    <row r="240" spans="1:12" ht="49.95" customHeight="1">
      <c r="A240" s="17" t="s">
        <v>306</v>
      </c>
      <c r="B240" s="33">
        <v>89726</v>
      </c>
      <c r="C240" s="34" t="s">
        <v>498</v>
      </c>
      <c r="D240" s="86" t="s">
        <v>37</v>
      </c>
      <c r="E240" s="86" t="s">
        <v>66</v>
      </c>
      <c r="F240" s="31">
        <v>3</v>
      </c>
      <c r="G240" s="32">
        <v>10.95</v>
      </c>
      <c r="H240" s="32">
        <f t="shared" si="27"/>
        <v>32.849999999999994</v>
      </c>
      <c r="I240" s="10"/>
      <c r="J240" s="10"/>
      <c r="K240" s="10"/>
      <c r="L240" s="10"/>
    </row>
    <row r="241" spans="1:12" ht="49.95" customHeight="1">
      <c r="A241" s="17" t="s">
        <v>307</v>
      </c>
      <c r="B241" s="33">
        <v>89732</v>
      </c>
      <c r="C241" s="34" t="s">
        <v>499</v>
      </c>
      <c r="D241" s="86" t="s">
        <v>37</v>
      </c>
      <c r="E241" s="86" t="s">
        <v>66</v>
      </c>
      <c r="F241" s="31">
        <v>3</v>
      </c>
      <c r="G241" s="32">
        <v>17.82</v>
      </c>
      <c r="H241" s="32">
        <f t="shared" si="27"/>
        <v>53.46</v>
      </c>
      <c r="I241" s="10"/>
      <c r="J241" s="10"/>
      <c r="K241" s="10"/>
      <c r="L241" s="10"/>
    </row>
    <row r="242" spans="1:12" ht="49.95" customHeight="1">
      <c r="A242" s="17" t="s">
        <v>308</v>
      </c>
      <c r="B242" s="33">
        <v>89724</v>
      </c>
      <c r="C242" s="34" t="s">
        <v>500</v>
      </c>
      <c r="D242" s="86" t="s">
        <v>37</v>
      </c>
      <c r="E242" s="86" t="s">
        <v>66</v>
      </c>
      <c r="F242" s="31">
        <v>4</v>
      </c>
      <c r="G242" s="32">
        <v>10.7</v>
      </c>
      <c r="H242" s="32">
        <f t="shared" si="27"/>
        <v>42.8</v>
      </c>
      <c r="I242" s="10"/>
      <c r="J242" s="10"/>
      <c r="K242" s="10"/>
      <c r="L242" s="10"/>
    </row>
    <row r="243" spans="1:12" ht="49.95" customHeight="1">
      <c r="A243" s="17" t="s">
        <v>309</v>
      </c>
      <c r="B243" s="33">
        <v>89731</v>
      </c>
      <c r="C243" s="34" t="s">
        <v>465</v>
      </c>
      <c r="D243" s="86" t="s">
        <v>37</v>
      </c>
      <c r="E243" s="86" t="s">
        <v>66</v>
      </c>
      <c r="F243" s="31">
        <v>3</v>
      </c>
      <c r="G243" s="32">
        <v>17.02</v>
      </c>
      <c r="H243" s="32">
        <f t="shared" si="27"/>
        <v>51.06</v>
      </c>
      <c r="I243" s="10"/>
      <c r="J243" s="10"/>
      <c r="K243" s="10"/>
      <c r="L243" s="10"/>
    </row>
    <row r="244" spans="1:12" ht="49.95" customHeight="1">
      <c r="A244" s="17" t="s">
        <v>310</v>
      </c>
      <c r="B244" s="33">
        <v>89744</v>
      </c>
      <c r="C244" s="34" t="s">
        <v>501</v>
      </c>
      <c r="D244" s="86" t="s">
        <v>37</v>
      </c>
      <c r="E244" s="86" t="s">
        <v>66</v>
      </c>
      <c r="F244" s="31">
        <v>1</v>
      </c>
      <c r="G244" s="32">
        <v>31.13</v>
      </c>
      <c r="H244" s="32">
        <f t="shared" si="27"/>
        <v>31.13</v>
      </c>
      <c r="I244" s="10"/>
      <c r="J244" s="10"/>
      <c r="K244" s="10"/>
      <c r="L244" s="10"/>
    </row>
    <row r="245" spans="1:12" ht="49.95" customHeight="1">
      <c r="A245" s="17" t="s">
        <v>311</v>
      </c>
      <c r="B245" s="33">
        <v>104353</v>
      </c>
      <c r="C245" s="34" t="s">
        <v>503</v>
      </c>
      <c r="D245" s="86" t="s">
        <v>37</v>
      </c>
      <c r="E245" s="86" t="s">
        <v>66</v>
      </c>
      <c r="F245" s="31">
        <v>1</v>
      </c>
      <c r="G245" s="32">
        <v>46.81</v>
      </c>
      <c r="H245" s="32">
        <f t="shared" si="27"/>
        <v>46.81</v>
      </c>
      <c r="I245" s="10"/>
      <c r="J245" s="10"/>
      <c r="K245" s="10"/>
      <c r="L245" s="10"/>
    </row>
    <row r="246" spans="1:12" ht="49.95" customHeight="1">
      <c r="A246" s="17" t="s">
        <v>312</v>
      </c>
      <c r="B246" s="55">
        <v>89779</v>
      </c>
      <c r="C246" s="34" t="s">
        <v>555</v>
      </c>
      <c r="D246" s="56" t="s">
        <v>37</v>
      </c>
      <c r="E246" s="38" t="s">
        <v>66</v>
      </c>
      <c r="F246" s="39">
        <v>1</v>
      </c>
      <c r="G246" s="60">
        <v>38.67</v>
      </c>
      <c r="H246" s="32">
        <f t="shared" si="27"/>
        <v>38.67</v>
      </c>
      <c r="I246" s="10"/>
      <c r="J246" s="11"/>
      <c r="K246" s="12"/>
      <c r="L246" s="13"/>
    </row>
    <row r="247" spans="1:12" ht="49.95" customHeight="1">
      <c r="A247" s="17" t="s">
        <v>313</v>
      </c>
      <c r="B247" s="57">
        <v>104348</v>
      </c>
      <c r="C247" s="58" t="s">
        <v>504</v>
      </c>
      <c r="D247" s="59" t="s">
        <v>37</v>
      </c>
      <c r="E247" s="28" t="s">
        <v>66</v>
      </c>
      <c r="F247" s="27">
        <v>1</v>
      </c>
      <c r="G247" s="73">
        <v>11.64</v>
      </c>
      <c r="H247" s="32">
        <f t="shared" si="27"/>
        <v>11.64</v>
      </c>
      <c r="I247" s="10"/>
      <c r="J247" s="10"/>
      <c r="K247" s="10"/>
      <c r="L247" s="10"/>
    </row>
    <row r="248" spans="1:12" ht="49.95" customHeight="1">
      <c r="A248" s="17" t="s">
        <v>314</v>
      </c>
      <c r="B248" s="33">
        <v>89696</v>
      </c>
      <c r="C248" s="34" t="s">
        <v>556</v>
      </c>
      <c r="D248" s="86" t="s">
        <v>37</v>
      </c>
      <c r="E248" s="86" t="s">
        <v>66</v>
      </c>
      <c r="F248" s="31">
        <v>1</v>
      </c>
      <c r="G248" s="32">
        <v>92.4</v>
      </c>
      <c r="H248" s="32">
        <f t="shared" si="27"/>
        <v>92.4</v>
      </c>
      <c r="I248" s="10"/>
      <c r="J248" s="10"/>
      <c r="K248" s="10"/>
      <c r="L248" s="10"/>
    </row>
    <row r="249" spans="1:12" ht="49.95" customHeight="1">
      <c r="A249" s="17" t="s">
        <v>315</v>
      </c>
      <c r="B249" s="55">
        <v>104329</v>
      </c>
      <c r="C249" s="34" t="s">
        <v>507</v>
      </c>
      <c r="D249" s="56" t="s">
        <v>37</v>
      </c>
      <c r="E249" s="38" t="s">
        <v>66</v>
      </c>
      <c r="F249" s="39">
        <v>1</v>
      </c>
      <c r="G249" s="60">
        <v>77.48</v>
      </c>
      <c r="H249" s="32">
        <f t="shared" si="27"/>
        <v>77.48</v>
      </c>
      <c r="I249" s="10"/>
      <c r="J249" s="11"/>
      <c r="K249" s="12"/>
      <c r="L249" s="13"/>
    </row>
    <row r="250" spans="1:12" ht="49.95" customHeight="1">
      <c r="A250" s="17" t="s">
        <v>316</v>
      </c>
      <c r="B250" s="57">
        <v>11745</v>
      </c>
      <c r="C250" s="58" t="s">
        <v>557</v>
      </c>
      <c r="D250" s="59" t="s">
        <v>37</v>
      </c>
      <c r="E250" s="28" t="s">
        <v>66</v>
      </c>
      <c r="F250" s="27">
        <v>1</v>
      </c>
      <c r="G250" s="73">
        <v>14.66</v>
      </c>
      <c r="H250" s="32">
        <f t="shared" si="27"/>
        <v>14.66</v>
      </c>
      <c r="I250" s="10"/>
      <c r="J250" s="10"/>
      <c r="K250" s="10"/>
      <c r="L250" s="10"/>
    </row>
    <row r="251" spans="1:12" ht="49.95" customHeight="1">
      <c r="A251" s="17" t="s">
        <v>317</v>
      </c>
      <c r="B251" s="33">
        <v>89711</v>
      </c>
      <c r="C251" s="34" t="s">
        <v>558</v>
      </c>
      <c r="D251" s="86" t="s">
        <v>37</v>
      </c>
      <c r="E251" s="86" t="s">
        <v>38</v>
      </c>
      <c r="F251" s="31">
        <v>2.54</v>
      </c>
      <c r="G251" s="32">
        <v>23.31</v>
      </c>
      <c r="H251" s="32">
        <f>F251*G251-0.01</f>
        <v>59.197400000000002</v>
      </c>
      <c r="I251" s="10"/>
      <c r="J251" s="10"/>
      <c r="K251" s="10"/>
      <c r="L251" s="10"/>
    </row>
    <row r="252" spans="1:12" ht="49.95" customHeight="1">
      <c r="A252" s="17" t="s">
        <v>318</v>
      </c>
      <c r="B252" s="33">
        <v>89712</v>
      </c>
      <c r="C252" s="34" t="s">
        <v>509</v>
      </c>
      <c r="D252" s="86" t="s">
        <v>37</v>
      </c>
      <c r="E252" s="86" t="s">
        <v>38</v>
      </c>
      <c r="F252" s="31">
        <v>5.05</v>
      </c>
      <c r="G252" s="32">
        <v>29.55</v>
      </c>
      <c r="H252" s="32">
        <f>F252*G252-0.01</f>
        <v>149.2175</v>
      </c>
      <c r="I252" s="10"/>
      <c r="J252" s="10"/>
      <c r="K252" s="10"/>
      <c r="L252" s="10"/>
    </row>
    <row r="253" spans="1:12" ht="49.95" customHeight="1">
      <c r="A253" s="17" t="s">
        <v>319</v>
      </c>
      <c r="B253" s="33">
        <v>89714</v>
      </c>
      <c r="C253" s="34" t="s">
        <v>510</v>
      </c>
      <c r="D253" s="86" t="s">
        <v>37</v>
      </c>
      <c r="E253" s="86" t="s">
        <v>38</v>
      </c>
      <c r="F253" s="31">
        <v>13.78</v>
      </c>
      <c r="G253" s="32">
        <v>41.13</v>
      </c>
      <c r="H253" s="32">
        <f t="shared" si="27"/>
        <v>566.77139999999997</v>
      </c>
      <c r="I253" s="10"/>
      <c r="J253" s="10"/>
      <c r="K253" s="10"/>
      <c r="L253" s="10"/>
    </row>
    <row r="254" spans="1:12" ht="49.95" customHeight="1">
      <c r="A254" s="17" t="s">
        <v>320</v>
      </c>
      <c r="B254" s="33">
        <v>89696</v>
      </c>
      <c r="C254" s="34" t="s">
        <v>556</v>
      </c>
      <c r="D254" s="86" t="s">
        <v>37</v>
      </c>
      <c r="E254" s="86" t="s">
        <v>66</v>
      </c>
      <c r="F254" s="31">
        <v>1</v>
      </c>
      <c r="G254" s="32">
        <v>92.4</v>
      </c>
      <c r="H254" s="32">
        <f t="shared" si="27"/>
        <v>92.4</v>
      </c>
      <c r="I254" s="10"/>
      <c r="J254" s="10"/>
      <c r="K254" s="10"/>
      <c r="L254" s="10"/>
    </row>
    <row r="255" spans="1:12" ht="49.95" customHeight="1">
      <c r="A255" s="17" t="s">
        <v>321</v>
      </c>
      <c r="B255" s="33">
        <v>98083</v>
      </c>
      <c r="C255" s="34" t="s">
        <v>559</v>
      </c>
      <c r="D255" s="86" t="s">
        <v>37</v>
      </c>
      <c r="E255" s="86" t="s">
        <v>66</v>
      </c>
      <c r="F255" s="31">
        <v>1</v>
      </c>
      <c r="G255" s="32">
        <v>5373.91</v>
      </c>
      <c r="H255" s="32">
        <f t="shared" si="27"/>
        <v>5373.91</v>
      </c>
      <c r="I255" s="10"/>
      <c r="J255" s="10"/>
      <c r="K255" s="10"/>
      <c r="L255" s="10"/>
    </row>
    <row r="256" spans="1:12" ht="20.100000000000001" customHeight="1">
      <c r="A256" s="85" t="s">
        <v>322</v>
      </c>
      <c r="B256" s="175" t="s">
        <v>21</v>
      </c>
      <c r="C256" s="176"/>
      <c r="D256" s="176"/>
      <c r="E256" s="176"/>
      <c r="F256" s="176"/>
      <c r="G256" s="177"/>
      <c r="H256" s="8">
        <f>SUM(H257:H261)+0.01</f>
        <v>4274.7034000000003</v>
      </c>
      <c r="I256" s="7"/>
      <c r="J256" s="7"/>
      <c r="K256" s="7"/>
      <c r="L256" s="7"/>
    </row>
    <row r="257" spans="1:12" ht="49.95" customHeight="1">
      <c r="A257" s="17" t="s">
        <v>323</v>
      </c>
      <c r="B257" s="55">
        <v>94204</v>
      </c>
      <c r="C257" s="34" t="s">
        <v>517</v>
      </c>
      <c r="D257" s="56" t="s">
        <v>37</v>
      </c>
      <c r="E257" s="38" t="s">
        <v>63</v>
      </c>
      <c r="F257" s="39">
        <v>13.28</v>
      </c>
      <c r="G257" s="60">
        <v>52.95</v>
      </c>
      <c r="H257" s="32">
        <f>F257*G257-0.01</f>
        <v>703.16600000000005</v>
      </c>
      <c r="I257" s="10"/>
      <c r="J257" s="11"/>
      <c r="K257" s="12"/>
      <c r="L257" s="13"/>
    </row>
    <row r="258" spans="1:12" ht="49.95" customHeight="1">
      <c r="A258" s="17" t="s">
        <v>324</v>
      </c>
      <c r="B258" s="57">
        <v>92540</v>
      </c>
      <c r="C258" s="58" t="s">
        <v>518</v>
      </c>
      <c r="D258" s="59" t="s">
        <v>37</v>
      </c>
      <c r="E258" s="28" t="s">
        <v>63</v>
      </c>
      <c r="F258" s="27">
        <v>13.28</v>
      </c>
      <c r="G258" s="73">
        <v>92.74</v>
      </c>
      <c r="H258" s="32">
        <f>F258*G258-0.01</f>
        <v>1231.5771999999999</v>
      </c>
      <c r="I258" s="10"/>
      <c r="J258" s="10"/>
      <c r="K258" s="10"/>
      <c r="L258" s="10"/>
    </row>
    <row r="259" spans="1:12" ht="49.95" customHeight="1">
      <c r="A259" s="17" t="s">
        <v>325</v>
      </c>
      <c r="B259" s="33">
        <v>92545</v>
      </c>
      <c r="C259" s="34" t="s">
        <v>560</v>
      </c>
      <c r="D259" s="86" t="s">
        <v>37</v>
      </c>
      <c r="E259" s="86" t="s">
        <v>66</v>
      </c>
      <c r="F259" s="31">
        <v>2</v>
      </c>
      <c r="G259" s="32">
        <v>1118.8800000000001</v>
      </c>
      <c r="H259" s="32">
        <f t="shared" ref="H259:H260" si="28">F259*G259</f>
        <v>2237.7600000000002</v>
      </c>
      <c r="I259" s="10"/>
      <c r="J259" s="10"/>
      <c r="K259" s="10"/>
      <c r="L259" s="10"/>
    </row>
    <row r="260" spans="1:12" ht="49.95" customHeight="1">
      <c r="A260" s="17" t="s">
        <v>326</v>
      </c>
      <c r="B260" s="33">
        <v>94221</v>
      </c>
      <c r="C260" s="34" t="s">
        <v>561</v>
      </c>
      <c r="D260" s="86" t="s">
        <v>37</v>
      </c>
      <c r="E260" s="86" t="s">
        <v>38</v>
      </c>
      <c r="F260" s="31">
        <v>3.2</v>
      </c>
      <c r="G260" s="32">
        <v>26.31</v>
      </c>
      <c r="H260" s="32">
        <f t="shared" si="28"/>
        <v>84.192000000000007</v>
      </c>
      <c r="I260" s="10"/>
      <c r="J260" s="10"/>
      <c r="K260" s="10"/>
      <c r="L260" s="10"/>
    </row>
    <row r="261" spans="1:12" ht="49.95" customHeight="1">
      <c r="A261" s="17" t="s">
        <v>327</v>
      </c>
      <c r="B261" s="33">
        <v>102233</v>
      </c>
      <c r="C261" s="34" t="s">
        <v>521</v>
      </c>
      <c r="D261" s="86" t="s">
        <v>37</v>
      </c>
      <c r="E261" s="86" t="s">
        <v>63</v>
      </c>
      <c r="F261" s="31">
        <v>1.33</v>
      </c>
      <c r="G261" s="32">
        <v>13.54</v>
      </c>
      <c r="H261" s="32">
        <f>F261*G261-0.01</f>
        <v>17.998199999999997</v>
      </c>
      <c r="I261" s="10"/>
      <c r="J261" s="10"/>
      <c r="K261" s="10"/>
      <c r="L261" s="10"/>
    </row>
    <row r="262" spans="1:12" ht="19.2" customHeight="1">
      <c r="A262" s="85" t="s">
        <v>328</v>
      </c>
      <c r="B262" s="175" t="s">
        <v>48</v>
      </c>
      <c r="C262" s="176"/>
      <c r="D262" s="176"/>
      <c r="E262" s="176"/>
      <c r="F262" s="176"/>
      <c r="G262" s="177"/>
      <c r="H262" s="8">
        <f>SUM(H263:H265)</f>
        <v>1059.2788</v>
      </c>
      <c r="I262" s="7"/>
      <c r="J262" s="7"/>
      <c r="K262" s="7"/>
      <c r="L262" s="7"/>
    </row>
    <row r="263" spans="1:12" ht="49.95" customHeight="1">
      <c r="A263" s="17" t="s">
        <v>329</v>
      </c>
      <c r="B263" s="55">
        <v>90822</v>
      </c>
      <c r="C263" s="34" t="s">
        <v>562</v>
      </c>
      <c r="D263" s="56" t="s">
        <v>37</v>
      </c>
      <c r="E263" s="38" t="s">
        <v>66</v>
      </c>
      <c r="F263" s="39">
        <v>1</v>
      </c>
      <c r="G263" s="60">
        <v>443.77</v>
      </c>
      <c r="H263" s="32">
        <f>F263*G263</f>
        <v>443.77</v>
      </c>
      <c r="I263" s="10"/>
      <c r="J263" s="11"/>
      <c r="K263" s="12"/>
      <c r="L263" s="13"/>
    </row>
    <row r="264" spans="1:12" ht="49.95" customHeight="1">
      <c r="A264" s="17" t="s">
        <v>330</v>
      </c>
      <c r="B264" s="57">
        <v>91010</v>
      </c>
      <c r="C264" s="58" t="s">
        <v>563</v>
      </c>
      <c r="D264" s="59" t="s">
        <v>37</v>
      </c>
      <c r="E264" s="28" t="s">
        <v>66</v>
      </c>
      <c r="F264" s="27">
        <v>1</v>
      </c>
      <c r="G264" s="73">
        <v>429.64</v>
      </c>
      <c r="H264" s="32">
        <f t="shared" ref="H264" si="29">F264*G264</f>
        <v>429.64</v>
      </c>
      <c r="I264" s="10"/>
      <c r="J264" s="10"/>
      <c r="K264" s="10"/>
      <c r="L264" s="10"/>
    </row>
    <row r="265" spans="1:12" ht="49.95" customHeight="1">
      <c r="A265" s="17" t="s">
        <v>331</v>
      </c>
      <c r="B265" s="33">
        <v>101162</v>
      </c>
      <c r="C265" s="34" t="s">
        <v>564</v>
      </c>
      <c r="D265" s="86" t="s">
        <v>37</v>
      </c>
      <c r="E265" s="86" t="s">
        <v>63</v>
      </c>
      <c r="F265" s="31">
        <v>1.08</v>
      </c>
      <c r="G265" s="32">
        <v>172.11</v>
      </c>
      <c r="H265" s="32">
        <f>F265*G265-0.01</f>
        <v>185.86880000000005</v>
      </c>
      <c r="I265" s="10"/>
      <c r="J265" s="10"/>
      <c r="K265" s="10"/>
      <c r="L265" s="10"/>
    </row>
    <row r="266" spans="1:12" ht="20.100000000000001" customHeight="1">
      <c r="A266" s="85">
        <v>4</v>
      </c>
      <c r="B266" s="175" t="s">
        <v>332</v>
      </c>
      <c r="C266" s="176"/>
      <c r="D266" s="176"/>
      <c r="E266" s="176"/>
      <c r="F266" s="176"/>
      <c r="G266" s="177"/>
      <c r="H266" s="8">
        <f>SUM(H267,H270,H281,H289)</f>
        <v>92757.999499999991</v>
      </c>
      <c r="I266" s="7"/>
      <c r="J266" s="7"/>
      <c r="K266" s="7"/>
      <c r="L266" s="7"/>
    </row>
    <row r="267" spans="1:12" ht="20.100000000000001" customHeight="1">
      <c r="A267" s="85" t="s">
        <v>22</v>
      </c>
      <c r="B267" s="178" t="s">
        <v>33</v>
      </c>
      <c r="C267" s="179"/>
      <c r="D267" s="179"/>
      <c r="E267" s="179"/>
      <c r="F267" s="179"/>
      <c r="G267" s="180"/>
      <c r="H267" s="8">
        <f>SUM(H268:H269)+0.01</f>
        <v>3514.0226999999995</v>
      </c>
      <c r="I267" s="7"/>
      <c r="J267" s="7"/>
      <c r="K267" s="7"/>
      <c r="L267" s="7"/>
    </row>
    <row r="268" spans="1:12" ht="49.95" customHeight="1">
      <c r="A268" s="17" t="s">
        <v>335</v>
      </c>
      <c r="B268" s="55">
        <v>93358</v>
      </c>
      <c r="C268" s="34" t="s">
        <v>410</v>
      </c>
      <c r="D268" s="56" t="s">
        <v>37</v>
      </c>
      <c r="E268" s="38" t="s">
        <v>65</v>
      </c>
      <c r="F268" s="39">
        <v>30.57</v>
      </c>
      <c r="G268" s="60">
        <v>96.82</v>
      </c>
      <c r="H268" s="32">
        <f>F268*G268-0.01</f>
        <v>2959.7773999999995</v>
      </c>
      <c r="I268" s="10"/>
      <c r="J268" s="135">
        <f t="shared" ref="J268:J269" si="30">K268/F268</f>
        <v>1</v>
      </c>
      <c r="K268" s="39">
        <v>30.57</v>
      </c>
      <c r="L268" s="139">
        <f t="shared" ref="L268:L269" si="31">J268*H268</f>
        <v>2959.7773999999995</v>
      </c>
    </row>
    <row r="269" spans="1:12" ht="49.95" customHeight="1">
      <c r="A269" s="17" t="s">
        <v>336</v>
      </c>
      <c r="B269" s="57">
        <v>104737</v>
      </c>
      <c r="C269" s="58" t="s">
        <v>411</v>
      </c>
      <c r="D269" s="59" t="s">
        <v>37</v>
      </c>
      <c r="E269" s="28" t="s">
        <v>65</v>
      </c>
      <c r="F269" s="27">
        <v>22.43</v>
      </c>
      <c r="G269" s="73">
        <v>24.71</v>
      </c>
      <c r="H269" s="32">
        <f>F269*G269-0.01</f>
        <v>554.23530000000005</v>
      </c>
      <c r="I269" s="10"/>
      <c r="J269" s="135">
        <f t="shared" si="30"/>
        <v>1</v>
      </c>
      <c r="K269" s="27">
        <v>22.43</v>
      </c>
      <c r="L269" s="139">
        <f t="shared" si="31"/>
        <v>554.23530000000005</v>
      </c>
    </row>
    <row r="270" spans="1:12" ht="20.100000000000001" customHeight="1">
      <c r="A270" s="85" t="s">
        <v>333</v>
      </c>
      <c r="B270" s="175" t="s">
        <v>40</v>
      </c>
      <c r="C270" s="176"/>
      <c r="D270" s="176"/>
      <c r="E270" s="176"/>
      <c r="F270" s="176"/>
      <c r="G270" s="177"/>
      <c r="H270" s="8">
        <f>SUM(H271:H280)</f>
        <v>24777.845299999997</v>
      </c>
      <c r="I270" s="7"/>
      <c r="J270" s="7"/>
      <c r="K270" s="7"/>
      <c r="L270" s="7"/>
    </row>
    <row r="271" spans="1:12" ht="49.95" customHeight="1">
      <c r="A271" s="17" t="s">
        <v>337</v>
      </c>
      <c r="B271" s="55">
        <v>96619</v>
      </c>
      <c r="C271" s="34" t="s">
        <v>412</v>
      </c>
      <c r="D271" s="56" t="s">
        <v>37</v>
      </c>
      <c r="E271" s="38" t="s">
        <v>63</v>
      </c>
      <c r="F271" s="39">
        <v>20.49</v>
      </c>
      <c r="G271" s="60">
        <v>44.9</v>
      </c>
      <c r="H271" s="32">
        <f>F271*G271</f>
        <v>920.00099999999986</v>
      </c>
      <c r="I271" s="10"/>
      <c r="J271" s="135">
        <f t="shared" ref="J271:J280" si="32">K271/F271</f>
        <v>1</v>
      </c>
      <c r="K271" s="39">
        <v>20.49</v>
      </c>
      <c r="L271" s="139">
        <f t="shared" ref="L271:L286" si="33">J271*H271</f>
        <v>920.00099999999986</v>
      </c>
    </row>
    <row r="272" spans="1:12" ht="49.95" customHeight="1">
      <c r="A272" s="17" t="s">
        <v>338</v>
      </c>
      <c r="B272" s="57">
        <v>101616</v>
      </c>
      <c r="C272" s="58" t="s">
        <v>413</v>
      </c>
      <c r="D272" s="59" t="s">
        <v>37</v>
      </c>
      <c r="E272" s="28" t="s">
        <v>63</v>
      </c>
      <c r="F272" s="27">
        <v>35</v>
      </c>
      <c r="G272" s="73">
        <v>7.07</v>
      </c>
      <c r="H272" s="32">
        <f t="shared" ref="H272:H278" si="34">F272*G272</f>
        <v>247.45000000000002</v>
      </c>
      <c r="I272" s="10"/>
      <c r="J272" s="135">
        <f t="shared" si="32"/>
        <v>1</v>
      </c>
      <c r="K272" s="27">
        <v>35</v>
      </c>
      <c r="L272" s="139">
        <f t="shared" si="33"/>
        <v>247.45000000000002</v>
      </c>
    </row>
    <row r="273" spans="1:12" ht="49.95" customHeight="1">
      <c r="A273" s="17" t="s">
        <v>339</v>
      </c>
      <c r="B273" s="33">
        <v>94971</v>
      </c>
      <c r="C273" s="34" t="s">
        <v>414</v>
      </c>
      <c r="D273" s="86" t="s">
        <v>37</v>
      </c>
      <c r="E273" s="86" t="s">
        <v>65</v>
      </c>
      <c r="F273" s="31">
        <v>8.14</v>
      </c>
      <c r="G273" s="32">
        <v>559.80999999999995</v>
      </c>
      <c r="H273" s="32">
        <f t="shared" si="34"/>
        <v>4556.8534</v>
      </c>
      <c r="I273" s="10"/>
      <c r="J273" s="135">
        <f t="shared" si="32"/>
        <v>1</v>
      </c>
      <c r="K273" s="31">
        <v>8.14</v>
      </c>
      <c r="L273" s="139">
        <f t="shared" si="33"/>
        <v>4556.8534</v>
      </c>
    </row>
    <row r="274" spans="1:12" ht="49.95" customHeight="1">
      <c r="A274" s="17" t="s">
        <v>340</v>
      </c>
      <c r="B274" s="33">
        <v>103670</v>
      </c>
      <c r="C274" s="34" t="s">
        <v>415</v>
      </c>
      <c r="D274" s="86" t="s">
        <v>37</v>
      </c>
      <c r="E274" s="86" t="s">
        <v>65</v>
      </c>
      <c r="F274" s="31">
        <v>8.14</v>
      </c>
      <c r="G274" s="32">
        <v>331.13</v>
      </c>
      <c r="H274" s="32">
        <f>F274*G274-0.01</f>
        <v>2695.3881999999999</v>
      </c>
      <c r="I274" s="10"/>
      <c r="J274" s="135">
        <f t="shared" si="32"/>
        <v>1</v>
      </c>
      <c r="K274" s="31">
        <v>8.14</v>
      </c>
      <c r="L274" s="139">
        <f t="shared" si="33"/>
        <v>2695.3881999999999</v>
      </c>
    </row>
    <row r="275" spans="1:12" ht="49.95" customHeight="1">
      <c r="A275" s="17" t="s">
        <v>341</v>
      </c>
      <c r="B275" s="33">
        <v>104927</v>
      </c>
      <c r="C275" s="34" t="s">
        <v>416</v>
      </c>
      <c r="D275" s="86" t="s">
        <v>37</v>
      </c>
      <c r="E275" s="86" t="s">
        <v>63</v>
      </c>
      <c r="F275" s="31">
        <v>22.77</v>
      </c>
      <c r="G275" s="32">
        <v>93.61</v>
      </c>
      <c r="H275" s="32">
        <f>F275*G275-0.01</f>
        <v>2131.4896999999996</v>
      </c>
      <c r="I275" s="10"/>
      <c r="J275" s="135">
        <f t="shared" si="32"/>
        <v>1</v>
      </c>
      <c r="K275" s="31">
        <v>22.77</v>
      </c>
      <c r="L275" s="139">
        <f t="shared" si="33"/>
        <v>2131.4896999999996</v>
      </c>
    </row>
    <row r="276" spans="1:12" ht="49.95" customHeight="1">
      <c r="A276" s="17" t="s">
        <v>342</v>
      </c>
      <c r="B276" s="33">
        <v>96542</v>
      </c>
      <c r="C276" s="34" t="s">
        <v>417</v>
      </c>
      <c r="D276" s="86" t="s">
        <v>37</v>
      </c>
      <c r="E276" s="86" t="s">
        <v>63</v>
      </c>
      <c r="F276" s="31">
        <v>45.05</v>
      </c>
      <c r="G276" s="32">
        <v>102.97</v>
      </c>
      <c r="H276" s="32">
        <f>F276*G276-0.01</f>
        <v>4638.7884999999997</v>
      </c>
      <c r="I276" s="10"/>
      <c r="J276" s="135">
        <f t="shared" si="32"/>
        <v>1</v>
      </c>
      <c r="K276" s="31">
        <v>45.05</v>
      </c>
      <c r="L276" s="139">
        <f t="shared" si="33"/>
        <v>4638.7884999999997</v>
      </c>
    </row>
    <row r="277" spans="1:12" ht="49.95" customHeight="1">
      <c r="A277" s="17" t="s">
        <v>343</v>
      </c>
      <c r="B277" s="33">
        <v>104917</v>
      </c>
      <c r="C277" s="34" t="s">
        <v>418</v>
      </c>
      <c r="D277" s="86" t="s">
        <v>37</v>
      </c>
      <c r="E277" s="86" t="s">
        <v>42</v>
      </c>
      <c r="F277" s="31">
        <v>138.69999999999999</v>
      </c>
      <c r="G277" s="32">
        <v>17.399999999999999</v>
      </c>
      <c r="H277" s="32">
        <f t="shared" si="34"/>
        <v>2413.3799999999997</v>
      </c>
      <c r="I277" s="10"/>
      <c r="J277" s="135">
        <f t="shared" si="32"/>
        <v>1</v>
      </c>
      <c r="K277" s="31">
        <v>138.69999999999999</v>
      </c>
      <c r="L277" s="139">
        <f t="shared" si="33"/>
        <v>2413.3799999999997</v>
      </c>
    </row>
    <row r="278" spans="1:12" ht="49.95" customHeight="1">
      <c r="A278" s="17" t="s">
        <v>344</v>
      </c>
      <c r="B278" s="33">
        <v>104916</v>
      </c>
      <c r="C278" s="34" t="s">
        <v>419</v>
      </c>
      <c r="D278" s="86" t="s">
        <v>37</v>
      </c>
      <c r="E278" s="86" t="s">
        <v>42</v>
      </c>
      <c r="F278" s="31">
        <v>89</v>
      </c>
      <c r="G278" s="32">
        <v>18.75</v>
      </c>
      <c r="H278" s="32">
        <f t="shared" si="34"/>
        <v>1668.75</v>
      </c>
      <c r="I278" s="10"/>
      <c r="J278" s="135">
        <f t="shared" si="32"/>
        <v>1</v>
      </c>
      <c r="K278" s="31">
        <v>89</v>
      </c>
      <c r="L278" s="139">
        <f t="shared" si="33"/>
        <v>1668.75</v>
      </c>
    </row>
    <row r="279" spans="1:12" ht="49.95" customHeight="1">
      <c r="A279" s="17" t="s">
        <v>345</v>
      </c>
      <c r="B279" s="55">
        <v>104918</v>
      </c>
      <c r="C279" s="34" t="s">
        <v>420</v>
      </c>
      <c r="D279" s="56" t="s">
        <v>37</v>
      </c>
      <c r="E279" s="38" t="s">
        <v>42</v>
      </c>
      <c r="F279" s="39">
        <v>122.8</v>
      </c>
      <c r="G279" s="60">
        <v>16.16</v>
      </c>
      <c r="H279" s="32">
        <f>F279*G279-0.01</f>
        <v>1984.4379999999999</v>
      </c>
      <c r="I279" s="10"/>
      <c r="J279" s="135">
        <f t="shared" si="32"/>
        <v>1</v>
      </c>
      <c r="K279" s="39">
        <v>122.8</v>
      </c>
      <c r="L279" s="139">
        <f t="shared" si="33"/>
        <v>1984.4379999999999</v>
      </c>
    </row>
    <row r="280" spans="1:12" ht="49.95" customHeight="1">
      <c r="A280" s="17" t="s">
        <v>346</v>
      </c>
      <c r="B280" s="57">
        <v>98557</v>
      </c>
      <c r="C280" s="58" t="s">
        <v>421</v>
      </c>
      <c r="D280" s="59" t="s">
        <v>37</v>
      </c>
      <c r="E280" s="28" t="s">
        <v>63</v>
      </c>
      <c r="F280" s="27">
        <v>65.27</v>
      </c>
      <c r="G280" s="73">
        <v>53.95</v>
      </c>
      <c r="H280" s="32">
        <f>F280*G280-0.01</f>
        <v>3521.3064999999997</v>
      </c>
      <c r="I280" s="10"/>
      <c r="J280" s="135">
        <f t="shared" si="32"/>
        <v>1</v>
      </c>
      <c r="K280" s="27">
        <v>65.27</v>
      </c>
      <c r="L280" s="139">
        <f t="shared" si="33"/>
        <v>3521.3064999999997</v>
      </c>
    </row>
    <row r="281" spans="1:12" ht="20.100000000000001" customHeight="1">
      <c r="A281" s="85" t="s">
        <v>334</v>
      </c>
      <c r="B281" s="175" t="s">
        <v>347</v>
      </c>
      <c r="C281" s="176"/>
      <c r="D281" s="176"/>
      <c r="E281" s="176"/>
      <c r="F281" s="176"/>
      <c r="G281" s="177"/>
      <c r="H281" s="8">
        <f>SUM(H282:H288)</f>
        <v>25900.380399999998</v>
      </c>
      <c r="I281" s="7"/>
      <c r="J281" s="7"/>
      <c r="K281" s="7"/>
      <c r="L281" s="7"/>
    </row>
    <row r="282" spans="1:12" ht="49.95" customHeight="1">
      <c r="A282" s="17" t="s">
        <v>348</v>
      </c>
      <c r="B282" s="55">
        <v>92429</v>
      </c>
      <c r="C282" s="34" t="s">
        <v>422</v>
      </c>
      <c r="D282" s="56" t="s">
        <v>37</v>
      </c>
      <c r="E282" s="38" t="s">
        <v>63</v>
      </c>
      <c r="F282" s="39">
        <v>77.22</v>
      </c>
      <c r="G282" s="60">
        <v>82.09</v>
      </c>
      <c r="H282" s="32">
        <f>F282*G282-0.01</f>
        <v>6338.9798000000001</v>
      </c>
      <c r="I282" s="10"/>
      <c r="J282" s="135">
        <f t="shared" ref="J282:J286" si="35">K282/F282</f>
        <v>1</v>
      </c>
      <c r="K282" s="39">
        <v>77.22</v>
      </c>
      <c r="L282" s="139">
        <f t="shared" si="33"/>
        <v>6338.9798000000001</v>
      </c>
    </row>
    <row r="283" spans="1:12" ht="49.95" customHeight="1">
      <c r="A283" s="17" t="s">
        <v>349</v>
      </c>
      <c r="B283" s="57">
        <v>92476</v>
      </c>
      <c r="C283" s="58" t="s">
        <v>565</v>
      </c>
      <c r="D283" s="59" t="s">
        <v>37</v>
      </c>
      <c r="E283" s="28" t="s">
        <v>63</v>
      </c>
      <c r="F283" s="27">
        <v>45.51</v>
      </c>
      <c r="G283" s="73">
        <v>101.44</v>
      </c>
      <c r="H283" s="32">
        <f t="shared" ref="H283:H288" si="36">F283*G283</f>
        <v>4616.5343999999996</v>
      </c>
      <c r="I283" s="10"/>
      <c r="J283" s="135">
        <f t="shared" si="35"/>
        <v>1</v>
      </c>
      <c r="K283" s="27">
        <v>45.51</v>
      </c>
      <c r="L283" s="139">
        <f t="shared" si="33"/>
        <v>4616.5343999999996</v>
      </c>
    </row>
    <row r="284" spans="1:12" ht="49.95" customHeight="1">
      <c r="A284" s="17" t="s">
        <v>350</v>
      </c>
      <c r="B284" s="33">
        <v>92759</v>
      </c>
      <c r="C284" s="34" t="s">
        <v>566</v>
      </c>
      <c r="D284" s="86" t="s">
        <v>37</v>
      </c>
      <c r="E284" s="86" t="s">
        <v>42</v>
      </c>
      <c r="F284" s="31">
        <v>143.80000000000001</v>
      </c>
      <c r="G284" s="32">
        <v>15.87</v>
      </c>
      <c r="H284" s="32">
        <f>F284*G284-0.01</f>
        <v>2282.096</v>
      </c>
      <c r="I284" s="10"/>
      <c r="J284" s="135">
        <f t="shared" si="35"/>
        <v>1</v>
      </c>
      <c r="K284" s="31">
        <v>143.80000000000001</v>
      </c>
      <c r="L284" s="139">
        <f t="shared" si="33"/>
        <v>2282.096</v>
      </c>
    </row>
    <row r="285" spans="1:12" ht="49.95" customHeight="1">
      <c r="A285" s="17" t="s">
        <v>351</v>
      </c>
      <c r="B285" s="33">
        <v>104108</v>
      </c>
      <c r="C285" s="34" t="s">
        <v>426</v>
      </c>
      <c r="D285" s="86" t="s">
        <v>37</v>
      </c>
      <c r="E285" s="86" t="s">
        <v>42</v>
      </c>
      <c r="F285" s="31">
        <v>305.89999999999998</v>
      </c>
      <c r="G285" s="32">
        <v>14.5</v>
      </c>
      <c r="H285" s="32">
        <f t="shared" si="36"/>
        <v>4435.5499999999993</v>
      </c>
      <c r="I285" s="10"/>
      <c r="J285" s="135">
        <f t="shared" si="35"/>
        <v>1</v>
      </c>
      <c r="K285" s="31">
        <v>305.89999999999998</v>
      </c>
      <c r="L285" s="139">
        <f t="shared" si="33"/>
        <v>4435.5499999999993</v>
      </c>
    </row>
    <row r="286" spans="1:12" ht="49.95" customHeight="1">
      <c r="A286" s="17" t="s">
        <v>352</v>
      </c>
      <c r="B286" s="33">
        <v>92761</v>
      </c>
      <c r="C286" s="34" t="s">
        <v>567</v>
      </c>
      <c r="D286" s="86" t="s">
        <v>37</v>
      </c>
      <c r="E286" s="86" t="s">
        <v>42</v>
      </c>
      <c r="F286" s="31">
        <v>120.5</v>
      </c>
      <c r="G286" s="32">
        <v>14.08</v>
      </c>
      <c r="H286" s="32">
        <f t="shared" si="36"/>
        <v>1696.64</v>
      </c>
      <c r="I286" s="10"/>
      <c r="J286" s="135">
        <f t="shared" si="35"/>
        <v>1</v>
      </c>
      <c r="K286" s="31">
        <v>120.5</v>
      </c>
      <c r="L286" s="139">
        <f t="shared" si="33"/>
        <v>1696.64</v>
      </c>
    </row>
    <row r="287" spans="1:12" ht="49.95" customHeight="1">
      <c r="A287" s="17" t="s">
        <v>353</v>
      </c>
      <c r="B287" s="33">
        <v>94971</v>
      </c>
      <c r="C287" s="34" t="s">
        <v>414</v>
      </c>
      <c r="D287" s="86" t="s">
        <v>37</v>
      </c>
      <c r="E287" s="86" t="s">
        <v>65</v>
      </c>
      <c r="F287" s="31">
        <v>7.33</v>
      </c>
      <c r="G287" s="32">
        <v>559.80999999999995</v>
      </c>
      <c r="H287" s="32">
        <f>F287*G287-0.01</f>
        <v>4103.3972999999996</v>
      </c>
      <c r="I287" s="10"/>
      <c r="J287" s="10"/>
      <c r="K287" s="10"/>
      <c r="L287" s="10"/>
    </row>
    <row r="288" spans="1:12" ht="49.95" customHeight="1">
      <c r="A288" s="17" t="s">
        <v>354</v>
      </c>
      <c r="B288" s="33">
        <v>103670</v>
      </c>
      <c r="C288" s="34" t="s">
        <v>415</v>
      </c>
      <c r="D288" s="86" t="s">
        <v>37</v>
      </c>
      <c r="E288" s="86" t="s">
        <v>65</v>
      </c>
      <c r="F288" s="31">
        <v>7.33</v>
      </c>
      <c r="G288" s="32">
        <v>331.13</v>
      </c>
      <c r="H288" s="32">
        <f t="shared" si="36"/>
        <v>2427.1828999999998</v>
      </c>
      <c r="I288" s="10"/>
      <c r="J288" s="10"/>
      <c r="K288" s="10"/>
      <c r="L288" s="10"/>
    </row>
    <row r="289" spans="1:12" ht="20.100000000000001" customHeight="1">
      <c r="A289" s="85" t="s">
        <v>355</v>
      </c>
      <c r="B289" s="178" t="s">
        <v>356</v>
      </c>
      <c r="C289" s="179"/>
      <c r="D289" s="179"/>
      <c r="E289" s="179"/>
      <c r="F289" s="179"/>
      <c r="G289" s="180"/>
      <c r="H289" s="8">
        <f>SUM(H290:H297)+0.01</f>
        <v>38565.751099999994</v>
      </c>
      <c r="I289" s="7"/>
      <c r="J289" s="7"/>
      <c r="K289" s="7"/>
      <c r="L289" s="7"/>
    </row>
    <row r="290" spans="1:12" ht="49.95" customHeight="1">
      <c r="A290" s="17" t="s">
        <v>357</v>
      </c>
      <c r="B290" s="55">
        <v>103356</v>
      </c>
      <c r="C290" s="34" t="s">
        <v>431</v>
      </c>
      <c r="D290" s="56" t="s">
        <v>37</v>
      </c>
      <c r="E290" s="38" t="s">
        <v>63</v>
      </c>
      <c r="F290" s="39">
        <v>126.59</v>
      </c>
      <c r="G290" s="60">
        <v>67.73</v>
      </c>
      <c r="H290" s="32">
        <f>F290*G290</f>
        <v>8573.940700000001</v>
      </c>
      <c r="I290" s="10"/>
      <c r="J290" s="11"/>
      <c r="K290" s="12"/>
      <c r="L290" s="13"/>
    </row>
    <row r="291" spans="1:12" ht="49.95" customHeight="1">
      <c r="A291" s="17" t="s">
        <v>358</v>
      </c>
      <c r="B291" s="57">
        <v>87894</v>
      </c>
      <c r="C291" s="58" t="s">
        <v>568</v>
      </c>
      <c r="D291" s="59" t="s">
        <v>37</v>
      </c>
      <c r="E291" s="28" t="s">
        <v>63</v>
      </c>
      <c r="F291" s="27">
        <v>253.19</v>
      </c>
      <c r="G291" s="73">
        <v>7.56</v>
      </c>
      <c r="H291" s="32">
        <f>F291*G291-0.01</f>
        <v>1914.1063999999999</v>
      </c>
      <c r="I291" s="10"/>
      <c r="J291" s="10"/>
      <c r="K291" s="10"/>
      <c r="L291" s="10"/>
    </row>
    <row r="292" spans="1:12" ht="49.95" customHeight="1">
      <c r="A292" s="17" t="s">
        <v>359</v>
      </c>
      <c r="B292" s="33">
        <v>87792</v>
      </c>
      <c r="C292" s="34" t="s">
        <v>569</v>
      </c>
      <c r="D292" s="86" t="s">
        <v>37</v>
      </c>
      <c r="E292" s="86" t="s">
        <v>63</v>
      </c>
      <c r="F292" s="31">
        <v>253.19</v>
      </c>
      <c r="G292" s="32">
        <v>44.72</v>
      </c>
      <c r="H292" s="32">
        <f>F292*G292-0.01</f>
        <v>11322.646799999999</v>
      </c>
      <c r="I292" s="10"/>
      <c r="J292" s="10"/>
      <c r="K292" s="10"/>
      <c r="L292" s="10"/>
    </row>
    <row r="293" spans="1:12" ht="49.95" customHeight="1">
      <c r="A293" s="17" t="s">
        <v>360</v>
      </c>
      <c r="B293" s="33">
        <v>88485</v>
      </c>
      <c r="C293" s="34" t="s">
        <v>530</v>
      </c>
      <c r="D293" s="86" t="s">
        <v>37</v>
      </c>
      <c r="E293" s="86" t="s">
        <v>63</v>
      </c>
      <c r="F293" s="31">
        <v>102.07</v>
      </c>
      <c r="G293" s="32">
        <v>4.2699999999999996</v>
      </c>
      <c r="H293" s="32">
        <f>F293*G293-0.01</f>
        <v>435.82889999999992</v>
      </c>
      <c r="I293" s="10"/>
      <c r="J293" s="10"/>
      <c r="K293" s="10"/>
      <c r="L293" s="10"/>
    </row>
    <row r="294" spans="1:12" ht="49.95" customHeight="1">
      <c r="A294" s="17" t="s">
        <v>361</v>
      </c>
      <c r="B294" s="33">
        <v>88497</v>
      </c>
      <c r="C294" s="34" t="s">
        <v>528</v>
      </c>
      <c r="D294" s="86" t="s">
        <v>37</v>
      </c>
      <c r="E294" s="86" t="s">
        <v>63</v>
      </c>
      <c r="F294" s="31">
        <v>253.19</v>
      </c>
      <c r="G294" s="32">
        <v>18.440000000000001</v>
      </c>
      <c r="H294" s="32">
        <f t="shared" ref="H294:H296" si="37">F294*G294</f>
        <v>4668.8236000000006</v>
      </c>
      <c r="I294" s="10"/>
      <c r="J294" s="10"/>
      <c r="K294" s="10"/>
      <c r="L294" s="10"/>
    </row>
    <row r="295" spans="1:12" ht="49.95" customHeight="1">
      <c r="A295" s="17" t="s">
        <v>362</v>
      </c>
      <c r="B295" s="33">
        <v>88489</v>
      </c>
      <c r="C295" s="34" t="s">
        <v>529</v>
      </c>
      <c r="D295" s="86" t="s">
        <v>37</v>
      </c>
      <c r="E295" s="86" t="s">
        <v>63</v>
      </c>
      <c r="F295" s="31">
        <v>253.19</v>
      </c>
      <c r="G295" s="32">
        <v>14.05</v>
      </c>
      <c r="H295" s="32">
        <f>F295*G295-0.01</f>
        <v>3557.3094999999998</v>
      </c>
      <c r="I295" s="10"/>
      <c r="J295" s="10"/>
      <c r="K295" s="10"/>
      <c r="L295" s="10"/>
    </row>
    <row r="296" spans="1:12" ht="49.95" customHeight="1">
      <c r="A296" s="17" t="s">
        <v>363</v>
      </c>
      <c r="B296" s="33">
        <v>10</v>
      </c>
      <c r="C296" s="34" t="s">
        <v>570</v>
      </c>
      <c r="D296" s="86" t="s">
        <v>64</v>
      </c>
      <c r="E296" s="86" t="s">
        <v>63</v>
      </c>
      <c r="F296" s="31">
        <v>30</v>
      </c>
      <c r="G296" s="32">
        <v>189.69</v>
      </c>
      <c r="H296" s="32">
        <f t="shared" si="37"/>
        <v>5690.7</v>
      </c>
      <c r="I296" s="10"/>
      <c r="J296" s="10"/>
      <c r="K296" s="10"/>
      <c r="L296" s="10"/>
    </row>
    <row r="297" spans="1:12" ht="49.95" customHeight="1">
      <c r="A297" s="17" t="s">
        <v>364</v>
      </c>
      <c r="B297" s="33">
        <v>24</v>
      </c>
      <c r="C297" s="34" t="s">
        <v>571</v>
      </c>
      <c r="D297" s="86" t="s">
        <v>64</v>
      </c>
      <c r="E297" s="86" t="s">
        <v>38</v>
      </c>
      <c r="F297" s="31">
        <v>39.96</v>
      </c>
      <c r="G297" s="32">
        <v>60.12</v>
      </c>
      <c r="H297" s="32">
        <f>F297*G297-0.01</f>
        <v>2402.3851999999997</v>
      </c>
      <c r="I297" s="10"/>
      <c r="J297" s="10"/>
      <c r="K297" s="10"/>
      <c r="L297" s="10"/>
    </row>
    <row r="298" spans="1:12" ht="20.100000000000001" customHeight="1">
      <c r="A298" s="85">
        <v>5</v>
      </c>
      <c r="B298" s="175" t="s">
        <v>365</v>
      </c>
      <c r="C298" s="176"/>
      <c r="D298" s="176"/>
      <c r="E298" s="176"/>
      <c r="F298" s="176"/>
      <c r="G298" s="177"/>
      <c r="H298" s="8">
        <f>SUM(H299,H310,H314)+0.01</f>
        <v>82217.371799999994</v>
      </c>
      <c r="I298" s="7"/>
      <c r="J298" s="7"/>
      <c r="K298" s="7"/>
      <c r="L298" s="7"/>
    </row>
    <row r="299" spans="1:12" ht="20.100000000000001" customHeight="1">
      <c r="A299" s="85" t="s">
        <v>23</v>
      </c>
      <c r="B299" s="175" t="s">
        <v>366</v>
      </c>
      <c r="C299" s="176"/>
      <c r="D299" s="176"/>
      <c r="E299" s="176"/>
      <c r="F299" s="176"/>
      <c r="G299" s="177"/>
      <c r="H299" s="8">
        <f>SUM(H300:H309)</f>
        <v>71588.159299999999</v>
      </c>
      <c r="I299" s="7"/>
      <c r="J299" s="7"/>
      <c r="K299" s="7"/>
      <c r="L299" s="7"/>
    </row>
    <row r="300" spans="1:12" ht="49.95" customHeight="1">
      <c r="A300" s="17" t="s">
        <v>367</v>
      </c>
      <c r="B300" s="33">
        <v>93679</v>
      </c>
      <c r="C300" s="34" t="s">
        <v>572</v>
      </c>
      <c r="D300" s="56" t="s">
        <v>37</v>
      </c>
      <c r="E300" s="38" t="s">
        <v>63</v>
      </c>
      <c r="F300" s="39">
        <v>192</v>
      </c>
      <c r="G300" s="60">
        <v>93.84</v>
      </c>
      <c r="H300" s="32">
        <f>F300*G300</f>
        <v>18017.28</v>
      </c>
      <c r="I300" s="10"/>
      <c r="J300" s="11"/>
      <c r="K300" s="12"/>
      <c r="L300" s="13"/>
    </row>
    <row r="301" spans="1:12" ht="49.95" customHeight="1">
      <c r="A301" s="17" t="s">
        <v>368</v>
      </c>
      <c r="B301" s="57">
        <v>94275</v>
      </c>
      <c r="C301" s="58" t="s">
        <v>573</v>
      </c>
      <c r="D301" s="59" t="s">
        <v>37</v>
      </c>
      <c r="E301" s="28" t="s">
        <v>38</v>
      </c>
      <c r="F301" s="27">
        <v>132.02000000000001</v>
      </c>
      <c r="G301" s="73">
        <v>39.94</v>
      </c>
      <c r="H301" s="32">
        <f>F301*G301-0.01</f>
        <v>5272.8688000000002</v>
      </c>
      <c r="I301" s="10"/>
      <c r="J301" s="10"/>
      <c r="K301" s="10"/>
      <c r="L301" s="10"/>
    </row>
    <row r="302" spans="1:12" ht="49.95" customHeight="1">
      <c r="A302" s="17" t="s">
        <v>369</v>
      </c>
      <c r="B302" s="33">
        <v>94276</v>
      </c>
      <c r="C302" s="34" t="s">
        <v>574</v>
      </c>
      <c r="D302" s="86" t="s">
        <v>37</v>
      </c>
      <c r="E302" s="86" t="s">
        <v>38</v>
      </c>
      <c r="F302" s="31">
        <v>121.37</v>
      </c>
      <c r="G302" s="32">
        <v>43.06</v>
      </c>
      <c r="H302" s="32">
        <f t="shared" ref="H302:H309" si="38">F302*G302</f>
        <v>5226.1922000000004</v>
      </c>
      <c r="I302" s="10"/>
      <c r="J302" s="10"/>
      <c r="K302" s="10"/>
      <c r="L302" s="10"/>
    </row>
    <row r="303" spans="1:12" ht="49.95" customHeight="1">
      <c r="A303" s="17" t="s">
        <v>370</v>
      </c>
      <c r="B303" s="33">
        <v>92397</v>
      </c>
      <c r="C303" s="34" t="s">
        <v>575</v>
      </c>
      <c r="D303" s="86" t="s">
        <v>37</v>
      </c>
      <c r="E303" s="86" t="s">
        <v>63</v>
      </c>
      <c r="F303" s="31">
        <v>400</v>
      </c>
      <c r="G303" s="32">
        <v>73.92</v>
      </c>
      <c r="H303" s="32">
        <f t="shared" si="38"/>
        <v>29568</v>
      </c>
      <c r="I303" s="10"/>
      <c r="J303" s="10"/>
      <c r="K303" s="10"/>
      <c r="L303" s="10"/>
    </row>
    <row r="304" spans="1:12" ht="49.95" customHeight="1">
      <c r="A304" s="17" t="s">
        <v>371</v>
      </c>
      <c r="B304" s="33">
        <v>105004</v>
      </c>
      <c r="C304" s="34" t="s">
        <v>576</v>
      </c>
      <c r="D304" s="86" t="s">
        <v>37</v>
      </c>
      <c r="E304" s="86" t="s">
        <v>63</v>
      </c>
      <c r="F304" s="31">
        <v>5.0999999999999996</v>
      </c>
      <c r="G304" s="32">
        <v>134.66999999999999</v>
      </c>
      <c r="H304" s="32">
        <f>F304*G304-0.01</f>
        <v>686.8069999999999</v>
      </c>
      <c r="I304" s="10"/>
      <c r="J304" s="10"/>
      <c r="K304" s="10"/>
      <c r="L304" s="10"/>
    </row>
    <row r="305" spans="1:12" ht="49.95" customHeight="1">
      <c r="A305" s="17" t="s">
        <v>372</v>
      </c>
      <c r="B305" s="33">
        <v>102498</v>
      </c>
      <c r="C305" s="34" t="s">
        <v>577</v>
      </c>
      <c r="D305" s="86" t="s">
        <v>37</v>
      </c>
      <c r="E305" s="86" t="s">
        <v>38</v>
      </c>
      <c r="F305" s="31">
        <v>253.39</v>
      </c>
      <c r="G305" s="32">
        <v>1.77</v>
      </c>
      <c r="H305" s="32">
        <f t="shared" si="38"/>
        <v>448.50029999999998</v>
      </c>
      <c r="I305" s="10"/>
      <c r="J305" s="10"/>
      <c r="K305" s="10"/>
      <c r="L305" s="10"/>
    </row>
    <row r="306" spans="1:12" ht="49.95" customHeight="1">
      <c r="A306" s="17" t="s">
        <v>373</v>
      </c>
      <c r="B306" s="33">
        <v>104658</v>
      </c>
      <c r="C306" s="34" t="s">
        <v>578</v>
      </c>
      <c r="D306" s="86" t="s">
        <v>37</v>
      </c>
      <c r="E306" s="86" t="s">
        <v>63</v>
      </c>
      <c r="F306" s="31">
        <v>38</v>
      </c>
      <c r="G306" s="32">
        <v>156.38999999999999</v>
      </c>
      <c r="H306" s="32">
        <f t="shared" si="38"/>
        <v>5942.82</v>
      </c>
      <c r="I306" s="10"/>
      <c r="J306" s="10"/>
      <c r="K306" s="10"/>
      <c r="L306" s="10"/>
    </row>
    <row r="307" spans="1:12" ht="49.95" customHeight="1">
      <c r="A307" s="17" t="s">
        <v>374</v>
      </c>
      <c r="B307" s="33">
        <v>104658</v>
      </c>
      <c r="C307" s="34" t="s">
        <v>578</v>
      </c>
      <c r="D307" s="86" t="s">
        <v>37</v>
      </c>
      <c r="E307" s="86" t="s">
        <v>63</v>
      </c>
      <c r="F307" s="31">
        <v>1</v>
      </c>
      <c r="G307" s="32">
        <v>156.38999999999999</v>
      </c>
      <c r="H307" s="32">
        <f t="shared" si="38"/>
        <v>156.38999999999999</v>
      </c>
      <c r="I307" s="10"/>
      <c r="J307" s="10"/>
      <c r="K307" s="10"/>
      <c r="L307" s="10"/>
    </row>
    <row r="308" spans="1:12" ht="49.95" customHeight="1">
      <c r="A308" s="17" t="s">
        <v>375</v>
      </c>
      <c r="B308" s="55">
        <v>102494</v>
      </c>
      <c r="C308" s="34" t="s">
        <v>579</v>
      </c>
      <c r="D308" s="56" t="s">
        <v>37</v>
      </c>
      <c r="E308" s="38" t="s">
        <v>63</v>
      </c>
      <c r="F308" s="39">
        <v>5.0999999999999996</v>
      </c>
      <c r="G308" s="60">
        <v>67.510000000000005</v>
      </c>
      <c r="H308" s="32">
        <f t="shared" si="38"/>
        <v>344.30099999999999</v>
      </c>
      <c r="I308" s="10"/>
      <c r="J308" s="11"/>
      <c r="K308" s="12"/>
      <c r="L308" s="13"/>
    </row>
    <row r="309" spans="1:12" ht="49.95" customHeight="1">
      <c r="A309" s="17" t="s">
        <v>376</v>
      </c>
      <c r="B309" s="57">
        <v>103946</v>
      </c>
      <c r="C309" s="58" t="s">
        <v>580</v>
      </c>
      <c r="D309" s="59" t="s">
        <v>37</v>
      </c>
      <c r="E309" s="28" t="s">
        <v>63</v>
      </c>
      <c r="F309" s="27">
        <v>250</v>
      </c>
      <c r="G309" s="73">
        <v>23.7</v>
      </c>
      <c r="H309" s="32">
        <f t="shared" si="38"/>
        <v>5925</v>
      </c>
      <c r="I309" s="10"/>
      <c r="J309" s="10"/>
      <c r="K309" s="10"/>
      <c r="L309" s="10"/>
    </row>
    <row r="310" spans="1:12" ht="20.100000000000001" customHeight="1">
      <c r="A310" s="85" t="s">
        <v>34</v>
      </c>
      <c r="B310" s="178" t="s">
        <v>377</v>
      </c>
      <c r="C310" s="179"/>
      <c r="D310" s="179"/>
      <c r="E310" s="179"/>
      <c r="F310" s="179"/>
      <c r="G310" s="180"/>
      <c r="H310" s="8">
        <f>SUM(H311:H313)-0.01</f>
        <v>2906.4566999999997</v>
      </c>
      <c r="I310" s="7"/>
      <c r="J310" s="7"/>
      <c r="K310" s="7"/>
      <c r="L310" s="7"/>
    </row>
    <row r="311" spans="1:12" ht="49.95" customHeight="1">
      <c r="A311" s="17" t="s">
        <v>378</v>
      </c>
      <c r="B311" s="55">
        <v>103946</v>
      </c>
      <c r="C311" s="34" t="s">
        <v>580</v>
      </c>
      <c r="D311" s="56" t="s">
        <v>37</v>
      </c>
      <c r="E311" s="38" t="s">
        <v>63</v>
      </c>
      <c r="F311" s="39">
        <v>25.69</v>
      </c>
      <c r="G311" s="60">
        <v>23.7</v>
      </c>
      <c r="H311" s="32">
        <f>F311*G311</f>
        <v>608.85300000000007</v>
      </c>
      <c r="I311" s="10"/>
      <c r="J311" s="11"/>
      <c r="K311" s="12"/>
      <c r="L311" s="13"/>
    </row>
    <row r="312" spans="1:12" ht="49.95" customHeight="1">
      <c r="A312" s="17" t="s">
        <v>379</v>
      </c>
      <c r="B312" s="57">
        <v>105521</v>
      </c>
      <c r="C312" s="58" t="s">
        <v>581</v>
      </c>
      <c r="D312" s="59" t="s">
        <v>37</v>
      </c>
      <c r="E312" s="28" t="s">
        <v>63</v>
      </c>
      <c r="F312" s="27">
        <v>25.69</v>
      </c>
      <c r="G312" s="73">
        <v>3.73</v>
      </c>
      <c r="H312" s="32">
        <f t="shared" ref="H312:H313" si="39">F312*G312</f>
        <v>95.823700000000002</v>
      </c>
      <c r="I312" s="10"/>
      <c r="J312" s="10"/>
      <c r="K312" s="10"/>
      <c r="L312" s="10"/>
    </row>
    <row r="313" spans="1:12" ht="49.95" customHeight="1">
      <c r="A313" s="17" t="s">
        <v>380</v>
      </c>
      <c r="B313" s="33">
        <v>25</v>
      </c>
      <c r="C313" s="34" t="s">
        <v>582</v>
      </c>
      <c r="D313" s="86" t="s">
        <v>64</v>
      </c>
      <c r="E313" s="86" t="s">
        <v>5</v>
      </c>
      <c r="F313" s="31">
        <v>3</v>
      </c>
      <c r="G313" s="32">
        <v>733.93</v>
      </c>
      <c r="H313" s="32">
        <f t="shared" si="39"/>
        <v>2201.79</v>
      </c>
      <c r="I313" s="10"/>
      <c r="J313" s="10"/>
      <c r="K313" s="10"/>
      <c r="L313" s="10"/>
    </row>
    <row r="314" spans="1:12" ht="20.100000000000001" customHeight="1">
      <c r="A314" s="85" t="s">
        <v>35</v>
      </c>
      <c r="B314" s="175" t="s">
        <v>381</v>
      </c>
      <c r="C314" s="176"/>
      <c r="D314" s="176"/>
      <c r="E314" s="176"/>
      <c r="F314" s="176"/>
      <c r="G314" s="177"/>
      <c r="H314" s="8">
        <f>SUM(H315:H323)</f>
        <v>7722.7457999999997</v>
      </c>
      <c r="I314" s="7"/>
      <c r="J314" s="7"/>
      <c r="K314" s="7"/>
      <c r="L314" s="7"/>
    </row>
    <row r="315" spans="1:12" ht="49.95" customHeight="1">
      <c r="A315" s="17" t="s">
        <v>382</v>
      </c>
      <c r="B315" s="55">
        <v>93358</v>
      </c>
      <c r="C315" s="34" t="s">
        <v>410</v>
      </c>
      <c r="D315" s="56" t="s">
        <v>37</v>
      </c>
      <c r="E315" s="38" t="s">
        <v>65</v>
      </c>
      <c r="F315" s="39">
        <v>1.92</v>
      </c>
      <c r="G315" s="60">
        <v>96.82</v>
      </c>
      <c r="H315" s="32">
        <f>F315*G315</f>
        <v>185.89439999999999</v>
      </c>
      <c r="I315" s="10"/>
      <c r="J315" s="11"/>
      <c r="K315" s="12"/>
      <c r="L315" s="13"/>
    </row>
    <row r="316" spans="1:12" ht="49.95" customHeight="1">
      <c r="A316" s="17" t="s">
        <v>383</v>
      </c>
      <c r="B316" s="57">
        <v>101616</v>
      </c>
      <c r="C316" s="58" t="s">
        <v>413</v>
      </c>
      <c r="D316" s="59" t="s">
        <v>37</v>
      </c>
      <c r="E316" s="28" t="s">
        <v>63</v>
      </c>
      <c r="F316" s="27">
        <v>6.4</v>
      </c>
      <c r="G316" s="73">
        <v>7.07</v>
      </c>
      <c r="H316" s="32">
        <f>F316*G316-0.01</f>
        <v>45.238000000000007</v>
      </c>
      <c r="I316" s="10"/>
      <c r="J316" s="10"/>
      <c r="K316" s="10"/>
      <c r="L316" s="10"/>
    </row>
    <row r="317" spans="1:12" ht="49.95" customHeight="1">
      <c r="A317" s="17" t="s">
        <v>384</v>
      </c>
      <c r="B317" s="33">
        <v>96619</v>
      </c>
      <c r="C317" s="34" t="s">
        <v>412</v>
      </c>
      <c r="D317" s="86" t="s">
        <v>37</v>
      </c>
      <c r="E317" s="86" t="s">
        <v>63</v>
      </c>
      <c r="F317" s="31">
        <v>6.4</v>
      </c>
      <c r="G317" s="32">
        <v>44.9</v>
      </c>
      <c r="H317" s="32">
        <f t="shared" ref="H317:H321" si="40">F317*G317</f>
        <v>287.36</v>
      </c>
      <c r="I317" s="10"/>
      <c r="J317" s="10"/>
      <c r="K317" s="10"/>
      <c r="L317" s="10"/>
    </row>
    <row r="318" spans="1:12" ht="49.95" customHeight="1">
      <c r="A318" s="17" t="s">
        <v>385</v>
      </c>
      <c r="B318" s="33">
        <v>8</v>
      </c>
      <c r="C318" s="34" t="s">
        <v>583</v>
      </c>
      <c r="D318" s="86" t="s">
        <v>64</v>
      </c>
      <c r="E318" s="86" t="s">
        <v>63</v>
      </c>
      <c r="F318" s="31">
        <v>1.92</v>
      </c>
      <c r="G318" s="32">
        <v>120.42</v>
      </c>
      <c r="H318" s="32">
        <f>F318*G318-0.01</f>
        <v>231.19640000000001</v>
      </c>
      <c r="I318" s="10"/>
      <c r="J318" s="10"/>
      <c r="K318" s="10"/>
      <c r="L318" s="10"/>
    </row>
    <row r="319" spans="1:12" ht="49.95" customHeight="1">
      <c r="A319" s="17" t="s">
        <v>386</v>
      </c>
      <c r="B319" s="33">
        <v>87878</v>
      </c>
      <c r="C319" s="34" t="s">
        <v>584</v>
      </c>
      <c r="D319" s="86" t="s">
        <v>37</v>
      </c>
      <c r="E319" s="86" t="s">
        <v>63</v>
      </c>
      <c r="F319" s="31">
        <v>14.4</v>
      </c>
      <c r="G319" s="32">
        <v>5.51</v>
      </c>
      <c r="H319" s="32">
        <f t="shared" si="40"/>
        <v>79.343999999999994</v>
      </c>
      <c r="I319" s="10"/>
      <c r="J319" s="10"/>
      <c r="K319" s="10"/>
      <c r="L319" s="10"/>
    </row>
    <row r="320" spans="1:12" ht="49.95" customHeight="1">
      <c r="A320" s="17" t="s">
        <v>387</v>
      </c>
      <c r="B320" s="33">
        <v>87528</v>
      </c>
      <c r="C320" s="34" t="s">
        <v>585</v>
      </c>
      <c r="D320" s="86" t="s">
        <v>37</v>
      </c>
      <c r="E320" s="86" t="s">
        <v>63</v>
      </c>
      <c r="F320" s="31">
        <v>14.4</v>
      </c>
      <c r="G320" s="32">
        <v>48.77</v>
      </c>
      <c r="H320" s="32">
        <f>F320*G320-0.01</f>
        <v>702.27800000000002</v>
      </c>
      <c r="I320" s="10"/>
      <c r="J320" s="10"/>
      <c r="K320" s="10"/>
      <c r="L320" s="10"/>
    </row>
    <row r="321" spans="1:12" ht="49.95" customHeight="1">
      <c r="A321" s="17" t="s">
        <v>388</v>
      </c>
      <c r="B321" s="33">
        <v>95305</v>
      </c>
      <c r="C321" s="34" t="s">
        <v>586</v>
      </c>
      <c r="D321" s="86" t="s">
        <v>37</v>
      </c>
      <c r="E321" s="86" t="s">
        <v>63</v>
      </c>
      <c r="F321" s="31">
        <v>14.4</v>
      </c>
      <c r="G321" s="32">
        <v>14.88</v>
      </c>
      <c r="H321" s="32">
        <f t="shared" si="40"/>
        <v>214.27200000000002</v>
      </c>
      <c r="I321" s="10"/>
      <c r="J321" s="10"/>
      <c r="K321" s="10"/>
      <c r="L321" s="10"/>
    </row>
    <row r="322" spans="1:12" ht="49.95" customHeight="1">
      <c r="A322" s="17" t="s">
        <v>389</v>
      </c>
      <c r="B322" s="33">
        <v>8</v>
      </c>
      <c r="C322" s="34" t="s">
        <v>583</v>
      </c>
      <c r="D322" s="86" t="s">
        <v>64</v>
      </c>
      <c r="E322" s="86" t="s">
        <v>63</v>
      </c>
      <c r="F322" s="31">
        <v>14.4</v>
      </c>
      <c r="G322" s="32">
        <v>120.42</v>
      </c>
      <c r="H322" s="32">
        <f>F322*G322-0.01</f>
        <v>1734.038</v>
      </c>
      <c r="I322" s="10"/>
      <c r="J322" s="10"/>
      <c r="K322" s="10"/>
      <c r="L322" s="10"/>
    </row>
    <row r="323" spans="1:12" ht="49.95" customHeight="1">
      <c r="A323" s="17" t="s">
        <v>390</v>
      </c>
      <c r="B323" s="55">
        <v>7</v>
      </c>
      <c r="C323" s="34" t="s">
        <v>587</v>
      </c>
      <c r="D323" s="56" t="s">
        <v>64</v>
      </c>
      <c r="E323" s="38" t="s">
        <v>63</v>
      </c>
      <c r="F323" s="39">
        <v>6.5</v>
      </c>
      <c r="G323" s="60">
        <v>652.79</v>
      </c>
      <c r="H323" s="32">
        <f>F323*G323-0.01</f>
        <v>4243.125</v>
      </c>
      <c r="I323" s="10"/>
      <c r="J323" s="11"/>
      <c r="K323" s="12"/>
      <c r="L323" s="13"/>
    </row>
    <row r="324" spans="1:12" ht="20.100000000000001" customHeight="1">
      <c r="A324" s="85">
        <v>6</v>
      </c>
      <c r="B324" s="175" t="s">
        <v>391</v>
      </c>
      <c r="C324" s="176"/>
      <c r="D324" s="176"/>
      <c r="E324" s="176"/>
      <c r="F324" s="176"/>
      <c r="G324" s="177"/>
      <c r="H324" s="8">
        <f>SUM(H325:H343)</f>
        <v>46833.661200000002</v>
      </c>
      <c r="I324" s="7"/>
      <c r="J324" s="7"/>
      <c r="K324" s="7"/>
      <c r="L324" s="7"/>
    </row>
    <row r="325" spans="1:12" ht="49.95" customHeight="1">
      <c r="A325" s="17" t="s">
        <v>24</v>
      </c>
      <c r="B325" s="55">
        <v>93358</v>
      </c>
      <c r="C325" s="34" t="s">
        <v>410</v>
      </c>
      <c r="D325" s="56" t="s">
        <v>37</v>
      </c>
      <c r="E325" s="38" t="s">
        <v>65</v>
      </c>
      <c r="F325" s="39">
        <v>13.41</v>
      </c>
      <c r="G325" s="60">
        <v>96.82</v>
      </c>
      <c r="H325" s="32">
        <f>F325*G325-0.01</f>
        <v>1298.3462</v>
      </c>
      <c r="I325" s="10"/>
      <c r="J325" s="11"/>
      <c r="K325" s="12"/>
      <c r="L325" s="13"/>
    </row>
    <row r="326" spans="1:12" ht="49.95" customHeight="1">
      <c r="A326" s="17" t="s">
        <v>36</v>
      </c>
      <c r="B326" s="57">
        <v>97882</v>
      </c>
      <c r="C326" s="58" t="s">
        <v>588</v>
      </c>
      <c r="D326" s="59" t="s">
        <v>37</v>
      </c>
      <c r="E326" s="28" t="s">
        <v>66</v>
      </c>
      <c r="F326" s="27">
        <v>15</v>
      </c>
      <c r="G326" s="73">
        <v>270.14999999999998</v>
      </c>
      <c r="H326" s="32">
        <f t="shared" ref="H326:H343" si="41">F326*G326</f>
        <v>4052.2499999999995</v>
      </c>
      <c r="I326" s="10"/>
      <c r="J326" s="10"/>
      <c r="K326" s="10"/>
      <c r="L326" s="10"/>
    </row>
    <row r="327" spans="1:12" ht="49.95" customHeight="1">
      <c r="A327" s="17" t="s">
        <v>392</v>
      </c>
      <c r="B327" s="33">
        <v>20</v>
      </c>
      <c r="C327" s="34" t="s">
        <v>589</v>
      </c>
      <c r="D327" s="86" t="s">
        <v>64</v>
      </c>
      <c r="E327" s="86" t="s">
        <v>5</v>
      </c>
      <c r="F327" s="31">
        <v>1</v>
      </c>
      <c r="G327" s="32">
        <v>8.85</v>
      </c>
      <c r="H327" s="32">
        <f t="shared" si="41"/>
        <v>8.85</v>
      </c>
      <c r="I327" s="10"/>
      <c r="J327" s="10"/>
      <c r="K327" s="10"/>
      <c r="L327" s="10"/>
    </row>
    <row r="328" spans="1:12" ht="49.95" customHeight="1">
      <c r="A328" s="17" t="s">
        <v>393</v>
      </c>
      <c r="B328" s="33">
        <v>91914</v>
      </c>
      <c r="C328" s="34" t="s">
        <v>471</v>
      </c>
      <c r="D328" s="86" t="s">
        <v>37</v>
      </c>
      <c r="E328" s="86" t="s">
        <v>66</v>
      </c>
      <c r="F328" s="31">
        <v>3</v>
      </c>
      <c r="G328" s="32">
        <v>18.579999999999998</v>
      </c>
      <c r="H328" s="32">
        <f t="shared" si="41"/>
        <v>55.739999999999995</v>
      </c>
      <c r="I328" s="10"/>
      <c r="J328" s="10"/>
      <c r="K328" s="10"/>
      <c r="L328" s="10"/>
    </row>
    <row r="329" spans="1:12" ht="49.95" customHeight="1">
      <c r="A329" s="17" t="s">
        <v>394</v>
      </c>
      <c r="B329" s="33">
        <v>91902</v>
      </c>
      <c r="C329" s="34" t="s">
        <v>590</v>
      </c>
      <c r="D329" s="86" t="s">
        <v>37</v>
      </c>
      <c r="E329" s="86" t="s">
        <v>66</v>
      </c>
      <c r="F329" s="31">
        <v>3</v>
      </c>
      <c r="G329" s="32">
        <v>11.01</v>
      </c>
      <c r="H329" s="32">
        <f t="shared" si="41"/>
        <v>33.03</v>
      </c>
      <c r="I329" s="10"/>
      <c r="J329" s="10"/>
      <c r="K329" s="10"/>
      <c r="L329" s="10"/>
    </row>
    <row r="330" spans="1:12" ht="49.95" customHeight="1">
      <c r="A330" s="17" t="s">
        <v>395</v>
      </c>
      <c r="B330" s="33">
        <v>91884</v>
      </c>
      <c r="C330" s="34" t="s">
        <v>472</v>
      </c>
      <c r="D330" s="86" t="s">
        <v>37</v>
      </c>
      <c r="E330" s="86" t="s">
        <v>66</v>
      </c>
      <c r="F330" s="31">
        <v>6</v>
      </c>
      <c r="G330" s="32">
        <v>11.97</v>
      </c>
      <c r="H330" s="32">
        <f t="shared" si="41"/>
        <v>71.820000000000007</v>
      </c>
      <c r="I330" s="10"/>
      <c r="J330" s="10"/>
      <c r="K330" s="10"/>
      <c r="L330" s="10"/>
    </row>
    <row r="331" spans="1:12" ht="49.95" customHeight="1">
      <c r="A331" s="17" t="s">
        <v>396</v>
      </c>
      <c r="B331" s="33">
        <v>93013</v>
      </c>
      <c r="C331" s="34" t="s">
        <v>591</v>
      </c>
      <c r="D331" s="86" t="s">
        <v>37</v>
      </c>
      <c r="E331" s="86" t="s">
        <v>66</v>
      </c>
      <c r="F331" s="31">
        <v>8</v>
      </c>
      <c r="G331" s="32">
        <v>15.07</v>
      </c>
      <c r="H331" s="32">
        <f t="shared" si="41"/>
        <v>120.56</v>
      </c>
      <c r="I331" s="10"/>
      <c r="J331" s="10"/>
      <c r="K331" s="10"/>
      <c r="L331" s="10"/>
    </row>
    <row r="332" spans="1:12" ht="49.95" customHeight="1">
      <c r="A332" s="17" t="s">
        <v>397</v>
      </c>
      <c r="B332" s="33">
        <v>39470</v>
      </c>
      <c r="C332" s="34" t="s">
        <v>473</v>
      </c>
      <c r="D332" s="86" t="s">
        <v>37</v>
      </c>
      <c r="E332" s="86" t="s">
        <v>66</v>
      </c>
      <c r="F332" s="31">
        <v>2</v>
      </c>
      <c r="G332" s="32">
        <v>89.64</v>
      </c>
      <c r="H332" s="32">
        <f t="shared" si="41"/>
        <v>179.28</v>
      </c>
      <c r="I332" s="10"/>
      <c r="J332" s="10"/>
      <c r="K332" s="10"/>
      <c r="L332" s="10"/>
    </row>
    <row r="333" spans="1:12" ht="49.95" customHeight="1">
      <c r="A333" s="17" t="s">
        <v>398</v>
      </c>
      <c r="B333" s="55">
        <v>93656</v>
      </c>
      <c r="C333" s="34" t="s">
        <v>592</v>
      </c>
      <c r="D333" s="56" t="s">
        <v>37</v>
      </c>
      <c r="E333" s="38" t="s">
        <v>66</v>
      </c>
      <c r="F333" s="39">
        <v>2</v>
      </c>
      <c r="G333" s="60">
        <v>14.52</v>
      </c>
      <c r="H333" s="32">
        <f t="shared" si="41"/>
        <v>29.04</v>
      </c>
      <c r="I333" s="10"/>
      <c r="J333" s="11"/>
      <c r="K333" s="12"/>
      <c r="L333" s="13"/>
    </row>
    <row r="334" spans="1:12" ht="49.95" customHeight="1">
      <c r="A334" s="17" t="s">
        <v>399</v>
      </c>
      <c r="B334" s="57">
        <v>93657</v>
      </c>
      <c r="C334" s="58" t="s">
        <v>477</v>
      </c>
      <c r="D334" s="59" t="s">
        <v>37</v>
      </c>
      <c r="E334" s="28" t="s">
        <v>66</v>
      </c>
      <c r="F334" s="27">
        <v>1</v>
      </c>
      <c r="G334" s="73">
        <v>16.21</v>
      </c>
      <c r="H334" s="32">
        <f t="shared" si="41"/>
        <v>16.21</v>
      </c>
      <c r="I334" s="10"/>
      <c r="J334" s="10"/>
      <c r="K334" s="10"/>
      <c r="L334" s="10"/>
    </row>
    <row r="335" spans="1:12" ht="49.95" customHeight="1">
      <c r="A335" s="17" t="s">
        <v>400</v>
      </c>
      <c r="B335" s="55">
        <v>39396</v>
      </c>
      <c r="C335" s="34" t="s">
        <v>593</v>
      </c>
      <c r="D335" s="56" t="s">
        <v>37</v>
      </c>
      <c r="E335" s="38" t="s">
        <v>66</v>
      </c>
      <c r="F335" s="39">
        <v>2</v>
      </c>
      <c r="G335" s="60">
        <v>80.150000000000006</v>
      </c>
      <c r="H335" s="32">
        <f t="shared" si="41"/>
        <v>160.30000000000001</v>
      </c>
      <c r="I335" s="10"/>
      <c r="J335" s="11"/>
      <c r="K335" s="12"/>
      <c r="L335" s="13"/>
    </row>
    <row r="336" spans="1:12" ht="49.95" customHeight="1">
      <c r="A336" s="17" t="s">
        <v>401</v>
      </c>
      <c r="B336" s="57">
        <v>21</v>
      </c>
      <c r="C336" s="58" t="s">
        <v>594</v>
      </c>
      <c r="D336" s="59" t="s">
        <v>64</v>
      </c>
      <c r="E336" s="28" t="s">
        <v>5</v>
      </c>
      <c r="F336" s="27">
        <v>1</v>
      </c>
      <c r="G336" s="73">
        <v>7994.67</v>
      </c>
      <c r="H336" s="32">
        <f t="shared" si="41"/>
        <v>7994.67</v>
      </c>
      <c r="I336" s="10"/>
      <c r="J336" s="10"/>
      <c r="K336" s="10"/>
      <c r="L336" s="10"/>
    </row>
    <row r="337" spans="1:12" ht="49.95" customHeight="1">
      <c r="A337" s="17" t="s">
        <v>402</v>
      </c>
      <c r="B337" s="33">
        <v>101876</v>
      </c>
      <c r="C337" s="34" t="s">
        <v>548</v>
      </c>
      <c r="D337" s="86" t="s">
        <v>37</v>
      </c>
      <c r="E337" s="86" t="s">
        <v>66</v>
      </c>
      <c r="F337" s="31">
        <v>1</v>
      </c>
      <c r="G337" s="32">
        <v>119.29</v>
      </c>
      <c r="H337" s="32">
        <f t="shared" si="41"/>
        <v>119.29</v>
      </c>
      <c r="I337" s="10"/>
      <c r="J337" s="10"/>
      <c r="K337" s="10"/>
      <c r="L337" s="10"/>
    </row>
    <row r="338" spans="1:12" ht="49.95" customHeight="1">
      <c r="A338" s="17" t="s">
        <v>403</v>
      </c>
      <c r="B338" s="33">
        <v>97886</v>
      </c>
      <c r="C338" s="34" t="s">
        <v>595</v>
      </c>
      <c r="D338" s="86" t="s">
        <v>37</v>
      </c>
      <c r="E338" s="86" t="s">
        <v>66</v>
      </c>
      <c r="F338" s="31">
        <v>16</v>
      </c>
      <c r="G338" s="32">
        <v>182.85</v>
      </c>
      <c r="H338" s="32">
        <f t="shared" si="41"/>
        <v>2925.6</v>
      </c>
      <c r="I338" s="10"/>
      <c r="J338" s="10"/>
      <c r="K338" s="10"/>
      <c r="L338" s="10"/>
    </row>
    <row r="339" spans="1:12" ht="49.95" customHeight="1">
      <c r="A339" s="17" t="s">
        <v>404</v>
      </c>
      <c r="B339" s="33">
        <v>17</v>
      </c>
      <c r="C339" s="34" t="s">
        <v>482</v>
      </c>
      <c r="D339" s="86" t="s">
        <v>64</v>
      </c>
      <c r="E339" s="86" t="s">
        <v>5</v>
      </c>
      <c r="F339" s="31">
        <v>16</v>
      </c>
      <c r="G339" s="32">
        <v>71.3</v>
      </c>
      <c r="H339" s="32">
        <f t="shared" si="41"/>
        <v>1140.8</v>
      </c>
      <c r="I339" s="10"/>
      <c r="J339" s="10"/>
      <c r="K339" s="10"/>
      <c r="L339" s="10"/>
    </row>
    <row r="340" spans="1:12" ht="49.95" customHeight="1">
      <c r="A340" s="17" t="s">
        <v>405</v>
      </c>
      <c r="B340" s="33">
        <v>96985</v>
      </c>
      <c r="C340" s="34" t="s">
        <v>481</v>
      </c>
      <c r="D340" s="86" t="s">
        <v>37</v>
      </c>
      <c r="E340" s="86" t="s">
        <v>66</v>
      </c>
      <c r="F340" s="31">
        <v>16</v>
      </c>
      <c r="G340" s="32">
        <v>99.89</v>
      </c>
      <c r="H340" s="32">
        <f t="shared" si="41"/>
        <v>1598.24</v>
      </c>
      <c r="I340" s="10"/>
      <c r="J340" s="10"/>
      <c r="K340" s="10"/>
      <c r="L340" s="10"/>
    </row>
    <row r="341" spans="1:12" ht="49.95" customHeight="1">
      <c r="A341" s="17" t="s">
        <v>406</v>
      </c>
      <c r="B341" s="33">
        <v>91929</v>
      </c>
      <c r="C341" s="34" t="s">
        <v>596</v>
      </c>
      <c r="D341" s="86" t="s">
        <v>37</v>
      </c>
      <c r="E341" s="86" t="s">
        <v>38</v>
      </c>
      <c r="F341" s="31">
        <v>569.70000000000005</v>
      </c>
      <c r="G341" s="32">
        <v>9.16</v>
      </c>
      <c r="H341" s="32">
        <f t="shared" si="41"/>
        <v>5218.4520000000002</v>
      </c>
      <c r="I341" s="10"/>
      <c r="J341" s="10"/>
      <c r="K341" s="10"/>
      <c r="L341" s="10"/>
    </row>
    <row r="342" spans="1:12" ht="49.95" customHeight="1">
      <c r="A342" s="17" t="s">
        <v>407</v>
      </c>
      <c r="B342" s="33">
        <v>91931</v>
      </c>
      <c r="C342" s="34" t="s">
        <v>485</v>
      </c>
      <c r="D342" s="86" t="s">
        <v>37</v>
      </c>
      <c r="E342" s="86" t="s">
        <v>38</v>
      </c>
      <c r="F342" s="31">
        <v>24.3</v>
      </c>
      <c r="G342" s="32">
        <v>13.01</v>
      </c>
      <c r="H342" s="32">
        <f t="shared" si="41"/>
        <v>316.14300000000003</v>
      </c>
      <c r="I342" s="10"/>
      <c r="J342" s="10"/>
      <c r="K342" s="10"/>
      <c r="L342" s="10"/>
    </row>
    <row r="343" spans="1:12" ht="49.95" customHeight="1">
      <c r="A343" s="17" t="s">
        <v>408</v>
      </c>
      <c r="B343" s="55">
        <v>29</v>
      </c>
      <c r="C343" s="34" t="s">
        <v>597</v>
      </c>
      <c r="D343" s="56" t="s">
        <v>64</v>
      </c>
      <c r="E343" s="38" t="s">
        <v>5</v>
      </c>
      <c r="F343" s="39">
        <v>16</v>
      </c>
      <c r="G343" s="60">
        <v>1343.44</v>
      </c>
      <c r="H343" s="32">
        <f t="shared" si="41"/>
        <v>21495.040000000001</v>
      </c>
      <c r="I343" s="10"/>
      <c r="J343" s="11"/>
      <c r="K343" s="12"/>
      <c r="L343" s="13"/>
    </row>
    <row r="344" spans="1:12" ht="21.75" customHeight="1">
      <c r="A344" s="206" t="s">
        <v>25</v>
      </c>
      <c r="B344" s="206"/>
      <c r="C344" s="206"/>
      <c r="D344" s="206"/>
      <c r="E344" s="206"/>
      <c r="F344" s="206"/>
      <c r="G344" s="207"/>
      <c r="H344" s="62">
        <v>69696.92</v>
      </c>
      <c r="I344" s="7"/>
      <c r="J344" s="7"/>
      <c r="K344" s="7"/>
      <c r="L344" s="7"/>
    </row>
    <row r="345" spans="1:12" ht="20.25" customHeight="1">
      <c r="A345" s="204" t="s">
        <v>26</v>
      </c>
      <c r="B345" s="204"/>
      <c r="C345" s="204"/>
      <c r="D345" s="204"/>
      <c r="E345" s="204"/>
      <c r="F345" s="204"/>
      <c r="G345" s="205"/>
      <c r="H345" s="63">
        <v>308904.31</v>
      </c>
      <c r="I345" s="7"/>
      <c r="J345" s="7"/>
      <c r="K345" s="7"/>
      <c r="L345" s="7"/>
    </row>
    <row r="346" spans="1:12" ht="31.5" customHeight="1">
      <c r="A346" s="204" t="s">
        <v>27</v>
      </c>
      <c r="B346" s="204"/>
      <c r="C346" s="204"/>
      <c r="D346" s="204"/>
      <c r="E346" s="204"/>
      <c r="F346" s="204"/>
      <c r="G346" s="205"/>
      <c r="H346" s="9">
        <f>SUM(H344:H345)</f>
        <v>378601.23</v>
      </c>
      <c r="I346" s="21"/>
      <c r="J346" s="23">
        <f>L346/$H$346</f>
        <v>0.26833860788038122</v>
      </c>
      <c r="K346" s="24" t="s">
        <v>28</v>
      </c>
      <c r="L346" s="22">
        <f>SUM(L7:L343)</f>
        <v>101593.32700000002</v>
      </c>
    </row>
    <row r="347" spans="1:12" ht="60" customHeight="1">
      <c r="A347" s="195"/>
      <c r="B347" s="196"/>
      <c r="C347" s="197"/>
      <c r="D347" s="195" t="s">
        <v>638</v>
      </c>
      <c r="E347" s="196"/>
      <c r="F347" s="196"/>
      <c r="G347" s="196"/>
      <c r="H347" s="196"/>
      <c r="I347" s="197"/>
      <c r="J347" s="194" t="s">
        <v>637</v>
      </c>
      <c r="K347" s="194"/>
      <c r="L347" s="194"/>
    </row>
    <row r="348" spans="1:12" ht="60" customHeight="1">
      <c r="A348" s="198"/>
      <c r="B348" s="199"/>
      <c r="C348" s="200"/>
      <c r="D348" s="198"/>
      <c r="E348" s="199"/>
      <c r="F348" s="199"/>
      <c r="G348" s="199"/>
      <c r="H348" s="199"/>
      <c r="I348" s="200"/>
      <c r="J348" s="194"/>
      <c r="K348" s="194"/>
      <c r="L348" s="194"/>
    </row>
    <row r="349" spans="1:12" ht="70.05" customHeight="1">
      <c r="A349" s="198"/>
      <c r="B349" s="199"/>
      <c r="C349" s="200"/>
      <c r="D349" s="198"/>
      <c r="E349" s="199"/>
      <c r="F349" s="199"/>
      <c r="G349" s="199"/>
      <c r="H349" s="199"/>
      <c r="I349" s="200"/>
      <c r="J349" s="194"/>
      <c r="K349" s="194"/>
      <c r="L349" s="194"/>
    </row>
    <row r="350" spans="1:12">
      <c r="A350" s="201"/>
      <c r="B350" s="202"/>
      <c r="C350" s="203"/>
      <c r="D350" s="201"/>
      <c r="E350" s="202"/>
      <c r="F350" s="202"/>
      <c r="G350" s="202"/>
      <c r="H350" s="202"/>
      <c r="I350" s="203"/>
      <c r="J350" s="194"/>
      <c r="K350" s="194"/>
      <c r="L350" s="194"/>
    </row>
    <row r="352" spans="1:12">
      <c r="K352" s="83"/>
    </row>
    <row r="353" spans="3:10">
      <c r="C353" s="18"/>
      <c r="E353" s="18"/>
      <c r="H353" s="19"/>
      <c r="J353" s="18"/>
    </row>
    <row r="355" spans="3:10">
      <c r="H355" s="19"/>
    </row>
    <row r="356" spans="3:10">
      <c r="H356" s="20"/>
    </row>
    <row r="357" spans="3:10">
      <c r="H357" s="19"/>
    </row>
    <row r="358" spans="3:10">
      <c r="H358" s="19"/>
    </row>
    <row r="359" spans="3:10">
      <c r="H359" s="19"/>
    </row>
    <row r="360" spans="3:10">
      <c r="H360" s="19"/>
    </row>
    <row r="361" spans="3:10">
      <c r="H361" s="19"/>
    </row>
    <row r="362" spans="3:10">
      <c r="H362" s="64"/>
    </row>
  </sheetData>
  <mergeCells count="60">
    <mergeCell ref="J347:L350"/>
    <mergeCell ref="B216:G216"/>
    <mergeCell ref="A347:C350"/>
    <mergeCell ref="D347:I350"/>
    <mergeCell ref="A345:G345"/>
    <mergeCell ref="A346:G346"/>
    <mergeCell ref="A344:G344"/>
    <mergeCell ref="B237:G237"/>
    <mergeCell ref="J6:L6"/>
    <mergeCell ref="J1:L2"/>
    <mergeCell ref="J4:L4"/>
    <mergeCell ref="J3:K3"/>
    <mergeCell ref="E1:F1"/>
    <mergeCell ref="G1:H1"/>
    <mergeCell ref="E3:I3"/>
    <mergeCell ref="A4:H4"/>
    <mergeCell ref="B6:G6"/>
    <mergeCell ref="A2:D2"/>
    <mergeCell ref="E2:F2"/>
    <mergeCell ref="G2:H2"/>
    <mergeCell ref="B1:C1"/>
    <mergeCell ref="B169:G169"/>
    <mergeCell ref="B137:G137"/>
    <mergeCell ref="B142:G142"/>
    <mergeCell ref="B27:G27"/>
    <mergeCell ref="B130:G130"/>
    <mergeCell ref="B42:G42"/>
    <mergeCell ref="B11:G11"/>
    <mergeCell ref="A3:D3"/>
    <mergeCell ref="B10:G10"/>
    <mergeCell ref="B181:G181"/>
    <mergeCell ref="B16:G16"/>
    <mergeCell ref="B38:G38"/>
    <mergeCell ref="B13:G13"/>
    <mergeCell ref="B52:G52"/>
    <mergeCell ref="B59:G59"/>
    <mergeCell ref="B60:G60"/>
    <mergeCell ref="B141:G141"/>
    <mergeCell ref="B144:G144"/>
    <mergeCell ref="B147:G147"/>
    <mergeCell ref="B158:G158"/>
    <mergeCell ref="B173:G173"/>
    <mergeCell ref="B55:G55"/>
    <mergeCell ref="B86:G86"/>
    <mergeCell ref="B108:G108"/>
    <mergeCell ref="B186:G186"/>
    <mergeCell ref="B190:G190"/>
    <mergeCell ref="B256:G256"/>
    <mergeCell ref="B324:G324"/>
    <mergeCell ref="B314:G314"/>
    <mergeCell ref="B298:G298"/>
    <mergeCell ref="B299:G299"/>
    <mergeCell ref="B310:G310"/>
    <mergeCell ref="B262:G262"/>
    <mergeCell ref="B266:G266"/>
    <mergeCell ref="B267:G267"/>
    <mergeCell ref="B270:G270"/>
    <mergeCell ref="B281:G281"/>
    <mergeCell ref="B289:G289"/>
    <mergeCell ref="B191:G191"/>
  </mergeCells>
  <phoneticPr fontId="15" type="noConversion"/>
  <conditionalFormatting sqref="J43:J51 J53:J54 J62:J68 J91:J93 J109 J138:J140 J170:J172 J182:J185 J214:J215 J225:J231 J85 J107 J174:J175 J187:J189 J236">
    <cfRule type="cellIs" dxfId="1702" priority="482" operator="between">
      <formula>0.01</formula>
      <formula>1</formula>
    </cfRule>
  </conditionalFormatting>
  <conditionalFormatting sqref="K43:K51 K53:K54 K62:K68 K91:K93 K109 K138:K140 K170:K172 K182:K185 K214:K215 K225:K231 K85 K107 K174:K175 K187:K189 K236">
    <cfRule type="cellIs" dxfId="1701" priority="481" operator="between">
      <formula>1</formula>
      <formula>1000</formula>
    </cfRule>
  </conditionalFormatting>
  <conditionalFormatting sqref="L43:L51 L53:L54 L62:L68 L91:L93 L109 L138:L140 L170:L172 L182:L185 L214:L215 L225:L231 L85 L107 L174:L175 L187:L189 L236">
    <cfRule type="cellIs" dxfId="1700" priority="480" operator="between">
      <formula>1</formula>
      <formula>100000</formula>
    </cfRule>
  </conditionalFormatting>
  <conditionalFormatting sqref="L70:L84">
    <cfRule type="cellIs" dxfId="1699" priority="268" operator="between">
      <formula>1</formula>
      <formula>100000</formula>
    </cfRule>
  </conditionalFormatting>
  <conditionalFormatting sqref="J70:J84">
    <cfRule type="cellIs" dxfId="1698" priority="270" operator="between">
      <formula>0.01</formula>
      <formula>1</formula>
    </cfRule>
  </conditionalFormatting>
  <conditionalFormatting sqref="K70:K84">
    <cfRule type="cellIs" dxfId="1697" priority="269" operator="between">
      <formula>1</formula>
      <formula>1000</formula>
    </cfRule>
  </conditionalFormatting>
  <conditionalFormatting sqref="L87:L90">
    <cfRule type="cellIs" dxfId="1696" priority="265" operator="between">
      <formula>1</formula>
      <formula>100000</formula>
    </cfRule>
  </conditionalFormatting>
  <conditionalFormatting sqref="J87:J90">
    <cfRule type="cellIs" dxfId="1695" priority="267" operator="between">
      <formula>0.01</formula>
      <formula>1</formula>
    </cfRule>
  </conditionalFormatting>
  <conditionalFormatting sqref="K87:K90">
    <cfRule type="cellIs" dxfId="1694" priority="266" operator="between">
      <formula>1</formula>
      <formula>1000</formula>
    </cfRule>
  </conditionalFormatting>
  <conditionalFormatting sqref="L94:L97">
    <cfRule type="cellIs" dxfId="1693" priority="259" operator="between">
      <formula>1</formula>
      <formula>100000</formula>
    </cfRule>
  </conditionalFormatting>
  <conditionalFormatting sqref="J98:J100">
    <cfRule type="cellIs" dxfId="1692" priority="264" operator="between">
      <formula>0.01</formula>
      <formula>1</formula>
    </cfRule>
  </conditionalFormatting>
  <conditionalFormatting sqref="K98:K100">
    <cfRule type="cellIs" dxfId="1691" priority="263" operator="between">
      <formula>1</formula>
      <formula>1000</formula>
    </cfRule>
  </conditionalFormatting>
  <conditionalFormatting sqref="L98:L100">
    <cfRule type="cellIs" dxfId="1690" priority="262" operator="between">
      <formula>1</formula>
      <formula>100000</formula>
    </cfRule>
  </conditionalFormatting>
  <conditionalFormatting sqref="L102:L105">
    <cfRule type="cellIs" dxfId="1689" priority="250" operator="between">
      <formula>1</formula>
      <formula>100000</formula>
    </cfRule>
  </conditionalFormatting>
  <conditionalFormatting sqref="J94:J97">
    <cfRule type="cellIs" dxfId="1688" priority="261" operator="between">
      <formula>0.01</formula>
      <formula>1</formula>
    </cfRule>
  </conditionalFormatting>
  <conditionalFormatting sqref="K94:K97">
    <cfRule type="cellIs" dxfId="1687" priority="260" operator="between">
      <formula>1</formula>
      <formula>1000</formula>
    </cfRule>
  </conditionalFormatting>
  <conditionalFormatting sqref="J101">
    <cfRule type="cellIs" dxfId="1686" priority="258" operator="between">
      <formula>0.01</formula>
      <formula>1</formula>
    </cfRule>
  </conditionalFormatting>
  <conditionalFormatting sqref="K101">
    <cfRule type="cellIs" dxfId="1685" priority="257" operator="between">
      <formula>1</formula>
      <formula>1000</formula>
    </cfRule>
  </conditionalFormatting>
  <conditionalFormatting sqref="L101">
    <cfRule type="cellIs" dxfId="1684" priority="256" operator="between">
      <formula>1</formula>
      <formula>100000</formula>
    </cfRule>
  </conditionalFormatting>
  <conditionalFormatting sqref="L110">
    <cfRule type="cellIs" dxfId="1683" priority="247" operator="between">
      <formula>1</formula>
      <formula>100000</formula>
    </cfRule>
  </conditionalFormatting>
  <conditionalFormatting sqref="J106">
    <cfRule type="cellIs" dxfId="1682" priority="255" operator="between">
      <formula>0.01</formula>
      <formula>1</formula>
    </cfRule>
  </conditionalFormatting>
  <conditionalFormatting sqref="K106">
    <cfRule type="cellIs" dxfId="1681" priority="254" operator="between">
      <formula>1</formula>
      <formula>1000</formula>
    </cfRule>
  </conditionalFormatting>
  <conditionalFormatting sqref="L106">
    <cfRule type="cellIs" dxfId="1680" priority="253" operator="between">
      <formula>1</formula>
      <formula>100000</formula>
    </cfRule>
  </conditionalFormatting>
  <conditionalFormatting sqref="J102:J105">
    <cfRule type="cellIs" dxfId="1679" priority="252" operator="between">
      <formula>0.01</formula>
      <formula>1</formula>
    </cfRule>
  </conditionalFormatting>
  <conditionalFormatting sqref="K102:K105">
    <cfRule type="cellIs" dxfId="1678" priority="251" operator="between">
      <formula>1</formula>
      <formula>1000</formula>
    </cfRule>
  </conditionalFormatting>
  <conditionalFormatting sqref="J110">
    <cfRule type="cellIs" dxfId="1677" priority="249" operator="between">
      <formula>0.01</formula>
      <formula>1</formula>
    </cfRule>
  </conditionalFormatting>
  <conditionalFormatting sqref="K110">
    <cfRule type="cellIs" dxfId="1676" priority="248" operator="between">
      <formula>1</formula>
      <formula>1000</formula>
    </cfRule>
  </conditionalFormatting>
  <conditionalFormatting sqref="L112">
    <cfRule type="cellIs" dxfId="1675" priority="241" operator="between">
      <formula>1</formula>
      <formula>100000</formula>
    </cfRule>
  </conditionalFormatting>
  <conditionalFormatting sqref="J111">
    <cfRule type="cellIs" dxfId="1674" priority="246" operator="between">
      <formula>0.01</formula>
      <formula>1</formula>
    </cfRule>
  </conditionalFormatting>
  <conditionalFormatting sqref="K111">
    <cfRule type="cellIs" dxfId="1673" priority="245" operator="between">
      <formula>1</formula>
      <formula>1000</formula>
    </cfRule>
  </conditionalFormatting>
  <conditionalFormatting sqref="L111">
    <cfRule type="cellIs" dxfId="1672" priority="244" operator="between">
      <formula>1</formula>
      <formula>100000</formula>
    </cfRule>
  </conditionalFormatting>
  <conditionalFormatting sqref="L116">
    <cfRule type="cellIs" dxfId="1671" priority="229" operator="between">
      <formula>1</formula>
      <formula>100000</formula>
    </cfRule>
  </conditionalFormatting>
  <conditionalFormatting sqref="J112">
    <cfRule type="cellIs" dxfId="1670" priority="243" operator="between">
      <formula>0.01</formula>
      <formula>1</formula>
    </cfRule>
  </conditionalFormatting>
  <conditionalFormatting sqref="K112">
    <cfRule type="cellIs" dxfId="1669" priority="242" operator="between">
      <formula>1</formula>
      <formula>1000</formula>
    </cfRule>
  </conditionalFormatting>
  <conditionalFormatting sqref="J113">
    <cfRule type="cellIs" dxfId="1668" priority="240" operator="between">
      <formula>0.01</formula>
      <formula>1</formula>
    </cfRule>
  </conditionalFormatting>
  <conditionalFormatting sqref="K113">
    <cfRule type="cellIs" dxfId="1667" priority="239" operator="between">
      <formula>1</formula>
      <formula>1000</formula>
    </cfRule>
  </conditionalFormatting>
  <conditionalFormatting sqref="L113">
    <cfRule type="cellIs" dxfId="1666" priority="238" operator="between">
      <formula>1</formula>
      <formula>100000</formula>
    </cfRule>
  </conditionalFormatting>
  <conditionalFormatting sqref="L114">
    <cfRule type="cellIs" dxfId="1665" priority="235" operator="between">
      <formula>1</formula>
      <formula>100000</formula>
    </cfRule>
  </conditionalFormatting>
  <conditionalFormatting sqref="J114">
    <cfRule type="cellIs" dxfId="1664" priority="237" operator="between">
      <formula>0.01</formula>
      <formula>1</formula>
    </cfRule>
  </conditionalFormatting>
  <conditionalFormatting sqref="K114">
    <cfRule type="cellIs" dxfId="1663" priority="236" operator="between">
      <formula>1</formula>
      <formula>1000</formula>
    </cfRule>
  </conditionalFormatting>
  <conditionalFormatting sqref="L124">
    <cfRule type="cellIs" dxfId="1662" priority="205" operator="between">
      <formula>1</formula>
      <formula>100000</formula>
    </cfRule>
  </conditionalFormatting>
  <conditionalFormatting sqref="J115">
    <cfRule type="cellIs" dxfId="1661" priority="234" operator="between">
      <formula>0.01</formula>
      <formula>1</formula>
    </cfRule>
  </conditionalFormatting>
  <conditionalFormatting sqref="K115">
    <cfRule type="cellIs" dxfId="1660" priority="233" operator="between">
      <formula>1</formula>
      <formula>1000</formula>
    </cfRule>
  </conditionalFormatting>
  <conditionalFormatting sqref="L115">
    <cfRule type="cellIs" dxfId="1659" priority="232" operator="between">
      <formula>1</formula>
      <formula>100000</formula>
    </cfRule>
  </conditionalFormatting>
  <conditionalFormatting sqref="J116">
    <cfRule type="cellIs" dxfId="1658" priority="231" operator="between">
      <formula>0.01</formula>
      <formula>1</formula>
    </cfRule>
  </conditionalFormatting>
  <conditionalFormatting sqref="K116">
    <cfRule type="cellIs" dxfId="1657" priority="230" operator="between">
      <formula>1</formula>
      <formula>1000</formula>
    </cfRule>
  </conditionalFormatting>
  <conditionalFormatting sqref="J117">
    <cfRule type="cellIs" dxfId="1656" priority="228" operator="between">
      <formula>0.01</formula>
      <formula>1</formula>
    </cfRule>
  </conditionalFormatting>
  <conditionalFormatting sqref="K117">
    <cfRule type="cellIs" dxfId="1655" priority="227" operator="between">
      <formula>1</formula>
      <formula>1000</formula>
    </cfRule>
  </conditionalFormatting>
  <conditionalFormatting sqref="L117">
    <cfRule type="cellIs" dxfId="1654" priority="226" operator="between">
      <formula>1</formula>
      <formula>100000</formula>
    </cfRule>
  </conditionalFormatting>
  <conditionalFormatting sqref="L118">
    <cfRule type="cellIs" dxfId="1653" priority="223" operator="between">
      <formula>1</formula>
      <formula>100000</formula>
    </cfRule>
  </conditionalFormatting>
  <conditionalFormatting sqref="J118">
    <cfRule type="cellIs" dxfId="1652" priority="225" operator="between">
      <formula>0.01</formula>
      <formula>1</formula>
    </cfRule>
  </conditionalFormatting>
  <conditionalFormatting sqref="K118">
    <cfRule type="cellIs" dxfId="1651" priority="224" operator="between">
      <formula>1</formula>
      <formula>1000</formula>
    </cfRule>
  </conditionalFormatting>
  <conditionalFormatting sqref="L120">
    <cfRule type="cellIs" dxfId="1650" priority="217" operator="between">
      <formula>1</formula>
      <formula>100000</formula>
    </cfRule>
  </conditionalFormatting>
  <conditionalFormatting sqref="J119">
    <cfRule type="cellIs" dxfId="1649" priority="222" operator="between">
      <formula>0.01</formula>
      <formula>1</formula>
    </cfRule>
  </conditionalFormatting>
  <conditionalFormatting sqref="K119">
    <cfRule type="cellIs" dxfId="1648" priority="221" operator="between">
      <formula>1</formula>
      <formula>1000</formula>
    </cfRule>
  </conditionalFormatting>
  <conditionalFormatting sqref="L119">
    <cfRule type="cellIs" dxfId="1647" priority="220" operator="between">
      <formula>1</formula>
      <formula>100000</formula>
    </cfRule>
  </conditionalFormatting>
  <conditionalFormatting sqref="L136">
    <cfRule type="cellIs" dxfId="1646" priority="184" operator="between">
      <formula>1</formula>
      <formula>100000</formula>
    </cfRule>
  </conditionalFormatting>
  <conditionalFormatting sqref="J120">
    <cfRule type="cellIs" dxfId="1645" priority="219" operator="between">
      <formula>0.01</formula>
      <formula>1</formula>
    </cfRule>
  </conditionalFormatting>
  <conditionalFormatting sqref="K120">
    <cfRule type="cellIs" dxfId="1644" priority="218" operator="between">
      <formula>1</formula>
      <formula>1000</formula>
    </cfRule>
  </conditionalFormatting>
  <conditionalFormatting sqref="J121">
    <cfRule type="cellIs" dxfId="1643" priority="216" operator="between">
      <formula>0.01</formula>
      <formula>1</formula>
    </cfRule>
  </conditionalFormatting>
  <conditionalFormatting sqref="K121">
    <cfRule type="cellIs" dxfId="1642" priority="215" operator="between">
      <formula>1</formula>
      <formula>1000</formula>
    </cfRule>
  </conditionalFormatting>
  <conditionalFormatting sqref="L121">
    <cfRule type="cellIs" dxfId="1641" priority="214" operator="between">
      <formula>1</formula>
      <formula>100000</formula>
    </cfRule>
  </conditionalFormatting>
  <conditionalFormatting sqref="L122">
    <cfRule type="cellIs" dxfId="1640" priority="211" operator="between">
      <formula>1</formula>
      <formula>100000</formula>
    </cfRule>
  </conditionalFormatting>
  <conditionalFormatting sqref="J122">
    <cfRule type="cellIs" dxfId="1639" priority="213" operator="between">
      <formula>0.01</formula>
      <formula>1</formula>
    </cfRule>
  </conditionalFormatting>
  <conditionalFormatting sqref="K122">
    <cfRule type="cellIs" dxfId="1638" priority="212" operator="between">
      <formula>1</formula>
      <formula>1000</formula>
    </cfRule>
  </conditionalFormatting>
  <conditionalFormatting sqref="J123">
    <cfRule type="cellIs" dxfId="1637" priority="210" operator="between">
      <formula>0.01</formula>
      <formula>1</formula>
    </cfRule>
  </conditionalFormatting>
  <conditionalFormatting sqref="K123">
    <cfRule type="cellIs" dxfId="1636" priority="209" operator="between">
      <formula>1</formula>
      <formula>1000</formula>
    </cfRule>
  </conditionalFormatting>
  <conditionalFormatting sqref="L123">
    <cfRule type="cellIs" dxfId="1635" priority="208" operator="between">
      <formula>1</formula>
      <formula>100000</formula>
    </cfRule>
  </conditionalFormatting>
  <conditionalFormatting sqref="J124">
    <cfRule type="cellIs" dxfId="1634" priority="207" operator="between">
      <formula>0.01</formula>
      <formula>1</formula>
    </cfRule>
  </conditionalFormatting>
  <conditionalFormatting sqref="K124">
    <cfRule type="cellIs" dxfId="1633" priority="206" operator="between">
      <formula>1</formula>
      <formula>1000</formula>
    </cfRule>
  </conditionalFormatting>
  <conditionalFormatting sqref="L131:L135">
    <cfRule type="cellIs" dxfId="1632" priority="181" operator="between">
      <formula>1</formula>
      <formula>100000</formula>
    </cfRule>
  </conditionalFormatting>
  <conditionalFormatting sqref="L176:L177">
    <cfRule type="cellIs" dxfId="1631" priority="166" operator="between">
      <formula>1</formula>
      <formula>100000</formula>
    </cfRule>
  </conditionalFormatting>
  <conditionalFormatting sqref="L125">
    <cfRule type="cellIs" dxfId="1630" priority="202" operator="between">
      <formula>1</formula>
      <formula>100000</formula>
    </cfRule>
  </conditionalFormatting>
  <conditionalFormatting sqref="J125">
    <cfRule type="cellIs" dxfId="1629" priority="204" operator="between">
      <formula>0.01</formula>
      <formula>1</formula>
    </cfRule>
  </conditionalFormatting>
  <conditionalFormatting sqref="K125">
    <cfRule type="cellIs" dxfId="1628" priority="203" operator="between">
      <formula>1</formula>
      <formula>1000</formula>
    </cfRule>
  </conditionalFormatting>
  <conditionalFormatting sqref="L127">
    <cfRule type="cellIs" dxfId="1627" priority="196" operator="between">
      <formula>1</formula>
      <formula>100000</formula>
    </cfRule>
  </conditionalFormatting>
  <conditionalFormatting sqref="J126">
    <cfRule type="cellIs" dxfId="1626" priority="201" operator="between">
      <formula>0.01</formula>
      <formula>1</formula>
    </cfRule>
  </conditionalFormatting>
  <conditionalFormatting sqref="K126">
    <cfRule type="cellIs" dxfId="1625" priority="200" operator="between">
      <formula>1</formula>
      <formula>1000</formula>
    </cfRule>
  </conditionalFormatting>
  <conditionalFormatting sqref="L126">
    <cfRule type="cellIs" dxfId="1624" priority="199" operator="between">
      <formula>1</formula>
      <formula>100000</formula>
    </cfRule>
  </conditionalFormatting>
  <conditionalFormatting sqref="J127">
    <cfRule type="cellIs" dxfId="1623" priority="198" operator="between">
      <formula>0.01</formula>
      <formula>1</formula>
    </cfRule>
  </conditionalFormatting>
  <conditionalFormatting sqref="K127">
    <cfRule type="cellIs" dxfId="1622" priority="197" operator="between">
      <formula>1</formula>
      <formula>1000</formula>
    </cfRule>
  </conditionalFormatting>
  <conditionalFormatting sqref="J128">
    <cfRule type="cellIs" dxfId="1621" priority="195" operator="between">
      <formula>0.01</formula>
      <formula>1</formula>
    </cfRule>
  </conditionalFormatting>
  <conditionalFormatting sqref="K128">
    <cfRule type="cellIs" dxfId="1620" priority="194" operator="between">
      <formula>1</formula>
      <formula>1000</formula>
    </cfRule>
  </conditionalFormatting>
  <conditionalFormatting sqref="L128">
    <cfRule type="cellIs" dxfId="1619" priority="193" operator="between">
      <formula>1</formula>
      <formula>100000</formula>
    </cfRule>
  </conditionalFormatting>
  <conditionalFormatting sqref="L129">
    <cfRule type="cellIs" dxfId="1618" priority="190" operator="between">
      <formula>1</formula>
      <formula>100000</formula>
    </cfRule>
  </conditionalFormatting>
  <conditionalFormatting sqref="J129">
    <cfRule type="cellIs" dxfId="1617" priority="192" operator="between">
      <formula>0.01</formula>
      <formula>1</formula>
    </cfRule>
  </conditionalFormatting>
  <conditionalFormatting sqref="K129">
    <cfRule type="cellIs" dxfId="1616" priority="191" operator="between">
      <formula>1</formula>
      <formula>1000</formula>
    </cfRule>
  </conditionalFormatting>
  <conditionalFormatting sqref="J136">
    <cfRule type="cellIs" dxfId="1615" priority="186" operator="between">
      <formula>0.01</formula>
      <formula>1</formula>
    </cfRule>
  </conditionalFormatting>
  <conditionalFormatting sqref="K136">
    <cfRule type="cellIs" dxfId="1614" priority="185" operator="between">
      <formula>1</formula>
      <formula>1000</formula>
    </cfRule>
  </conditionalFormatting>
  <conditionalFormatting sqref="L180">
    <cfRule type="cellIs" dxfId="1613" priority="160" operator="between">
      <formula>1</formula>
      <formula>100000</formula>
    </cfRule>
  </conditionalFormatting>
  <conditionalFormatting sqref="L203">
    <cfRule type="cellIs" dxfId="1612" priority="148" operator="between">
      <formula>1</formula>
      <formula>100000</formula>
    </cfRule>
  </conditionalFormatting>
  <conditionalFormatting sqref="L206">
    <cfRule type="cellIs" dxfId="1611" priority="157" operator="between">
      <formula>1</formula>
      <formula>100000</formula>
    </cfRule>
  </conditionalFormatting>
  <conditionalFormatting sqref="J131:J135">
    <cfRule type="cellIs" dxfId="1610" priority="183" operator="between">
      <formula>0.01</formula>
      <formula>1</formula>
    </cfRule>
  </conditionalFormatting>
  <conditionalFormatting sqref="K131:K135">
    <cfRule type="cellIs" dxfId="1609" priority="182" operator="between">
      <formula>1</formula>
      <formula>1000</formula>
    </cfRule>
  </conditionalFormatting>
  <conditionalFormatting sqref="L204">
    <cfRule type="cellIs" dxfId="1608" priority="151" operator="between">
      <formula>1</formula>
      <formula>100000</formula>
    </cfRule>
  </conditionalFormatting>
  <conditionalFormatting sqref="L200">
    <cfRule type="cellIs" dxfId="1607" priority="139" operator="between">
      <formula>1</formula>
      <formula>100000</formula>
    </cfRule>
  </conditionalFormatting>
  <conditionalFormatting sqref="L192">
    <cfRule type="cellIs" dxfId="1606" priority="115" operator="between">
      <formula>1</formula>
      <formula>100000</formula>
    </cfRule>
  </conditionalFormatting>
  <conditionalFormatting sqref="J176:J177">
    <cfRule type="cellIs" dxfId="1605" priority="168" operator="between">
      <formula>0.01</formula>
      <formula>1</formula>
    </cfRule>
  </conditionalFormatting>
  <conditionalFormatting sqref="K176:K177">
    <cfRule type="cellIs" dxfId="1604" priority="167" operator="between">
      <formula>1</formula>
      <formula>1000</formula>
    </cfRule>
  </conditionalFormatting>
  <conditionalFormatting sqref="J180">
    <cfRule type="cellIs" dxfId="1603" priority="162" operator="between">
      <formula>0.01</formula>
      <formula>1</formula>
    </cfRule>
  </conditionalFormatting>
  <conditionalFormatting sqref="K180">
    <cfRule type="cellIs" dxfId="1602" priority="161" operator="between">
      <formula>1</formula>
      <formula>1000</formula>
    </cfRule>
  </conditionalFormatting>
  <conditionalFormatting sqref="L207">
    <cfRule type="cellIs" dxfId="1601" priority="94" operator="between">
      <formula>1</formula>
      <formula>100000</formula>
    </cfRule>
  </conditionalFormatting>
  <conditionalFormatting sqref="J203">
    <cfRule type="cellIs" dxfId="1600" priority="150" operator="between">
      <formula>0.01</formula>
      <formula>1</formula>
    </cfRule>
  </conditionalFormatting>
  <conditionalFormatting sqref="K203">
    <cfRule type="cellIs" dxfId="1599" priority="149" operator="between">
      <formula>1</formula>
      <formula>1000</formula>
    </cfRule>
  </conditionalFormatting>
  <conditionalFormatting sqref="L217:L224">
    <cfRule type="cellIs" dxfId="1598" priority="91" operator="between">
      <formula>1</formula>
      <formula>100000</formula>
    </cfRule>
  </conditionalFormatting>
  <conditionalFormatting sqref="J178:J179">
    <cfRule type="cellIs" dxfId="1597" priority="165" operator="between">
      <formula>0.01</formula>
      <formula>1</formula>
    </cfRule>
  </conditionalFormatting>
  <conditionalFormatting sqref="K178:K179">
    <cfRule type="cellIs" dxfId="1596" priority="164" operator="between">
      <formula>1</formula>
      <formula>1000</formula>
    </cfRule>
  </conditionalFormatting>
  <conditionalFormatting sqref="L178:L179">
    <cfRule type="cellIs" dxfId="1595" priority="163" operator="between">
      <formula>1</formula>
      <formula>100000</formula>
    </cfRule>
  </conditionalFormatting>
  <conditionalFormatting sqref="L232:L235">
    <cfRule type="cellIs" dxfId="1594" priority="88" operator="between">
      <formula>1</formula>
      <formula>100000</formula>
    </cfRule>
  </conditionalFormatting>
  <conditionalFormatting sqref="J206">
    <cfRule type="cellIs" dxfId="1593" priority="159" operator="between">
      <formula>0.01</formula>
      <formula>1</formula>
    </cfRule>
  </conditionalFormatting>
  <conditionalFormatting sqref="K206">
    <cfRule type="cellIs" dxfId="1592" priority="158" operator="between">
      <formula>1</formula>
      <formula>1000</formula>
    </cfRule>
  </conditionalFormatting>
  <conditionalFormatting sqref="J204">
    <cfRule type="cellIs" dxfId="1591" priority="153" operator="between">
      <formula>0.01</formula>
      <formula>1</formula>
    </cfRule>
  </conditionalFormatting>
  <conditionalFormatting sqref="K204">
    <cfRule type="cellIs" dxfId="1590" priority="152" operator="between">
      <formula>1</formula>
      <formula>1000</formula>
    </cfRule>
  </conditionalFormatting>
  <conditionalFormatting sqref="L238:L245">
    <cfRule type="cellIs" dxfId="1589" priority="82" operator="between">
      <formula>1</formula>
      <formula>100000</formula>
    </cfRule>
  </conditionalFormatting>
  <conditionalFormatting sqref="J205">
    <cfRule type="cellIs" dxfId="1588" priority="156" operator="between">
      <formula>0.01</formula>
      <formula>1</formula>
    </cfRule>
  </conditionalFormatting>
  <conditionalFormatting sqref="K205">
    <cfRule type="cellIs" dxfId="1587" priority="155" operator="between">
      <formula>1</formula>
      <formula>1000</formula>
    </cfRule>
  </conditionalFormatting>
  <conditionalFormatting sqref="L205">
    <cfRule type="cellIs" dxfId="1586" priority="154" operator="between">
      <formula>1</formula>
      <formula>100000</formula>
    </cfRule>
  </conditionalFormatting>
  <conditionalFormatting sqref="L249:L255">
    <cfRule type="cellIs" dxfId="1585" priority="79" operator="between">
      <formula>1</formula>
      <formula>100000</formula>
    </cfRule>
  </conditionalFormatting>
  <conditionalFormatting sqref="J200">
    <cfRule type="cellIs" dxfId="1584" priority="141" operator="between">
      <formula>0.01</formula>
      <formula>1</formula>
    </cfRule>
  </conditionalFormatting>
  <conditionalFormatting sqref="K200">
    <cfRule type="cellIs" dxfId="1583" priority="140" operator="between">
      <formula>1</formula>
      <formula>1000</formula>
    </cfRule>
  </conditionalFormatting>
  <conditionalFormatting sqref="J195">
    <cfRule type="cellIs" dxfId="1582" priority="126" operator="between">
      <formula>0.01</formula>
      <formula>1</formula>
    </cfRule>
  </conditionalFormatting>
  <conditionalFormatting sqref="K195">
    <cfRule type="cellIs" dxfId="1581" priority="125" operator="between">
      <formula>1</formula>
      <formula>1000</formula>
    </cfRule>
  </conditionalFormatting>
  <conditionalFormatting sqref="L195">
    <cfRule type="cellIs" dxfId="1580" priority="124" operator="between">
      <formula>1</formula>
      <formula>100000</formula>
    </cfRule>
  </conditionalFormatting>
  <conditionalFormatting sqref="L202">
    <cfRule type="cellIs" dxfId="1579" priority="145" operator="between">
      <formula>1</formula>
      <formula>100000</formula>
    </cfRule>
  </conditionalFormatting>
  <conditionalFormatting sqref="L257:L261">
    <cfRule type="cellIs" dxfId="1578" priority="76" operator="between">
      <formula>1</formula>
      <formula>100000</formula>
    </cfRule>
  </conditionalFormatting>
  <conditionalFormatting sqref="J202">
    <cfRule type="cellIs" dxfId="1577" priority="147" operator="between">
      <formula>0.01</formula>
      <formula>1</formula>
    </cfRule>
  </conditionalFormatting>
  <conditionalFormatting sqref="K202">
    <cfRule type="cellIs" dxfId="1576" priority="146" operator="between">
      <formula>1</formula>
      <formula>1000</formula>
    </cfRule>
  </conditionalFormatting>
  <conditionalFormatting sqref="J192">
    <cfRule type="cellIs" dxfId="1575" priority="117" operator="between">
      <formula>0.01</formula>
      <formula>1</formula>
    </cfRule>
  </conditionalFormatting>
  <conditionalFormatting sqref="K192">
    <cfRule type="cellIs" dxfId="1574" priority="116" operator="between">
      <formula>1</formula>
      <formula>1000</formula>
    </cfRule>
  </conditionalFormatting>
  <conditionalFormatting sqref="J201">
    <cfRule type="cellIs" dxfId="1573" priority="144" operator="between">
      <formula>0.01</formula>
      <formula>1</formula>
    </cfRule>
  </conditionalFormatting>
  <conditionalFormatting sqref="K201">
    <cfRule type="cellIs" dxfId="1572" priority="143" operator="between">
      <formula>1</formula>
      <formula>1000</formula>
    </cfRule>
  </conditionalFormatting>
  <conditionalFormatting sqref="L201">
    <cfRule type="cellIs" dxfId="1571" priority="142" operator="between">
      <formula>1</formula>
      <formula>100000</formula>
    </cfRule>
  </conditionalFormatting>
  <conditionalFormatting sqref="J199">
    <cfRule type="cellIs" dxfId="1570" priority="138" operator="between">
      <formula>0.01</formula>
      <formula>1</formula>
    </cfRule>
  </conditionalFormatting>
  <conditionalFormatting sqref="K199">
    <cfRule type="cellIs" dxfId="1569" priority="137" operator="between">
      <formula>1</formula>
      <formula>1000</formula>
    </cfRule>
  </conditionalFormatting>
  <conditionalFormatting sqref="L199">
    <cfRule type="cellIs" dxfId="1568" priority="136" operator="between">
      <formula>1</formula>
      <formula>100000</formula>
    </cfRule>
  </conditionalFormatting>
  <conditionalFormatting sqref="L210">
    <cfRule type="cellIs" dxfId="1567" priority="103" operator="between">
      <formula>1</formula>
      <formula>100000</formula>
    </cfRule>
  </conditionalFormatting>
  <conditionalFormatting sqref="L198">
    <cfRule type="cellIs" dxfId="1566" priority="133" operator="between">
      <formula>1</formula>
      <formula>100000</formula>
    </cfRule>
  </conditionalFormatting>
  <conditionalFormatting sqref="L196">
    <cfRule type="cellIs" dxfId="1565" priority="127" operator="between">
      <formula>1</formula>
      <formula>100000</formula>
    </cfRule>
  </conditionalFormatting>
  <conditionalFormatting sqref="L263:L265">
    <cfRule type="cellIs" dxfId="1564" priority="73" operator="between">
      <formula>1</formula>
      <formula>100000</formula>
    </cfRule>
  </conditionalFormatting>
  <conditionalFormatting sqref="J210">
    <cfRule type="cellIs" dxfId="1563" priority="105" operator="between">
      <formula>0.01</formula>
      <formula>1</formula>
    </cfRule>
  </conditionalFormatting>
  <conditionalFormatting sqref="K210">
    <cfRule type="cellIs" dxfId="1562" priority="104" operator="between">
      <formula>1</formula>
      <formula>1000</formula>
    </cfRule>
  </conditionalFormatting>
  <conditionalFormatting sqref="J198">
    <cfRule type="cellIs" dxfId="1561" priority="135" operator="between">
      <formula>0.01</formula>
      <formula>1</formula>
    </cfRule>
  </conditionalFormatting>
  <conditionalFormatting sqref="K198">
    <cfRule type="cellIs" dxfId="1560" priority="134" operator="between">
      <formula>1</formula>
      <formula>1000</formula>
    </cfRule>
  </conditionalFormatting>
  <conditionalFormatting sqref="J196">
    <cfRule type="cellIs" dxfId="1559" priority="129" operator="between">
      <formula>0.01</formula>
      <formula>1</formula>
    </cfRule>
  </conditionalFormatting>
  <conditionalFormatting sqref="K196">
    <cfRule type="cellIs" dxfId="1558" priority="128" operator="between">
      <formula>1</formula>
      <formula>1000</formula>
    </cfRule>
  </conditionalFormatting>
  <conditionalFormatting sqref="J197">
    <cfRule type="cellIs" dxfId="1557" priority="132" operator="between">
      <formula>0.01</formula>
      <formula>1</formula>
    </cfRule>
  </conditionalFormatting>
  <conditionalFormatting sqref="K197">
    <cfRule type="cellIs" dxfId="1556" priority="131" operator="between">
      <formula>1</formula>
      <formula>1000</formula>
    </cfRule>
  </conditionalFormatting>
  <conditionalFormatting sqref="L197">
    <cfRule type="cellIs" dxfId="1555" priority="130" operator="between">
      <formula>1</formula>
      <formula>100000</formula>
    </cfRule>
  </conditionalFormatting>
  <conditionalFormatting sqref="J207">
    <cfRule type="cellIs" dxfId="1554" priority="96" operator="between">
      <formula>0.01</formula>
      <formula>1</formula>
    </cfRule>
  </conditionalFormatting>
  <conditionalFormatting sqref="K207">
    <cfRule type="cellIs" dxfId="1553" priority="95" operator="between">
      <formula>1</formula>
      <formula>1000</formula>
    </cfRule>
  </conditionalFormatting>
  <conditionalFormatting sqref="L194">
    <cfRule type="cellIs" dxfId="1552" priority="121" operator="between">
      <formula>1</formula>
      <formula>100000</formula>
    </cfRule>
  </conditionalFormatting>
  <conditionalFormatting sqref="J194">
    <cfRule type="cellIs" dxfId="1551" priority="123" operator="between">
      <formula>0.01</formula>
      <formula>1</formula>
    </cfRule>
  </conditionalFormatting>
  <conditionalFormatting sqref="K194">
    <cfRule type="cellIs" dxfId="1550" priority="122" operator="between">
      <formula>1</formula>
      <formula>1000</formula>
    </cfRule>
  </conditionalFormatting>
  <conditionalFormatting sqref="J193">
    <cfRule type="cellIs" dxfId="1549" priority="120" operator="between">
      <formula>0.01</formula>
      <formula>1</formula>
    </cfRule>
  </conditionalFormatting>
  <conditionalFormatting sqref="K193">
    <cfRule type="cellIs" dxfId="1548" priority="119" operator="between">
      <formula>1</formula>
      <formula>1000</formula>
    </cfRule>
  </conditionalFormatting>
  <conditionalFormatting sqref="L193">
    <cfRule type="cellIs" dxfId="1547" priority="118" operator="between">
      <formula>1</formula>
      <formula>100000</formula>
    </cfRule>
  </conditionalFormatting>
  <conditionalFormatting sqref="L209">
    <cfRule type="cellIs" dxfId="1546" priority="100" operator="between">
      <formula>1</formula>
      <formula>100000</formula>
    </cfRule>
  </conditionalFormatting>
  <conditionalFormatting sqref="L213">
    <cfRule type="cellIs" dxfId="1545" priority="112" operator="between">
      <formula>1</formula>
      <formula>100000</formula>
    </cfRule>
  </conditionalFormatting>
  <conditionalFormatting sqref="L211">
    <cfRule type="cellIs" dxfId="1544" priority="106" operator="between">
      <formula>1</formula>
      <formula>100000</formula>
    </cfRule>
  </conditionalFormatting>
  <conditionalFormatting sqref="J209">
    <cfRule type="cellIs" dxfId="1543" priority="102" operator="between">
      <formula>0.01</formula>
      <formula>1</formula>
    </cfRule>
  </conditionalFormatting>
  <conditionalFormatting sqref="K209">
    <cfRule type="cellIs" dxfId="1542" priority="101" operator="between">
      <formula>1</formula>
      <formula>1000</formula>
    </cfRule>
  </conditionalFormatting>
  <conditionalFormatting sqref="J213">
    <cfRule type="cellIs" dxfId="1541" priority="114" operator="between">
      <formula>0.01</formula>
      <formula>1</formula>
    </cfRule>
  </conditionalFormatting>
  <conditionalFormatting sqref="K213">
    <cfRule type="cellIs" dxfId="1540" priority="113" operator="between">
      <formula>1</formula>
      <formula>1000</formula>
    </cfRule>
  </conditionalFormatting>
  <conditionalFormatting sqref="J211">
    <cfRule type="cellIs" dxfId="1539" priority="108" operator="between">
      <formula>0.01</formula>
      <formula>1</formula>
    </cfRule>
  </conditionalFormatting>
  <conditionalFormatting sqref="K211">
    <cfRule type="cellIs" dxfId="1538" priority="107" operator="between">
      <formula>1</formula>
      <formula>1000</formula>
    </cfRule>
  </conditionalFormatting>
  <conditionalFormatting sqref="J212">
    <cfRule type="cellIs" dxfId="1537" priority="111" operator="between">
      <formula>0.01</formula>
      <formula>1</formula>
    </cfRule>
  </conditionalFormatting>
  <conditionalFormatting sqref="K212">
    <cfRule type="cellIs" dxfId="1536" priority="110" operator="between">
      <formula>1</formula>
      <formula>1000</formula>
    </cfRule>
  </conditionalFormatting>
  <conditionalFormatting sqref="L212">
    <cfRule type="cellIs" dxfId="1535" priority="109" operator="between">
      <formula>1</formula>
      <formula>100000</formula>
    </cfRule>
  </conditionalFormatting>
  <conditionalFormatting sqref="J217:J224">
    <cfRule type="cellIs" dxfId="1534" priority="93" operator="between">
      <formula>0.01</formula>
      <formula>1</formula>
    </cfRule>
  </conditionalFormatting>
  <conditionalFormatting sqref="K217:K224">
    <cfRule type="cellIs" dxfId="1533" priority="92" operator="between">
      <formula>1</formula>
      <formula>1000</formula>
    </cfRule>
  </conditionalFormatting>
  <conditionalFormatting sqref="L208">
    <cfRule type="cellIs" dxfId="1532" priority="97" operator="between">
      <formula>1</formula>
      <formula>100000</formula>
    </cfRule>
  </conditionalFormatting>
  <conditionalFormatting sqref="J208">
    <cfRule type="cellIs" dxfId="1531" priority="99" operator="between">
      <formula>0.01</formula>
      <formula>1</formula>
    </cfRule>
  </conditionalFormatting>
  <conditionalFormatting sqref="K208">
    <cfRule type="cellIs" dxfId="1530" priority="98" operator="between">
      <formula>1</formula>
      <formula>1000</formula>
    </cfRule>
  </conditionalFormatting>
  <conditionalFormatting sqref="J232:J235">
    <cfRule type="cellIs" dxfId="1529" priority="90" operator="between">
      <formula>0.01</formula>
      <formula>1</formula>
    </cfRule>
  </conditionalFormatting>
  <conditionalFormatting sqref="K232:K235">
    <cfRule type="cellIs" dxfId="1528" priority="89" operator="between">
      <formula>1</formula>
      <formula>1000</formula>
    </cfRule>
  </conditionalFormatting>
  <conditionalFormatting sqref="L246:L248">
    <cfRule type="cellIs" dxfId="1527" priority="85" operator="between">
      <formula>1</formula>
      <formula>100000</formula>
    </cfRule>
  </conditionalFormatting>
  <conditionalFormatting sqref="J246:J248">
    <cfRule type="cellIs" dxfId="1526" priority="87" operator="between">
      <formula>0.01</formula>
      <formula>1</formula>
    </cfRule>
  </conditionalFormatting>
  <conditionalFormatting sqref="K246:K248">
    <cfRule type="cellIs" dxfId="1525" priority="86" operator="between">
      <formula>1</formula>
      <formula>1000</formula>
    </cfRule>
  </conditionalFormatting>
  <conditionalFormatting sqref="L287:L288">
    <cfRule type="cellIs" dxfId="1524" priority="61" operator="between">
      <formula>1</formula>
      <formula>100000</formula>
    </cfRule>
  </conditionalFormatting>
  <conditionalFormatting sqref="J238:J245">
    <cfRule type="cellIs" dxfId="1523" priority="84" operator="between">
      <formula>0.01</formula>
      <formula>1</formula>
    </cfRule>
  </conditionalFormatting>
  <conditionalFormatting sqref="K238:K245">
    <cfRule type="cellIs" dxfId="1522" priority="83" operator="between">
      <formula>1</formula>
      <formula>1000</formula>
    </cfRule>
  </conditionalFormatting>
  <conditionalFormatting sqref="L290:L297">
    <cfRule type="cellIs" dxfId="1521" priority="58" operator="between">
      <formula>1</formula>
      <formula>100000</formula>
    </cfRule>
  </conditionalFormatting>
  <conditionalFormatting sqref="J249:J255">
    <cfRule type="cellIs" dxfId="1520" priority="81" operator="between">
      <formula>0.01</formula>
      <formula>1</formula>
    </cfRule>
  </conditionalFormatting>
  <conditionalFormatting sqref="K249:K255">
    <cfRule type="cellIs" dxfId="1519" priority="80" operator="between">
      <formula>1</formula>
      <formula>1000</formula>
    </cfRule>
  </conditionalFormatting>
  <conditionalFormatting sqref="L300:L307">
    <cfRule type="cellIs" dxfId="1518" priority="52" operator="between">
      <formula>1</formula>
      <formula>100000</formula>
    </cfRule>
  </conditionalFormatting>
  <conditionalFormatting sqref="J263:J265">
    <cfRule type="cellIs" dxfId="1517" priority="75" operator="between">
      <formula>0.01</formula>
      <formula>1</formula>
    </cfRule>
  </conditionalFormatting>
  <conditionalFormatting sqref="K263:K265">
    <cfRule type="cellIs" dxfId="1516" priority="74" operator="between">
      <formula>1</formula>
      <formula>1000</formula>
    </cfRule>
  </conditionalFormatting>
  <conditionalFormatting sqref="L311:L313">
    <cfRule type="cellIs" dxfId="1515" priority="49" operator="between">
      <formula>1</formula>
      <formula>100000</formula>
    </cfRule>
  </conditionalFormatting>
  <conditionalFormatting sqref="J257:J261">
    <cfRule type="cellIs" dxfId="1514" priority="78" operator="between">
      <formula>0.01</formula>
      <formula>1</formula>
    </cfRule>
  </conditionalFormatting>
  <conditionalFormatting sqref="K257:K261">
    <cfRule type="cellIs" dxfId="1513" priority="77" operator="between">
      <formula>1</formula>
      <formula>1000</formula>
    </cfRule>
  </conditionalFormatting>
  <conditionalFormatting sqref="L315:L322">
    <cfRule type="cellIs" dxfId="1512" priority="43" operator="between">
      <formula>1</formula>
      <formula>100000</formula>
    </cfRule>
  </conditionalFormatting>
  <conditionalFormatting sqref="L325:L332">
    <cfRule type="cellIs" dxfId="1511" priority="37" operator="between">
      <formula>1</formula>
      <formula>100000</formula>
    </cfRule>
  </conditionalFormatting>
  <conditionalFormatting sqref="L335:L342">
    <cfRule type="cellIs" dxfId="1510" priority="31" operator="between">
      <formula>1</formula>
      <formula>100000</formula>
    </cfRule>
  </conditionalFormatting>
  <conditionalFormatting sqref="L323">
    <cfRule type="cellIs" dxfId="1509" priority="46" operator="between">
      <formula>1</formula>
      <formula>100000</formula>
    </cfRule>
  </conditionalFormatting>
  <conditionalFormatting sqref="J287:J288">
    <cfRule type="cellIs" dxfId="1508" priority="63" operator="between">
      <formula>0.01</formula>
      <formula>1</formula>
    </cfRule>
  </conditionalFormatting>
  <conditionalFormatting sqref="K287:K288">
    <cfRule type="cellIs" dxfId="1507" priority="62" operator="between">
      <formula>1</formula>
      <formula>1000</formula>
    </cfRule>
  </conditionalFormatting>
  <conditionalFormatting sqref="J290:J297">
    <cfRule type="cellIs" dxfId="1506" priority="60" operator="between">
      <formula>0.01</formula>
      <formula>1</formula>
    </cfRule>
  </conditionalFormatting>
  <conditionalFormatting sqref="K290:K297">
    <cfRule type="cellIs" dxfId="1505" priority="59" operator="between">
      <formula>1</formula>
      <formula>1000</formula>
    </cfRule>
  </conditionalFormatting>
  <conditionalFormatting sqref="J300:J307">
    <cfRule type="cellIs" dxfId="1504" priority="54" operator="between">
      <formula>0.01</formula>
      <formula>1</formula>
    </cfRule>
  </conditionalFormatting>
  <conditionalFormatting sqref="K300:K307">
    <cfRule type="cellIs" dxfId="1503" priority="53" operator="between">
      <formula>1</formula>
      <formula>1000</formula>
    </cfRule>
  </conditionalFormatting>
  <conditionalFormatting sqref="J323">
    <cfRule type="cellIs" dxfId="1502" priority="48" operator="between">
      <formula>0.01</formula>
      <formula>1</formula>
    </cfRule>
  </conditionalFormatting>
  <conditionalFormatting sqref="K323">
    <cfRule type="cellIs" dxfId="1501" priority="47" operator="between">
      <formula>1</formula>
      <formula>1000</formula>
    </cfRule>
  </conditionalFormatting>
  <conditionalFormatting sqref="L308:L309">
    <cfRule type="cellIs" dxfId="1500" priority="55" operator="between">
      <formula>1</formula>
      <formula>100000</formula>
    </cfRule>
  </conditionalFormatting>
  <conditionalFormatting sqref="J308:J309">
    <cfRule type="cellIs" dxfId="1499" priority="57" operator="between">
      <formula>0.01</formula>
      <formula>1</formula>
    </cfRule>
  </conditionalFormatting>
  <conditionalFormatting sqref="K308:K309">
    <cfRule type="cellIs" dxfId="1498" priority="56" operator="between">
      <formula>1</formula>
      <formula>1000</formula>
    </cfRule>
  </conditionalFormatting>
  <conditionalFormatting sqref="J311:J313">
    <cfRule type="cellIs" dxfId="1497" priority="51" operator="between">
      <formula>0.01</formula>
      <formula>1</formula>
    </cfRule>
  </conditionalFormatting>
  <conditionalFormatting sqref="K311:K313">
    <cfRule type="cellIs" dxfId="1496" priority="50" operator="between">
      <formula>1</formula>
      <formula>1000</formula>
    </cfRule>
  </conditionalFormatting>
  <conditionalFormatting sqref="J315:J322">
    <cfRule type="cellIs" dxfId="1495" priority="45" operator="between">
      <formula>0.01</formula>
      <formula>1</formula>
    </cfRule>
  </conditionalFormatting>
  <conditionalFormatting sqref="K315:K322">
    <cfRule type="cellIs" dxfId="1494" priority="44" operator="between">
      <formula>1</formula>
      <formula>1000</formula>
    </cfRule>
  </conditionalFormatting>
  <conditionalFormatting sqref="J325:J332">
    <cfRule type="cellIs" dxfId="1493" priority="39" operator="between">
      <formula>0.01</formula>
      <formula>1</formula>
    </cfRule>
  </conditionalFormatting>
  <conditionalFormatting sqref="K325:K332">
    <cfRule type="cellIs" dxfId="1492" priority="38" operator="between">
      <formula>1</formula>
      <formula>1000</formula>
    </cfRule>
  </conditionalFormatting>
  <conditionalFormatting sqref="L333:L334">
    <cfRule type="cellIs" dxfId="1491" priority="40" operator="between">
      <formula>1</formula>
      <formula>100000</formula>
    </cfRule>
  </conditionalFormatting>
  <conditionalFormatting sqref="J333:J334">
    <cfRule type="cellIs" dxfId="1490" priority="42" operator="between">
      <formula>0.01</formula>
      <formula>1</formula>
    </cfRule>
  </conditionalFormatting>
  <conditionalFormatting sqref="K333:K334">
    <cfRule type="cellIs" dxfId="1489" priority="41" operator="between">
      <formula>1</formula>
      <formula>1000</formula>
    </cfRule>
  </conditionalFormatting>
  <conditionalFormatting sqref="J335:J342">
    <cfRule type="cellIs" dxfId="1488" priority="33" operator="between">
      <formula>0.01</formula>
      <formula>1</formula>
    </cfRule>
  </conditionalFormatting>
  <conditionalFormatting sqref="K335:K342">
    <cfRule type="cellIs" dxfId="1487" priority="32" operator="between">
      <formula>1</formula>
      <formula>1000</formula>
    </cfRule>
  </conditionalFormatting>
  <conditionalFormatting sqref="L343">
    <cfRule type="cellIs" dxfId="1486" priority="34" operator="between">
      <formula>1</formula>
      <formula>100000</formula>
    </cfRule>
  </conditionalFormatting>
  <conditionalFormatting sqref="J343">
    <cfRule type="cellIs" dxfId="1485" priority="36" operator="between">
      <formula>0.01</formula>
      <formula>1</formula>
    </cfRule>
  </conditionalFormatting>
  <conditionalFormatting sqref="K343">
    <cfRule type="cellIs" dxfId="1484" priority="35" operator="between">
      <formula>1</formula>
      <formula>1000</formula>
    </cfRule>
  </conditionalFormatting>
  <conditionalFormatting sqref="J56:J58">
    <cfRule type="cellIs" dxfId="1483" priority="30" operator="between">
      <formula>0.01</formula>
      <formula>1</formula>
    </cfRule>
  </conditionalFormatting>
  <conditionalFormatting sqref="K56:K58">
    <cfRule type="cellIs" dxfId="1482" priority="29" operator="between">
      <formula>1</formula>
      <formula>1000</formula>
    </cfRule>
  </conditionalFormatting>
  <conditionalFormatting sqref="L56:L58">
    <cfRule type="cellIs" dxfId="1481" priority="28" operator="between">
      <formula>1</formula>
      <formula>100000</formula>
    </cfRule>
  </conditionalFormatting>
  <conditionalFormatting sqref="J7:J9">
    <cfRule type="cellIs" dxfId="1480" priority="27" operator="equal">
      <formula>1</formula>
    </cfRule>
  </conditionalFormatting>
  <conditionalFormatting sqref="J12">
    <cfRule type="cellIs" dxfId="1479" priority="26" operator="equal">
      <formula>1</formula>
    </cfRule>
  </conditionalFormatting>
  <conditionalFormatting sqref="J14:J15">
    <cfRule type="cellIs" dxfId="1478" priority="25" operator="equal">
      <formula>1</formula>
    </cfRule>
  </conditionalFormatting>
  <conditionalFormatting sqref="J17:J26">
    <cfRule type="cellIs" dxfId="1477" priority="24" operator="equal">
      <formula>1</formula>
    </cfRule>
  </conditionalFormatting>
  <conditionalFormatting sqref="J28:J31">
    <cfRule type="cellIs" dxfId="1476" priority="23" operator="equal">
      <formula>1</formula>
    </cfRule>
  </conditionalFormatting>
  <conditionalFormatting sqref="J143">
    <cfRule type="cellIs" dxfId="1475" priority="22" operator="equal">
      <formula>1</formula>
    </cfRule>
  </conditionalFormatting>
  <conditionalFormatting sqref="J145:J146">
    <cfRule type="cellIs" dxfId="1474" priority="21" operator="equal">
      <formula>1</formula>
    </cfRule>
  </conditionalFormatting>
  <conditionalFormatting sqref="J148:J157">
    <cfRule type="cellIs" dxfId="1473" priority="20" operator="equal">
      <formula>1</formula>
    </cfRule>
  </conditionalFormatting>
  <conditionalFormatting sqref="J159:J168">
    <cfRule type="cellIs" dxfId="1472" priority="19" operator="equal">
      <formula>1</formula>
    </cfRule>
  </conditionalFormatting>
  <conditionalFormatting sqref="J268">
    <cfRule type="cellIs" dxfId="1471" priority="18" operator="equal">
      <formula>1</formula>
    </cfRule>
  </conditionalFormatting>
  <conditionalFormatting sqref="J269">
    <cfRule type="cellIs" dxfId="1470" priority="17" operator="equal">
      <formula>1</formula>
    </cfRule>
  </conditionalFormatting>
  <conditionalFormatting sqref="J271">
    <cfRule type="cellIs" dxfId="1469" priority="16" operator="equal">
      <formula>1</formula>
    </cfRule>
  </conditionalFormatting>
  <conditionalFormatting sqref="J272">
    <cfRule type="cellIs" dxfId="1468" priority="15" operator="equal">
      <formula>1</formula>
    </cfRule>
  </conditionalFormatting>
  <conditionalFormatting sqref="J273">
    <cfRule type="cellIs" dxfId="1467" priority="14" operator="equal">
      <formula>1</formula>
    </cfRule>
  </conditionalFormatting>
  <conditionalFormatting sqref="J274">
    <cfRule type="cellIs" dxfId="1466" priority="13" operator="equal">
      <formula>1</formula>
    </cfRule>
  </conditionalFormatting>
  <conditionalFormatting sqref="J275">
    <cfRule type="cellIs" dxfId="1465" priority="12" operator="equal">
      <formula>1</formula>
    </cfRule>
  </conditionalFormatting>
  <conditionalFormatting sqref="J276">
    <cfRule type="cellIs" dxfId="1464" priority="11" operator="equal">
      <formula>1</formula>
    </cfRule>
  </conditionalFormatting>
  <conditionalFormatting sqref="J277">
    <cfRule type="cellIs" dxfId="1463" priority="10" operator="equal">
      <formula>1</formula>
    </cfRule>
  </conditionalFormatting>
  <conditionalFormatting sqref="J278">
    <cfRule type="cellIs" dxfId="1462" priority="9" operator="equal">
      <formula>1</formula>
    </cfRule>
  </conditionalFormatting>
  <conditionalFormatting sqref="J279">
    <cfRule type="cellIs" dxfId="1461" priority="8" operator="equal">
      <formula>1</formula>
    </cfRule>
  </conditionalFormatting>
  <conditionalFormatting sqref="J280">
    <cfRule type="cellIs" dxfId="1460" priority="7" operator="equal">
      <formula>1</formula>
    </cfRule>
  </conditionalFormatting>
  <conditionalFormatting sqref="J282">
    <cfRule type="cellIs" dxfId="1459" priority="6" operator="equal">
      <formula>1</formula>
    </cfRule>
  </conditionalFormatting>
  <conditionalFormatting sqref="J283">
    <cfRule type="cellIs" dxfId="1458" priority="4" operator="equal">
      <formula>1</formula>
    </cfRule>
  </conditionalFormatting>
  <conditionalFormatting sqref="J284">
    <cfRule type="cellIs" dxfId="1457" priority="3" operator="equal">
      <formula>1</formula>
    </cfRule>
  </conditionalFormatting>
  <conditionalFormatting sqref="J285">
    <cfRule type="cellIs" dxfId="1456" priority="2" operator="equal">
      <formula>1</formula>
    </cfRule>
  </conditionalFormatting>
  <conditionalFormatting sqref="J286">
    <cfRule type="cellIs" dxfId="1455" priority="1" operator="equal">
      <formula>1</formula>
    </cfRule>
  </conditionalFormatting>
  <printOptions horizontalCentered="1"/>
  <pageMargins left="0.39370078740157483" right="0.39370078740157483" top="0.39370078740157483" bottom="0.39370078740157483" header="0.31496062992125984" footer="0.31496062992125984"/>
  <pageSetup paperSize="9" scale="31" fitToHeight="4" orientation="portrait" r:id="rId1"/>
  <rowBreaks count="7" manualBreakCount="7">
    <brk id="51" max="11" man="1"/>
    <brk id="97" max="11" man="1"/>
    <brk id="140" max="11" man="1"/>
    <brk id="185" max="11" man="1"/>
    <brk id="230" max="11" man="1"/>
    <brk id="275" max="11" man="1"/>
    <brk id="320" max="1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FAC0A-FD13-44EF-8451-76182FA0ABB9}">
  <sheetPr>
    <outlinePr summaryBelow="0"/>
  </sheetPr>
  <dimension ref="A1:AK521"/>
  <sheetViews>
    <sheetView view="pageBreakPreview" zoomScale="70" zoomScaleNormal="85" zoomScaleSheetLayoutView="70" workbookViewId="0">
      <selection activeCell="A4" sqref="A4:K4"/>
    </sheetView>
  </sheetViews>
  <sheetFormatPr defaultColWidth="9.21875" defaultRowHeight="13.8"/>
  <cols>
    <col min="1" max="1" width="21.77734375" style="16" customWidth="1"/>
    <col min="2" max="2" width="13.21875" style="16" customWidth="1"/>
    <col min="3" max="3" width="70.33203125" style="16" customWidth="1"/>
    <col min="4" max="4" width="13" style="16" customWidth="1"/>
    <col min="5" max="7" width="15.77734375" style="16" customWidth="1"/>
    <col min="8" max="11" width="10.77734375" style="16" customWidth="1"/>
    <col min="12" max="12" width="24" style="16" hidden="1" customWidth="1"/>
    <col min="13" max="13" width="25.21875" style="16" hidden="1" customWidth="1"/>
    <col min="14" max="14" width="24" style="16" hidden="1" customWidth="1"/>
    <col min="15" max="15" width="14" style="16" hidden="1" customWidth="1"/>
    <col min="16" max="16" width="29.21875" style="16" hidden="1" customWidth="1"/>
    <col min="17" max="17" width="15.44140625" style="16" hidden="1" customWidth="1"/>
    <col min="18" max="18" width="12.5546875" style="16" hidden="1" customWidth="1"/>
    <col min="19" max="19" width="25.21875" style="16" hidden="1" customWidth="1"/>
    <col min="20" max="20" width="15.44140625" style="16" hidden="1" customWidth="1"/>
    <col min="21" max="21" width="21" style="16" hidden="1" customWidth="1"/>
    <col min="22" max="22" width="19.77734375" style="16" hidden="1" customWidth="1"/>
    <col min="23" max="23" width="17.44140625" style="16" hidden="1" customWidth="1"/>
    <col min="24" max="24" width="22.5546875" style="16" hidden="1" customWidth="1"/>
    <col min="25" max="25" width="25.21875" style="16" hidden="1" customWidth="1"/>
    <col min="26" max="26" width="19.21875" style="16" hidden="1" customWidth="1"/>
    <col min="27" max="16384" width="9.21875" style="16"/>
  </cols>
  <sheetData>
    <row r="1" spans="1:26" ht="126.6" customHeight="1">
      <c r="A1" s="15"/>
      <c r="B1" s="220" t="s">
        <v>71</v>
      </c>
      <c r="C1" s="220"/>
      <c r="D1" s="220"/>
      <c r="E1" s="219" t="s">
        <v>69</v>
      </c>
      <c r="F1" s="219"/>
      <c r="G1" s="219" t="s">
        <v>600</v>
      </c>
      <c r="H1" s="219"/>
      <c r="I1" s="219"/>
      <c r="J1" s="217" t="s">
        <v>70</v>
      </c>
      <c r="K1" s="218"/>
      <c r="L1" s="187"/>
      <c r="M1" s="187"/>
      <c r="N1" s="187"/>
      <c r="O1" s="187"/>
      <c r="P1" s="187"/>
      <c r="Q1" s="187"/>
      <c r="R1" s="187"/>
      <c r="S1" s="187"/>
      <c r="T1" s="216"/>
      <c r="U1" s="82"/>
      <c r="V1" s="82"/>
      <c r="W1" s="82"/>
      <c r="X1" s="187"/>
      <c r="Y1" s="187"/>
      <c r="Z1" s="216"/>
    </row>
    <row r="2" spans="1:26" ht="102" customHeight="1">
      <c r="A2" s="183" t="s">
        <v>72</v>
      </c>
      <c r="B2" s="183"/>
      <c r="C2" s="183"/>
      <c r="D2" s="183"/>
      <c r="E2" s="219" t="s">
        <v>68</v>
      </c>
      <c r="F2" s="219"/>
      <c r="G2" s="219" t="s">
        <v>639</v>
      </c>
      <c r="H2" s="219"/>
      <c r="I2" s="219"/>
      <c r="J2" s="217" t="str">
        <f>'PLANILHA DE MEDIÇÃO'!I2</f>
        <v>VALOR MEDIDO NO PERÍODO:
R$ 101.593,33</v>
      </c>
      <c r="K2" s="218"/>
      <c r="L2" s="187"/>
      <c r="M2" s="187"/>
      <c r="N2" s="187"/>
      <c r="O2" s="187"/>
      <c r="P2" s="187"/>
      <c r="Q2" s="187"/>
      <c r="R2" s="187"/>
      <c r="S2" s="187"/>
      <c r="T2" s="216"/>
      <c r="U2" s="82"/>
      <c r="V2" s="82"/>
      <c r="W2" s="82"/>
      <c r="X2" s="187"/>
      <c r="Y2" s="187"/>
      <c r="Z2" s="216"/>
    </row>
    <row r="3" spans="1:26" ht="91.5" customHeight="1">
      <c r="A3" s="183" t="s">
        <v>73</v>
      </c>
      <c r="B3" s="183"/>
      <c r="C3" s="183"/>
      <c r="D3" s="183"/>
      <c r="E3" s="219" t="s">
        <v>74</v>
      </c>
      <c r="F3" s="219"/>
      <c r="G3" s="219"/>
      <c r="H3" s="219"/>
      <c r="I3" s="219"/>
      <c r="J3" s="219"/>
      <c r="K3" s="219"/>
      <c r="L3" s="189" t="s">
        <v>49</v>
      </c>
      <c r="M3" s="190"/>
      <c r="N3" s="25" t="e">
        <f>#REF!</f>
        <v>#REF!</v>
      </c>
      <c r="O3" s="189" t="s">
        <v>50</v>
      </c>
      <c r="P3" s="190"/>
      <c r="Q3" s="25" t="e">
        <f>#REF!</f>
        <v>#REF!</v>
      </c>
      <c r="R3" s="189" t="s">
        <v>51</v>
      </c>
      <c r="S3" s="190"/>
      <c r="T3" s="25" t="e">
        <f>#REF!</f>
        <v>#REF!</v>
      </c>
      <c r="U3" s="25"/>
      <c r="V3" s="25"/>
      <c r="W3" s="25"/>
      <c r="X3" s="189" t="s">
        <v>52</v>
      </c>
      <c r="Y3" s="190"/>
      <c r="Z3" s="25" t="e">
        <f>#REF!</f>
        <v>#REF!</v>
      </c>
    </row>
    <row r="4" spans="1:26" ht="15" customHeight="1">
      <c r="A4" s="188" t="s">
        <v>636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209" t="s">
        <v>0</v>
      </c>
      <c r="M4" s="209"/>
      <c r="N4" s="209"/>
      <c r="O4" s="209" t="s">
        <v>0</v>
      </c>
      <c r="P4" s="209"/>
      <c r="Q4" s="209"/>
      <c r="R4" s="209" t="s">
        <v>0</v>
      </c>
      <c r="S4" s="209"/>
      <c r="T4" s="209"/>
      <c r="U4" s="81"/>
      <c r="V4" s="81"/>
      <c r="W4" s="81"/>
      <c r="X4" s="209" t="s">
        <v>0</v>
      </c>
      <c r="Y4" s="209"/>
      <c r="Z4" s="209"/>
    </row>
    <row r="5" spans="1:26" ht="65.25" customHeight="1">
      <c r="A5" s="4" t="s">
        <v>1</v>
      </c>
      <c r="B5" s="4" t="s">
        <v>2</v>
      </c>
      <c r="C5" s="4" t="s">
        <v>3</v>
      </c>
      <c r="D5" s="212" t="s">
        <v>67</v>
      </c>
      <c r="E5" s="212"/>
      <c r="F5" s="212"/>
      <c r="G5" s="212"/>
      <c r="H5" s="212"/>
      <c r="I5" s="212"/>
      <c r="J5" s="212"/>
      <c r="K5" s="212"/>
      <c r="L5" s="4" t="s">
        <v>9</v>
      </c>
      <c r="M5" s="4" t="s">
        <v>10</v>
      </c>
      <c r="N5" s="4" t="s">
        <v>11</v>
      </c>
      <c r="O5" s="4" t="s">
        <v>9</v>
      </c>
      <c r="P5" s="4" t="s">
        <v>10</v>
      </c>
      <c r="Q5" s="4" t="s">
        <v>11</v>
      </c>
      <c r="R5" s="4" t="s">
        <v>9</v>
      </c>
      <c r="S5" s="4" t="s">
        <v>10</v>
      </c>
      <c r="T5" s="4" t="s">
        <v>11</v>
      </c>
      <c r="U5" s="4" t="s">
        <v>9</v>
      </c>
      <c r="V5" s="4" t="s">
        <v>10</v>
      </c>
      <c r="W5" s="4" t="s">
        <v>11</v>
      </c>
      <c r="X5" s="4" t="s">
        <v>9</v>
      </c>
      <c r="Y5" s="4" t="s">
        <v>10</v>
      </c>
      <c r="Z5" s="4" t="s">
        <v>11</v>
      </c>
    </row>
    <row r="6" spans="1:26" ht="25.2" customHeight="1">
      <c r="A6" s="213"/>
      <c r="B6" s="214"/>
      <c r="C6" s="215"/>
      <c r="D6" s="144" t="s">
        <v>601</v>
      </c>
      <c r="E6" s="144" t="s">
        <v>602</v>
      </c>
      <c r="F6" s="144" t="s">
        <v>603</v>
      </c>
      <c r="G6" s="145" t="s">
        <v>604</v>
      </c>
      <c r="H6" s="144" t="s">
        <v>611</v>
      </c>
      <c r="I6" s="144" t="s">
        <v>605</v>
      </c>
      <c r="J6" s="144" t="s">
        <v>612</v>
      </c>
      <c r="K6" s="144" t="s">
        <v>5</v>
      </c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</row>
    <row r="7" spans="1:26" ht="25.05" customHeight="1">
      <c r="A7" s="91">
        <v>1</v>
      </c>
      <c r="B7" s="211" t="s">
        <v>12</v>
      </c>
      <c r="C7" s="211"/>
      <c r="D7" s="147"/>
      <c r="E7" s="143"/>
      <c r="F7" s="143"/>
      <c r="G7" s="143"/>
      <c r="H7" s="147"/>
      <c r="I7" s="147"/>
      <c r="J7" s="147"/>
      <c r="K7" s="147"/>
      <c r="L7" s="186" t="s">
        <v>13</v>
      </c>
      <c r="M7" s="186"/>
      <c r="N7" s="186"/>
      <c r="O7" s="186" t="s">
        <v>29</v>
      </c>
      <c r="P7" s="186"/>
      <c r="Q7" s="186"/>
      <c r="R7" s="186" t="s">
        <v>30</v>
      </c>
      <c r="S7" s="186"/>
      <c r="T7" s="186"/>
      <c r="U7" s="186" t="s">
        <v>31</v>
      </c>
      <c r="V7" s="186"/>
      <c r="W7" s="186"/>
      <c r="X7" s="186" t="s">
        <v>32</v>
      </c>
      <c r="Y7" s="186"/>
      <c r="Z7" s="186"/>
    </row>
    <row r="8" spans="1:26" s="79" customFormat="1" ht="49.95" customHeight="1">
      <c r="A8" s="92" t="s">
        <v>14</v>
      </c>
      <c r="B8" s="108">
        <v>103689</v>
      </c>
      <c r="C8" s="148" t="s">
        <v>77</v>
      </c>
      <c r="D8" s="89"/>
      <c r="E8" s="89"/>
      <c r="F8" s="89"/>
      <c r="G8" s="89"/>
      <c r="H8" s="89"/>
      <c r="I8" s="89"/>
      <c r="J8" s="138">
        <v>8</v>
      </c>
      <c r="K8" s="138" t="s">
        <v>610</v>
      </c>
      <c r="L8" s="75">
        <v>1</v>
      </c>
      <c r="M8" s="76">
        <f>TRUNC(L8*F8,2)</f>
        <v>0</v>
      </c>
      <c r="N8" s="77">
        <f>TRUNC(M8*G8)+0.46</f>
        <v>0.46</v>
      </c>
      <c r="O8" s="75">
        <v>0</v>
      </c>
      <c r="P8" s="76">
        <f t="shared" ref="P8" si="0">TRUNC(O8*F8,2)</f>
        <v>0</v>
      </c>
      <c r="Q8" s="77">
        <f>TRUNC(P8*G8)+0</f>
        <v>0</v>
      </c>
      <c r="R8" s="78">
        <v>0</v>
      </c>
      <c r="S8" s="76">
        <f>TRUNC(R8*F8,2)</f>
        <v>0</v>
      </c>
      <c r="T8" s="77">
        <f>TRUNC(S8*G8)</f>
        <v>0</v>
      </c>
      <c r="U8" s="77"/>
      <c r="V8" s="77"/>
      <c r="W8" s="77">
        <f>TRUNC(G8*V8)+0</f>
        <v>0</v>
      </c>
      <c r="X8" s="75">
        <v>0</v>
      </c>
      <c r="Y8" s="76">
        <f>TRUNC(X8*F8,2)</f>
        <v>0</v>
      </c>
      <c r="Z8" s="77">
        <f>TRUNC(Y8*G8)+0</f>
        <v>0</v>
      </c>
    </row>
    <row r="9" spans="1:26" s="79" customFormat="1" ht="19.95" customHeight="1">
      <c r="A9" s="92" t="s">
        <v>606</v>
      </c>
      <c r="B9" s="146"/>
      <c r="C9" s="92"/>
      <c r="D9" s="89">
        <v>1</v>
      </c>
      <c r="E9" s="89">
        <v>2</v>
      </c>
      <c r="F9" s="89">
        <v>4</v>
      </c>
      <c r="G9" s="89"/>
      <c r="H9" s="89">
        <v>8</v>
      </c>
      <c r="I9" s="89">
        <v>8</v>
      </c>
      <c r="J9" s="138"/>
      <c r="K9" s="138"/>
      <c r="L9" s="75"/>
      <c r="M9" s="76"/>
      <c r="N9" s="77"/>
      <c r="O9" s="75"/>
      <c r="P9" s="76"/>
      <c r="Q9" s="77"/>
      <c r="R9" s="78"/>
      <c r="S9" s="76"/>
      <c r="T9" s="77"/>
      <c r="U9" s="77"/>
      <c r="V9" s="77"/>
      <c r="W9" s="77"/>
      <c r="X9" s="75"/>
      <c r="Y9" s="76"/>
      <c r="Z9" s="77"/>
    </row>
    <row r="10" spans="1:26" s="79" customFormat="1" ht="49.95" customHeight="1">
      <c r="A10" s="92" t="s">
        <v>15</v>
      </c>
      <c r="B10" s="108">
        <v>99059</v>
      </c>
      <c r="C10" s="148" t="s">
        <v>78</v>
      </c>
      <c r="D10" s="89"/>
      <c r="E10" s="89"/>
      <c r="F10" s="89"/>
      <c r="G10" s="89"/>
      <c r="H10" s="89"/>
      <c r="I10" s="89"/>
      <c r="J10" s="138">
        <v>132.87</v>
      </c>
      <c r="K10" s="138" t="s">
        <v>38</v>
      </c>
      <c r="L10" s="75"/>
      <c r="M10" s="76"/>
      <c r="N10" s="77"/>
      <c r="O10" s="75"/>
      <c r="P10" s="76"/>
      <c r="Q10" s="77"/>
      <c r="R10" s="78"/>
      <c r="S10" s="76"/>
      <c r="T10" s="77"/>
      <c r="U10" s="77"/>
      <c r="V10" s="77"/>
      <c r="W10" s="77"/>
      <c r="X10" s="75"/>
      <c r="Y10" s="76"/>
      <c r="Z10" s="77"/>
    </row>
    <row r="11" spans="1:26" ht="19.95" customHeight="1">
      <c r="A11" s="92" t="s">
        <v>607</v>
      </c>
      <c r="B11" s="146"/>
      <c r="C11" s="149" t="s">
        <v>608</v>
      </c>
      <c r="D11" s="89">
        <v>1</v>
      </c>
      <c r="E11" s="89">
        <v>132.87</v>
      </c>
      <c r="F11" s="89"/>
      <c r="G11" s="89"/>
      <c r="H11" s="89">
        <v>132.87</v>
      </c>
      <c r="I11" s="89">
        <v>132.87</v>
      </c>
      <c r="J11" s="138"/>
      <c r="K11" s="138"/>
      <c r="L11" s="11">
        <v>1</v>
      </c>
      <c r="M11" s="12">
        <f>TRUNC(L11*F12,2)</f>
        <v>0</v>
      </c>
      <c r="N11" s="13">
        <f>TRUNC(M11*G12)+0.41</f>
        <v>0.41</v>
      </c>
      <c r="O11" s="11"/>
      <c r="P11" s="12"/>
      <c r="Q11" s="13"/>
      <c r="R11" s="11"/>
      <c r="S11" s="12"/>
      <c r="T11" s="13"/>
      <c r="U11" s="13"/>
      <c r="V11" s="13"/>
      <c r="W11" s="77">
        <f>TRUNC(G12*V11)+0</f>
        <v>0</v>
      </c>
      <c r="X11" s="11"/>
      <c r="Y11" s="76">
        <f>TRUNC(X11*F12,2)</f>
        <v>0</v>
      </c>
      <c r="Z11" s="77">
        <f>TRUNC(Y11*G12)+0</f>
        <v>0</v>
      </c>
    </row>
    <row r="12" spans="1:26" ht="55.05" customHeight="1">
      <c r="A12" s="29" t="s">
        <v>75</v>
      </c>
      <c r="B12" s="108">
        <v>98525</v>
      </c>
      <c r="C12" s="155" t="s">
        <v>79</v>
      </c>
      <c r="D12" s="89"/>
      <c r="E12" s="89"/>
      <c r="F12" s="89"/>
      <c r="G12" s="89"/>
      <c r="H12" s="89"/>
      <c r="I12" s="89"/>
      <c r="J12" s="138">
        <v>888.32</v>
      </c>
      <c r="K12" s="138" t="s">
        <v>610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9.95" customHeight="1">
      <c r="A13" s="29"/>
      <c r="B13" s="108"/>
      <c r="C13" s="29" t="s">
        <v>609</v>
      </c>
      <c r="D13" s="89">
        <v>1</v>
      </c>
      <c r="E13" s="89">
        <v>888.32</v>
      </c>
      <c r="F13" s="89"/>
      <c r="G13" s="89"/>
      <c r="H13" s="89">
        <v>888.32</v>
      </c>
      <c r="I13" s="89">
        <v>888.32</v>
      </c>
      <c r="J13" s="138"/>
      <c r="K13" s="10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05" customHeight="1">
      <c r="A14" s="91">
        <v>2</v>
      </c>
      <c r="B14" s="211" t="s">
        <v>76</v>
      </c>
      <c r="C14" s="211"/>
      <c r="D14" s="147"/>
      <c r="E14" s="143"/>
      <c r="F14" s="143"/>
      <c r="G14" s="143"/>
      <c r="H14" s="143"/>
      <c r="I14" s="147"/>
      <c r="J14" s="143"/>
      <c r="K14" s="147"/>
      <c r="L14" s="11">
        <v>1</v>
      </c>
      <c r="M14" s="12">
        <f>TRUNC(L14*F16,2)</f>
        <v>0</v>
      </c>
      <c r="N14" s="13">
        <f>TRUNC(M14*G16)+0.12</f>
        <v>0.12</v>
      </c>
      <c r="O14" s="11"/>
      <c r="P14" s="12"/>
      <c r="Q14" s="13"/>
      <c r="R14" s="11"/>
      <c r="S14" s="12"/>
      <c r="T14" s="13"/>
      <c r="U14" s="13"/>
      <c r="V14" s="13"/>
      <c r="W14" s="77">
        <f>TRUNC(G16*V14)+0</f>
        <v>0</v>
      </c>
      <c r="X14" s="11"/>
      <c r="Y14" s="76">
        <f>TRUNC(X14*F16,2)</f>
        <v>0</v>
      </c>
      <c r="Z14" s="77">
        <f>TRUNC(Y14*G16)+0</f>
        <v>0</v>
      </c>
    </row>
    <row r="15" spans="1:26" ht="25.05" customHeight="1">
      <c r="A15" s="91" t="s">
        <v>16</v>
      </c>
      <c r="B15" s="211" t="s">
        <v>12</v>
      </c>
      <c r="C15" s="211"/>
      <c r="D15" s="147"/>
      <c r="E15" s="147"/>
      <c r="F15" s="147"/>
      <c r="G15" s="147"/>
      <c r="H15" s="143"/>
      <c r="I15" s="147"/>
      <c r="J15" s="143"/>
      <c r="K15" s="147"/>
      <c r="L15" s="11"/>
      <c r="M15" s="12"/>
      <c r="N15" s="13"/>
      <c r="O15" s="11"/>
      <c r="P15" s="12"/>
      <c r="Q15" s="13"/>
      <c r="R15" s="11"/>
      <c r="S15" s="12"/>
      <c r="T15" s="13"/>
      <c r="U15" s="13"/>
      <c r="V15" s="13"/>
      <c r="W15" s="77"/>
      <c r="X15" s="11"/>
      <c r="Y15" s="76"/>
      <c r="Z15" s="77"/>
    </row>
    <row r="16" spans="1:26" ht="49.95" customHeight="1">
      <c r="A16" s="29" t="s">
        <v>80</v>
      </c>
      <c r="B16" s="108">
        <v>99059</v>
      </c>
      <c r="C16" s="156" t="s">
        <v>78</v>
      </c>
      <c r="D16" s="89"/>
      <c r="E16" s="89"/>
      <c r="F16" s="89"/>
      <c r="G16" s="89"/>
      <c r="H16" s="89"/>
      <c r="I16" s="89"/>
      <c r="J16" s="157">
        <v>13.9</v>
      </c>
      <c r="K16" s="152" t="s">
        <v>610</v>
      </c>
      <c r="L16" s="11">
        <v>1</v>
      </c>
      <c r="M16" s="12">
        <f>TRUNC(L16*F18,2)</f>
        <v>0</v>
      </c>
      <c r="N16" s="13">
        <f>TRUNC(M16*G18)+0</f>
        <v>0</v>
      </c>
      <c r="O16" s="11"/>
      <c r="P16" s="12"/>
      <c r="Q16" s="13"/>
      <c r="R16" s="11"/>
      <c r="S16" s="12"/>
      <c r="T16" s="13"/>
      <c r="U16" s="13"/>
      <c r="V16" s="13"/>
      <c r="W16" s="77">
        <f>TRUNC(G18*V16)+0</f>
        <v>0</v>
      </c>
      <c r="X16" s="11"/>
      <c r="Y16" s="76">
        <f>TRUNC(X16*F18,2)</f>
        <v>0</v>
      </c>
      <c r="Z16" s="77">
        <f>TRUNC(Y16*G18)+0</f>
        <v>0</v>
      </c>
    </row>
    <row r="17" spans="1:26" ht="19.95" customHeight="1">
      <c r="A17" s="29"/>
      <c r="B17" s="108"/>
      <c r="C17" s="34" t="s">
        <v>687</v>
      </c>
      <c r="D17" s="89">
        <v>1</v>
      </c>
      <c r="E17" s="89">
        <v>13.9</v>
      </c>
      <c r="F17" s="89"/>
      <c r="G17" s="89"/>
      <c r="H17" s="151">
        <v>13.9</v>
      </c>
      <c r="I17" s="151">
        <v>13.9</v>
      </c>
      <c r="J17" s="152"/>
      <c r="K17" s="152"/>
      <c r="L17" s="11"/>
      <c r="M17" s="12"/>
      <c r="N17" s="13"/>
      <c r="O17" s="11"/>
      <c r="P17" s="12"/>
      <c r="Q17" s="13"/>
      <c r="R17" s="11"/>
      <c r="S17" s="12"/>
      <c r="T17" s="13"/>
      <c r="U17" s="13"/>
      <c r="V17" s="13"/>
      <c r="W17" s="77"/>
      <c r="X17" s="11"/>
      <c r="Y17" s="76"/>
      <c r="Z17" s="77"/>
    </row>
    <row r="18" spans="1:26" ht="25.05" customHeight="1">
      <c r="A18" s="91" t="s">
        <v>17</v>
      </c>
      <c r="B18" s="211" t="s">
        <v>33</v>
      </c>
      <c r="C18" s="211"/>
      <c r="D18" s="147"/>
      <c r="E18" s="147"/>
      <c r="F18" s="147"/>
      <c r="G18" s="147"/>
      <c r="H18" s="150"/>
      <c r="I18" s="150"/>
      <c r="J18" s="150"/>
      <c r="K18" s="150"/>
      <c r="L18" s="11">
        <v>1</v>
      </c>
      <c r="M18" s="12" t="e">
        <f>TRUNC(L18*#REF!,2)</f>
        <v>#REF!</v>
      </c>
      <c r="N18" s="13" t="e">
        <f>TRUNC(M18*#REF!)+0.2</f>
        <v>#REF!</v>
      </c>
      <c r="O18" s="11"/>
      <c r="P18" s="12"/>
      <c r="Q18" s="13"/>
      <c r="R18" s="11"/>
      <c r="S18" s="12"/>
      <c r="T18" s="13"/>
      <c r="U18" s="13"/>
      <c r="V18" s="13"/>
      <c r="W18" s="77" t="e">
        <f>TRUNC(#REF!*V18)+0</f>
        <v>#REF!</v>
      </c>
      <c r="X18" s="11"/>
      <c r="Y18" s="76" t="e">
        <f>TRUNC(X18*#REF!,2)</f>
        <v>#REF!</v>
      </c>
      <c r="Z18" s="77" t="e">
        <f>TRUNC(Y18*#REF!)+0</f>
        <v>#REF!</v>
      </c>
    </row>
    <row r="19" spans="1:26" ht="49.95" customHeight="1">
      <c r="A19" s="158" t="s">
        <v>81</v>
      </c>
      <c r="B19" s="108">
        <v>93358</v>
      </c>
      <c r="C19" s="156" t="s">
        <v>410</v>
      </c>
      <c r="D19" s="89"/>
      <c r="E19" s="89"/>
      <c r="F19" s="89"/>
      <c r="G19" s="89"/>
      <c r="H19" s="89"/>
      <c r="I19" s="89"/>
      <c r="J19" s="157">
        <v>11.6</v>
      </c>
      <c r="K19" s="152" t="s">
        <v>623</v>
      </c>
      <c r="L19" s="11"/>
      <c r="M19" s="12"/>
      <c r="N19" s="13"/>
      <c r="O19" s="11"/>
      <c r="P19" s="12"/>
      <c r="Q19" s="13"/>
      <c r="R19" s="11"/>
      <c r="S19" s="12"/>
      <c r="T19" s="13"/>
      <c r="U19" s="13"/>
      <c r="V19" s="13"/>
      <c r="W19" s="77"/>
      <c r="X19" s="11"/>
      <c r="Y19" s="76"/>
      <c r="Z19" s="77"/>
    </row>
    <row r="20" spans="1:26" ht="19.95" customHeight="1">
      <c r="A20" s="158" t="s">
        <v>624</v>
      </c>
      <c r="B20" s="108"/>
      <c r="C20" s="34" t="s">
        <v>613</v>
      </c>
      <c r="D20" s="89">
        <v>6</v>
      </c>
      <c r="E20" s="89">
        <v>0.6</v>
      </c>
      <c r="F20" s="89">
        <v>0.75</v>
      </c>
      <c r="G20" s="89">
        <v>1.35</v>
      </c>
      <c r="H20" s="151">
        <v>0.60750000000000004</v>
      </c>
      <c r="I20" s="151">
        <v>3.65</v>
      </c>
      <c r="J20" s="152"/>
      <c r="K20" s="152"/>
      <c r="L20" s="11"/>
      <c r="M20" s="12"/>
      <c r="N20" s="13"/>
      <c r="O20" s="11"/>
      <c r="P20" s="12"/>
      <c r="Q20" s="13"/>
      <c r="R20" s="11"/>
      <c r="S20" s="12"/>
      <c r="T20" s="13"/>
      <c r="U20" s="13"/>
      <c r="V20" s="13"/>
      <c r="W20" s="77"/>
      <c r="X20" s="11"/>
      <c r="Y20" s="76"/>
      <c r="Z20" s="77"/>
    </row>
    <row r="21" spans="1:26" ht="19.95" customHeight="1">
      <c r="A21" s="158" t="s">
        <v>625</v>
      </c>
      <c r="B21" s="108"/>
      <c r="C21" s="34" t="s">
        <v>614</v>
      </c>
      <c r="D21" s="89">
        <v>4</v>
      </c>
      <c r="E21" s="89">
        <v>0.65</v>
      </c>
      <c r="F21" s="89">
        <v>0.7</v>
      </c>
      <c r="G21" s="89">
        <v>1.35</v>
      </c>
      <c r="H21" s="151">
        <v>0.61424999999999996</v>
      </c>
      <c r="I21" s="151">
        <v>2.46</v>
      </c>
      <c r="J21" s="152"/>
      <c r="K21" s="152"/>
      <c r="L21" s="11"/>
      <c r="M21" s="12"/>
      <c r="N21" s="13"/>
      <c r="O21" s="11"/>
      <c r="P21" s="12"/>
      <c r="Q21" s="13"/>
      <c r="R21" s="11"/>
      <c r="S21" s="12"/>
      <c r="T21" s="13"/>
      <c r="U21" s="13"/>
      <c r="V21" s="13"/>
      <c r="W21" s="77"/>
      <c r="X21" s="11"/>
      <c r="Y21" s="76"/>
      <c r="Z21" s="77"/>
    </row>
    <row r="22" spans="1:26" ht="19.95" customHeight="1">
      <c r="A22" s="158" t="s">
        <v>626</v>
      </c>
      <c r="B22" s="108"/>
      <c r="C22" s="34" t="s">
        <v>615</v>
      </c>
      <c r="D22" s="89">
        <v>2</v>
      </c>
      <c r="E22" s="89">
        <v>0.7</v>
      </c>
      <c r="F22" s="89">
        <v>0.8</v>
      </c>
      <c r="G22" s="89">
        <v>1.35</v>
      </c>
      <c r="H22" s="151">
        <v>0.75600000000000001</v>
      </c>
      <c r="I22" s="151">
        <v>1.51</v>
      </c>
      <c r="J22" s="152"/>
      <c r="K22" s="152"/>
      <c r="L22" s="11"/>
      <c r="M22" s="12"/>
      <c r="N22" s="13"/>
      <c r="O22" s="11"/>
      <c r="P22" s="12"/>
      <c r="Q22" s="13"/>
      <c r="R22" s="11"/>
      <c r="S22" s="12"/>
      <c r="T22" s="13"/>
      <c r="U22" s="13"/>
      <c r="V22" s="13"/>
      <c r="W22" s="77"/>
      <c r="X22" s="11"/>
      <c r="Y22" s="76"/>
      <c r="Z22" s="77"/>
    </row>
    <row r="23" spans="1:26" ht="19.95" customHeight="1">
      <c r="A23" s="158" t="s">
        <v>627</v>
      </c>
      <c r="B23" s="108"/>
      <c r="C23" s="34" t="s">
        <v>616</v>
      </c>
      <c r="D23" s="89">
        <v>2</v>
      </c>
      <c r="E23" s="89">
        <v>0.8</v>
      </c>
      <c r="F23" s="89">
        <v>0.9</v>
      </c>
      <c r="G23" s="89">
        <v>1.35</v>
      </c>
      <c r="H23" s="151">
        <v>0.97199999999999998</v>
      </c>
      <c r="I23" s="151">
        <v>1.94</v>
      </c>
      <c r="J23" s="152"/>
      <c r="K23" s="152"/>
      <c r="L23" s="11"/>
      <c r="M23" s="12"/>
      <c r="N23" s="13"/>
      <c r="O23" s="11"/>
      <c r="P23" s="12"/>
      <c r="Q23" s="13"/>
      <c r="R23" s="11"/>
      <c r="S23" s="12"/>
      <c r="T23" s="13"/>
      <c r="U23" s="13"/>
      <c r="V23" s="13"/>
      <c r="W23" s="77"/>
      <c r="X23" s="11"/>
      <c r="Y23" s="76"/>
      <c r="Z23" s="77"/>
    </row>
    <row r="24" spans="1:26" ht="19.95" customHeight="1">
      <c r="A24" s="158" t="s">
        <v>628</v>
      </c>
      <c r="B24" s="108"/>
      <c r="C24" s="34" t="s">
        <v>617</v>
      </c>
      <c r="D24" s="89">
        <v>1</v>
      </c>
      <c r="E24" s="89">
        <v>3</v>
      </c>
      <c r="F24" s="89">
        <v>0.15</v>
      </c>
      <c r="G24" s="89">
        <v>0.3</v>
      </c>
      <c r="H24" s="151">
        <v>0.13500000000000001</v>
      </c>
      <c r="I24" s="151">
        <v>0.14000000000000001</v>
      </c>
      <c r="J24" s="152"/>
      <c r="K24" s="152"/>
      <c r="L24" s="11"/>
      <c r="M24" s="12"/>
      <c r="N24" s="13"/>
      <c r="O24" s="11"/>
      <c r="P24" s="12"/>
      <c r="Q24" s="13"/>
      <c r="R24" s="11"/>
      <c r="S24" s="12"/>
      <c r="T24" s="13"/>
      <c r="U24" s="13"/>
      <c r="V24" s="13"/>
      <c r="W24" s="77"/>
      <c r="X24" s="11"/>
      <c r="Y24" s="76"/>
      <c r="Z24" s="77"/>
    </row>
    <row r="25" spans="1:26" ht="19.95" customHeight="1">
      <c r="A25" s="158" t="s">
        <v>629</v>
      </c>
      <c r="B25" s="108"/>
      <c r="C25" s="34" t="s">
        <v>618</v>
      </c>
      <c r="D25" s="89">
        <v>1</v>
      </c>
      <c r="E25" s="89">
        <v>3</v>
      </c>
      <c r="F25" s="89">
        <v>0.15</v>
      </c>
      <c r="G25" s="89">
        <v>0.3</v>
      </c>
      <c r="H25" s="151">
        <v>0.13500000000000001</v>
      </c>
      <c r="I25" s="151">
        <v>0.14000000000000001</v>
      </c>
      <c r="J25" s="152"/>
      <c r="K25" s="152"/>
      <c r="L25" s="11"/>
      <c r="M25" s="12"/>
      <c r="N25" s="13"/>
      <c r="O25" s="11"/>
      <c r="P25" s="12"/>
      <c r="Q25" s="13"/>
      <c r="R25" s="11"/>
      <c r="S25" s="12"/>
      <c r="T25" s="13"/>
      <c r="U25" s="13"/>
      <c r="V25" s="13"/>
      <c r="W25" s="77"/>
      <c r="X25" s="11"/>
      <c r="Y25" s="76"/>
      <c r="Z25" s="77"/>
    </row>
    <row r="26" spans="1:26" ht="19.95" customHeight="1">
      <c r="A26" s="158" t="s">
        <v>630</v>
      </c>
      <c r="B26" s="108"/>
      <c r="C26" s="34" t="s">
        <v>619</v>
      </c>
      <c r="D26" s="89">
        <v>1</v>
      </c>
      <c r="E26" s="89">
        <v>3</v>
      </c>
      <c r="F26" s="89">
        <v>0.15</v>
      </c>
      <c r="G26" s="89">
        <v>0.3</v>
      </c>
      <c r="H26" s="151">
        <v>0.13500000000000001</v>
      </c>
      <c r="I26" s="151">
        <v>0.14000000000000001</v>
      </c>
      <c r="J26" s="152"/>
      <c r="K26" s="152"/>
      <c r="L26" s="11"/>
      <c r="M26" s="12"/>
      <c r="N26" s="13"/>
      <c r="O26" s="11"/>
      <c r="P26" s="12"/>
      <c r="Q26" s="13"/>
      <c r="R26" s="11"/>
      <c r="S26" s="12"/>
      <c r="T26" s="13"/>
      <c r="U26" s="13"/>
      <c r="V26" s="13"/>
      <c r="W26" s="77"/>
      <c r="X26" s="11"/>
      <c r="Y26" s="76"/>
      <c r="Z26" s="77"/>
    </row>
    <row r="27" spans="1:26" ht="19.95" customHeight="1">
      <c r="A27" s="158" t="s">
        <v>631</v>
      </c>
      <c r="B27" s="108"/>
      <c r="C27" s="34" t="s">
        <v>620</v>
      </c>
      <c r="D27" s="89">
        <v>1</v>
      </c>
      <c r="E27" s="89">
        <v>3.35</v>
      </c>
      <c r="F27" s="89">
        <v>0.15</v>
      </c>
      <c r="G27" s="89">
        <v>0.3</v>
      </c>
      <c r="H27" s="151">
        <v>0.15075</v>
      </c>
      <c r="I27" s="151">
        <v>0.15</v>
      </c>
      <c r="J27" s="152"/>
      <c r="K27" s="152"/>
      <c r="L27" s="11"/>
      <c r="M27" s="12"/>
      <c r="N27" s="13"/>
      <c r="O27" s="11"/>
      <c r="P27" s="12"/>
      <c r="Q27" s="13"/>
      <c r="R27" s="11"/>
      <c r="S27" s="12"/>
      <c r="T27" s="13"/>
      <c r="U27" s="13"/>
      <c r="V27" s="13"/>
      <c r="W27" s="77"/>
      <c r="X27" s="11"/>
      <c r="Y27" s="76"/>
      <c r="Z27" s="77"/>
    </row>
    <row r="28" spans="1:26" ht="19.95" customHeight="1">
      <c r="A28" s="158" t="s">
        <v>632</v>
      </c>
      <c r="B28" s="108"/>
      <c r="C28" s="34" t="s">
        <v>621</v>
      </c>
      <c r="D28" s="89">
        <v>1</v>
      </c>
      <c r="E28" s="89">
        <v>3.35</v>
      </c>
      <c r="F28" s="89">
        <v>0.15</v>
      </c>
      <c r="G28" s="89">
        <v>0.3</v>
      </c>
      <c r="H28" s="151">
        <v>0.15075</v>
      </c>
      <c r="I28" s="151">
        <v>0.15</v>
      </c>
      <c r="J28" s="152"/>
      <c r="K28" s="152"/>
      <c r="L28" s="11"/>
      <c r="M28" s="12"/>
      <c r="N28" s="13"/>
      <c r="O28" s="11"/>
      <c r="P28" s="12"/>
      <c r="Q28" s="13"/>
      <c r="R28" s="11"/>
      <c r="S28" s="12"/>
      <c r="T28" s="13"/>
      <c r="U28" s="13"/>
      <c r="V28" s="13"/>
      <c r="W28" s="77"/>
      <c r="X28" s="11"/>
      <c r="Y28" s="76"/>
      <c r="Z28" s="77"/>
    </row>
    <row r="29" spans="1:26" ht="19.95" customHeight="1">
      <c r="A29" s="158" t="s">
        <v>633</v>
      </c>
      <c r="B29" s="108"/>
      <c r="C29" s="34" t="s">
        <v>622</v>
      </c>
      <c r="D29" s="89">
        <v>8</v>
      </c>
      <c r="E29" s="89">
        <v>4.1100000000000003</v>
      </c>
      <c r="F29" s="89">
        <v>0.2</v>
      </c>
      <c r="G29" s="89">
        <v>0.2</v>
      </c>
      <c r="H29" s="151">
        <v>0.16439999999999999</v>
      </c>
      <c r="I29" s="151">
        <v>1.32</v>
      </c>
      <c r="J29" s="152"/>
      <c r="K29" s="152"/>
      <c r="L29" s="11"/>
      <c r="M29" s="12"/>
      <c r="N29" s="13"/>
      <c r="O29" s="11"/>
      <c r="P29" s="12"/>
      <c r="Q29" s="13"/>
      <c r="R29" s="11"/>
      <c r="S29" s="12"/>
      <c r="T29" s="13"/>
      <c r="U29" s="13"/>
      <c r="V29" s="13"/>
      <c r="W29" s="77"/>
      <c r="X29" s="11"/>
      <c r="Y29" s="76"/>
      <c r="Z29" s="77"/>
    </row>
    <row r="30" spans="1:26" ht="49.95" customHeight="1">
      <c r="A30" s="29" t="s">
        <v>81</v>
      </c>
      <c r="B30" s="108">
        <v>104737</v>
      </c>
      <c r="C30" s="156" t="s">
        <v>411</v>
      </c>
      <c r="D30" s="89"/>
      <c r="E30" s="89"/>
      <c r="F30" s="89"/>
      <c r="G30" s="89"/>
      <c r="H30" s="89"/>
      <c r="I30" s="89"/>
      <c r="J30" s="157">
        <v>7.67</v>
      </c>
      <c r="K30" s="152" t="s">
        <v>623</v>
      </c>
      <c r="L30" s="11"/>
      <c r="M30" s="12"/>
      <c r="N30" s="13"/>
      <c r="O30" s="11"/>
      <c r="P30" s="12"/>
      <c r="Q30" s="13"/>
      <c r="R30" s="11"/>
      <c r="S30" s="12"/>
      <c r="T30" s="13"/>
      <c r="U30" s="13"/>
      <c r="V30" s="13"/>
      <c r="W30" s="77"/>
      <c r="X30" s="11"/>
      <c r="Y30" s="76"/>
      <c r="Z30" s="77"/>
    </row>
    <row r="31" spans="1:26" ht="19.95" customHeight="1">
      <c r="A31" s="29" t="s">
        <v>634</v>
      </c>
      <c r="B31" s="108"/>
      <c r="C31" s="34" t="s">
        <v>635</v>
      </c>
      <c r="D31" s="89">
        <v>1</v>
      </c>
      <c r="E31" s="89">
        <v>7.67</v>
      </c>
      <c r="F31" s="89"/>
      <c r="G31" s="89"/>
      <c r="H31" s="151">
        <v>7.67</v>
      </c>
      <c r="I31" s="151">
        <v>7.67</v>
      </c>
      <c r="J31" s="152"/>
      <c r="K31" s="152"/>
      <c r="L31" s="11"/>
      <c r="M31" s="12"/>
      <c r="N31" s="13"/>
      <c r="O31" s="11"/>
      <c r="P31" s="12"/>
      <c r="Q31" s="13"/>
      <c r="R31" s="11"/>
      <c r="S31" s="12"/>
      <c r="T31" s="13"/>
      <c r="U31" s="13"/>
      <c r="V31" s="13"/>
      <c r="W31" s="77"/>
      <c r="X31" s="11"/>
      <c r="Y31" s="76"/>
      <c r="Z31" s="77"/>
    </row>
    <row r="32" spans="1:26" ht="25.05" customHeight="1">
      <c r="A32" s="91" t="s">
        <v>18</v>
      </c>
      <c r="B32" s="211" t="s">
        <v>40</v>
      </c>
      <c r="C32" s="211"/>
      <c r="D32" s="147"/>
      <c r="E32" s="147"/>
      <c r="F32" s="147"/>
      <c r="G32" s="147"/>
      <c r="H32" s="150"/>
      <c r="I32" s="150"/>
      <c r="J32" s="150"/>
      <c r="K32" s="150"/>
      <c r="L32" s="11">
        <v>1</v>
      </c>
      <c r="M32" s="12" t="e">
        <f>TRUNC(L32*#REF!,2)</f>
        <v>#REF!</v>
      </c>
      <c r="N32" s="13" t="e">
        <f>TRUNC(M32*#REF!)+0.2</f>
        <v>#REF!</v>
      </c>
      <c r="O32" s="11"/>
      <c r="P32" s="12"/>
      <c r="Q32" s="13"/>
      <c r="R32" s="11"/>
      <c r="S32" s="12"/>
      <c r="T32" s="13"/>
      <c r="U32" s="13"/>
      <c r="V32" s="13"/>
      <c r="W32" s="77" t="e">
        <f>TRUNC(#REF!*V32)+0</f>
        <v>#REF!</v>
      </c>
      <c r="X32" s="11"/>
      <c r="Y32" s="76" t="e">
        <f>TRUNC(X32*#REF!,2)</f>
        <v>#REF!</v>
      </c>
      <c r="Z32" s="77" t="e">
        <f>TRUNC(Y32*#REF!)+0</f>
        <v>#REF!</v>
      </c>
    </row>
    <row r="33" spans="1:26" ht="49.95" customHeight="1">
      <c r="A33" s="92" t="s">
        <v>82</v>
      </c>
      <c r="B33" s="108">
        <v>96619</v>
      </c>
      <c r="C33" s="156" t="s">
        <v>412</v>
      </c>
      <c r="D33" s="89"/>
      <c r="E33" s="89"/>
      <c r="F33" s="89"/>
      <c r="G33" s="89"/>
      <c r="H33" s="89"/>
      <c r="I33" s="89"/>
      <c r="J33" s="157">
        <v>7.08</v>
      </c>
      <c r="K33" s="152" t="s">
        <v>610</v>
      </c>
      <c r="L33" s="11"/>
      <c r="M33" s="12"/>
      <c r="N33" s="13"/>
      <c r="O33" s="11"/>
      <c r="P33" s="12"/>
      <c r="Q33" s="13"/>
      <c r="R33" s="11"/>
      <c r="S33" s="12"/>
      <c r="T33" s="13"/>
      <c r="U33" s="13"/>
      <c r="V33" s="13"/>
      <c r="W33" s="77"/>
      <c r="X33" s="11"/>
      <c r="Y33" s="76"/>
      <c r="Z33" s="77"/>
    </row>
    <row r="34" spans="1:26" ht="19.95" customHeight="1">
      <c r="A34" s="29" t="s">
        <v>642</v>
      </c>
      <c r="B34" s="108"/>
      <c r="C34" s="34" t="s">
        <v>675</v>
      </c>
      <c r="D34" s="89">
        <v>6</v>
      </c>
      <c r="E34" s="89">
        <v>0.6</v>
      </c>
      <c r="F34" s="89">
        <v>0.75</v>
      </c>
      <c r="G34" s="89"/>
      <c r="H34" s="151">
        <v>0.45</v>
      </c>
      <c r="I34" s="151">
        <v>2.7</v>
      </c>
      <c r="J34" s="152"/>
      <c r="K34" s="152"/>
      <c r="L34" s="11"/>
      <c r="M34" s="12"/>
      <c r="N34" s="13"/>
      <c r="O34" s="11"/>
      <c r="P34" s="12"/>
      <c r="Q34" s="13"/>
      <c r="R34" s="11"/>
      <c r="S34" s="12"/>
      <c r="T34" s="13"/>
      <c r="U34" s="13"/>
      <c r="V34" s="13"/>
      <c r="W34" s="77"/>
      <c r="X34" s="11"/>
      <c r="Y34" s="76"/>
      <c r="Z34" s="77"/>
    </row>
    <row r="35" spans="1:26" ht="19.95" customHeight="1">
      <c r="A35" s="29" t="s">
        <v>643</v>
      </c>
      <c r="B35" s="108"/>
      <c r="C35" s="162" t="s">
        <v>676</v>
      </c>
      <c r="D35" s="89">
        <v>4</v>
      </c>
      <c r="E35" s="89">
        <v>0.65</v>
      </c>
      <c r="F35" s="89">
        <v>0.7</v>
      </c>
      <c r="G35" s="89"/>
      <c r="H35" s="151">
        <v>0.45500000000000002</v>
      </c>
      <c r="I35" s="151">
        <v>1.82</v>
      </c>
      <c r="J35" s="152"/>
      <c r="K35" s="152"/>
      <c r="L35" s="11"/>
      <c r="M35" s="12"/>
      <c r="N35" s="13"/>
      <c r="O35" s="11"/>
      <c r="P35" s="12"/>
      <c r="Q35" s="13"/>
      <c r="R35" s="11"/>
      <c r="S35" s="12"/>
      <c r="T35" s="13"/>
      <c r="U35" s="13"/>
      <c r="V35" s="13"/>
      <c r="W35" s="77"/>
      <c r="X35" s="11"/>
      <c r="Y35" s="76"/>
      <c r="Z35" s="77"/>
    </row>
    <row r="36" spans="1:26" ht="19.95" customHeight="1">
      <c r="A36" s="29" t="s">
        <v>644</v>
      </c>
      <c r="B36" s="108"/>
      <c r="C36" s="34" t="s">
        <v>677</v>
      </c>
      <c r="D36" s="89">
        <v>2</v>
      </c>
      <c r="E36" s="89">
        <v>0.7</v>
      </c>
      <c r="F36" s="89">
        <v>0.8</v>
      </c>
      <c r="G36" s="89"/>
      <c r="H36" s="151">
        <v>0.56000000000000005</v>
      </c>
      <c r="I36" s="151">
        <v>1.1200000000000001</v>
      </c>
      <c r="J36" s="152"/>
      <c r="K36" s="152"/>
      <c r="L36" s="11"/>
      <c r="M36" s="12"/>
      <c r="N36" s="13"/>
      <c r="O36" s="11"/>
      <c r="P36" s="12"/>
      <c r="Q36" s="13"/>
      <c r="R36" s="11"/>
      <c r="S36" s="12"/>
      <c r="T36" s="13"/>
      <c r="U36" s="13"/>
      <c r="V36" s="13"/>
      <c r="W36" s="77"/>
      <c r="X36" s="11"/>
      <c r="Y36" s="76"/>
      <c r="Z36" s="77"/>
    </row>
    <row r="37" spans="1:26" ht="19.95" customHeight="1">
      <c r="A37" s="29" t="s">
        <v>645</v>
      </c>
      <c r="B37" s="108"/>
      <c r="C37" s="34" t="s">
        <v>678</v>
      </c>
      <c r="D37" s="89">
        <v>2</v>
      </c>
      <c r="E37" s="89">
        <v>0.8</v>
      </c>
      <c r="F37" s="89">
        <v>0.9</v>
      </c>
      <c r="G37" s="89"/>
      <c r="H37" s="151">
        <v>0.72</v>
      </c>
      <c r="I37" s="151">
        <v>1.44</v>
      </c>
      <c r="J37" s="152"/>
      <c r="K37" s="152"/>
      <c r="L37" s="11"/>
      <c r="M37" s="12"/>
      <c r="N37" s="13"/>
      <c r="O37" s="11"/>
      <c r="P37" s="12"/>
      <c r="Q37" s="13"/>
      <c r="R37" s="11"/>
      <c r="S37" s="12"/>
      <c r="T37" s="13"/>
      <c r="U37" s="13"/>
      <c r="V37" s="13"/>
      <c r="W37" s="77"/>
      <c r="X37" s="11"/>
      <c r="Y37" s="76"/>
      <c r="Z37" s="77"/>
    </row>
    <row r="38" spans="1:26" ht="49.95" customHeight="1">
      <c r="A38" s="92" t="s">
        <v>83</v>
      </c>
      <c r="B38" s="108">
        <v>101616</v>
      </c>
      <c r="C38" s="156" t="s">
        <v>413</v>
      </c>
      <c r="D38" s="89"/>
      <c r="E38" s="89"/>
      <c r="F38" s="89"/>
      <c r="G38" s="89"/>
      <c r="H38" s="89"/>
      <c r="I38" s="89"/>
      <c r="J38" s="157">
        <v>16.010000000000002</v>
      </c>
      <c r="K38" s="152" t="s">
        <v>610</v>
      </c>
      <c r="L38" s="11"/>
      <c r="M38" s="12"/>
      <c r="N38" s="13"/>
      <c r="O38" s="11"/>
      <c r="P38" s="12"/>
      <c r="Q38" s="13"/>
      <c r="R38" s="11"/>
      <c r="S38" s="12"/>
      <c r="T38" s="13"/>
      <c r="U38" s="13"/>
      <c r="V38" s="13"/>
      <c r="W38" s="77"/>
      <c r="X38" s="11"/>
      <c r="Y38" s="76"/>
      <c r="Z38" s="77"/>
    </row>
    <row r="39" spans="1:26" ht="19.95" customHeight="1">
      <c r="A39" s="29" t="s">
        <v>646</v>
      </c>
      <c r="B39" s="108"/>
      <c r="C39" s="34" t="s">
        <v>675</v>
      </c>
      <c r="D39" s="89">
        <v>6</v>
      </c>
      <c r="E39" s="89">
        <v>0.6</v>
      </c>
      <c r="F39" s="89">
        <v>0.75</v>
      </c>
      <c r="G39" s="89"/>
      <c r="H39" s="164">
        <v>0.45</v>
      </c>
      <c r="I39" s="164">
        <v>2.7</v>
      </c>
      <c r="J39" s="138"/>
      <c r="K39" s="138"/>
      <c r="L39" s="11"/>
      <c r="M39" s="12"/>
      <c r="N39" s="13"/>
      <c r="O39" s="11"/>
      <c r="P39" s="12"/>
      <c r="Q39" s="13"/>
      <c r="R39" s="11"/>
      <c r="S39" s="12"/>
      <c r="T39" s="13"/>
      <c r="U39" s="13"/>
      <c r="V39" s="13"/>
      <c r="W39" s="77"/>
      <c r="X39" s="11"/>
      <c r="Y39" s="76"/>
      <c r="Z39" s="77"/>
    </row>
    <row r="40" spans="1:26" ht="19.95" customHeight="1">
      <c r="A40" s="29" t="s">
        <v>647</v>
      </c>
      <c r="B40" s="108"/>
      <c r="C40" s="34" t="s">
        <v>676</v>
      </c>
      <c r="D40" s="89">
        <v>4</v>
      </c>
      <c r="E40" s="89">
        <v>0.65</v>
      </c>
      <c r="F40" s="89">
        <v>0.7</v>
      </c>
      <c r="G40" s="89"/>
      <c r="H40" s="164">
        <v>0.45500000000000002</v>
      </c>
      <c r="I40" s="164">
        <v>1.82</v>
      </c>
      <c r="J40" s="138"/>
      <c r="K40" s="138"/>
      <c r="L40" s="11"/>
      <c r="M40" s="12"/>
      <c r="N40" s="13"/>
      <c r="O40" s="11"/>
      <c r="P40" s="12"/>
      <c r="Q40" s="13"/>
      <c r="R40" s="11"/>
      <c r="S40" s="12"/>
      <c r="T40" s="13"/>
      <c r="U40" s="13"/>
      <c r="V40" s="13"/>
      <c r="W40" s="77"/>
      <c r="X40" s="11"/>
      <c r="Y40" s="76"/>
      <c r="Z40" s="77"/>
    </row>
    <row r="41" spans="1:26" ht="19.95" customHeight="1">
      <c r="A41" s="29" t="s">
        <v>648</v>
      </c>
      <c r="B41" s="108"/>
      <c r="C41" s="163" t="s">
        <v>677</v>
      </c>
      <c r="D41" s="89">
        <v>2</v>
      </c>
      <c r="E41" s="89">
        <v>0.7</v>
      </c>
      <c r="F41" s="89">
        <v>0.8</v>
      </c>
      <c r="G41" s="89"/>
      <c r="H41" s="164">
        <v>0.56000000000000005</v>
      </c>
      <c r="I41" s="165">
        <v>1.1200000000000001</v>
      </c>
      <c r="J41" s="138"/>
      <c r="K41" s="138"/>
      <c r="L41" s="11"/>
      <c r="M41" s="12"/>
      <c r="N41" s="13"/>
      <c r="O41" s="11"/>
      <c r="P41" s="12"/>
      <c r="Q41" s="13"/>
      <c r="R41" s="11"/>
      <c r="S41" s="12"/>
      <c r="T41" s="13"/>
      <c r="U41" s="13"/>
      <c r="V41" s="13"/>
      <c r="W41" s="77"/>
      <c r="X41" s="11"/>
      <c r="Y41" s="76"/>
      <c r="Z41" s="77"/>
    </row>
    <row r="42" spans="1:26" ht="19.95" customHeight="1">
      <c r="A42" s="29" t="s">
        <v>649</v>
      </c>
      <c r="B42" s="108"/>
      <c r="C42" s="163" t="s">
        <v>678</v>
      </c>
      <c r="D42" s="89">
        <v>2</v>
      </c>
      <c r="E42" s="89">
        <v>0.8</v>
      </c>
      <c r="F42" s="89">
        <v>0.9</v>
      </c>
      <c r="G42" s="89"/>
      <c r="H42" s="164">
        <v>0.72</v>
      </c>
      <c r="I42" s="164">
        <v>1.44</v>
      </c>
      <c r="J42" s="138"/>
      <c r="K42" s="138"/>
      <c r="L42" s="11"/>
      <c r="M42" s="12"/>
      <c r="N42" s="13"/>
      <c r="O42" s="11"/>
      <c r="P42" s="12"/>
      <c r="Q42" s="13"/>
      <c r="R42" s="11"/>
      <c r="S42" s="12"/>
      <c r="T42" s="13"/>
      <c r="U42" s="13"/>
      <c r="V42" s="13"/>
      <c r="W42" s="77"/>
      <c r="X42" s="11"/>
      <c r="Y42" s="76"/>
      <c r="Z42" s="77"/>
    </row>
    <row r="43" spans="1:26" ht="19.95" customHeight="1">
      <c r="A43" s="29" t="s">
        <v>650</v>
      </c>
      <c r="B43" s="108"/>
      <c r="C43" s="163" t="s">
        <v>679</v>
      </c>
      <c r="D43" s="89">
        <v>1</v>
      </c>
      <c r="E43" s="89">
        <v>3</v>
      </c>
      <c r="F43" s="89">
        <v>0.15</v>
      </c>
      <c r="G43" s="89"/>
      <c r="H43" s="164">
        <v>0.45</v>
      </c>
      <c r="I43" s="164">
        <v>0.45</v>
      </c>
      <c r="J43" s="138"/>
      <c r="K43" s="138"/>
      <c r="L43" s="11"/>
      <c r="M43" s="12"/>
      <c r="N43" s="13"/>
      <c r="O43" s="11"/>
      <c r="P43" s="12"/>
      <c r="Q43" s="13"/>
      <c r="R43" s="11"/>
      <c r="S43" s="12"/>
      <c r="T43" s="13"/>
      <c r="U43" s="13"/>
      <c r="V43" s="13"/>
      <c r="W43" s="77"/>
      <c r="X43" s="11"/>
      <c r="Y43" s="76"/>
      <c r="Z43" s="77"/>
    </row>
    <row r="44" spans="1:26" ht="19.95" customHeight="1">
      <c r="A44" s="29" t="s">
        <v>651</v>
      </c>
      <c r="B44" s="108"/>
      <c r="C44" s="163" t="s">
        <v>680</v>
      </c>
      <c r="D44" s="89">
        <v>1</v>
      </c>
      <c r="E44" s="89">
        <v>3</v>
      </c>
      <c r="F44" s="89">
        <v>0.15</v>
      </c>
      <c r="G44" s="89"/>
      <c r="H44" s="164">
        <v>0.45</v>
      </c>
      <c r="I44" s="164">
        <v>0.45</v>
      </c>
      <c r="J44" s="138"/>
      <c r="K44" s="138"/>
      <c r="L44" s="11"/>
      <c r="M44" s="12"/>
      <c r="N44" s="13"/>
      <c r="O44" s="11"/>
      <c r="P44" s="12"/>
      <c r="Q44" s="13"/>
      <c r="R44" s="11"/>
      <c r="S44" s="12"/>
      <c r="T44" s="13"/>
      <c r="U44" s="13"/>
      <c r="V44" s="13"/>
      <c r="W44" s="77"/>
      <c r="X44" s="11"/>
      <c r="Y44" s="76"/>
      <c r="Z44" s="77"/>
    </row>
    <row r="45" spans="1:26" ht="19.95" customHeight="1">
      <c r="A45" s="29" t="s">
        <v>652</v>
      </c>
      <c r="B45" s="108"/>
      <c r="C45" s="163" t="s">
        <v>682</v>
      </c>
      <c r="D45" s="89">
        <v>1</v>
      </c>
      <c r="E45" s="89">
        <v>3</v>
      </c>
      <c r="F45" s="89">
        <v>0.15</v>
      </c>
      <c r="G45" s="89"/>
      <c r="H45" s="164">
        <v>0.45</v>
      </c>
      <c r="I45" s="164">
        <v>0.45</v>
      </c>
      <c r="J45" s="138"/>
      <c r="K45" s="138"/>
      <c r="L45" s="11"/>
      <c r="M45" s="12"/>
      <c r="N45" s="13"/>
      <c r="O45" s="11"/>
      <c r="P45" s="12"/>
      <c r="Q45" s="13"/>
      <c r="R45" s="11"/>
      <c r="S45" s="12"/>
      <c r="T45" s="13"/>
      <c r="U45" s="13"/>
      <c r="V45" s="13"/>
      <c r="W45" s="77"/>
      <c r="X45" s="11"/>
      <c r="Y45" s="76"/>
      <c r="Z45" s="77"/>
    </row>
    <row r="46" spans="1:26" ht="19.95" customHeight="1">
      <c r="A46" s="29" t="s">
        <v>653</v>
      </c>
      <c r="B46" s="108"/>
      <c r="C46" s="163" t="s">
        <v>683</v>
      </c>
      <c r="D46" s="89">
        <v>1</v>
      </c>
      <c r="E46" s="89">
        <v>3.35</v>
      </c>
      <c r="F46" s="89">
        <v>0.15</v>
      </c>
      <c r="G46" s="89"/>
      <c r="H46" s="164">
        <v>0.50249999999999995</v>
      </c>
      <c r="I46" s="164">
        <v>0.5</v>
      </c>
      <c r="J46" s="138"/>
      <c r="K46" s="138"/>
      <c r="L46" s="11"/>
      <c r="M46" s="12"/>
      <c r="N46" s="13"/>
      <c r="O46" s="11"/>
      <c r="P46" s="12"/>
      <c r="Q46" s="13"/>
      <c r="R46" s="11"/>
      <c r="S46" s="12"/>
      <c r="T46" s="13"/>
      <c r="U46" s="13"/>
      <c r="V46" s="13"/>
      <c r="W46" s="77"/>
      <c r="X46" s="11"/>
      <c r="Y46" s="76"/>
      <c r="Z46" s="77"/>
    </row>
    <row r="47" spans="1:26" ht="19.95" customHeight="1">
      <c r="A47" s="29" t="s">
        <v>654</v>
      </c>
      <c r="B47" s="108"/>
      <c r="C47" s="163" t="s">
        <v>684</v>
      </c>
      <c r="D47" s="89">
        <v>1</v>
      </c>
      <c r="E47" s="89">
        <v>3.35</v>
      </c>
      <c r="F47" s="89">
        <v>0.15</v>
      </c>
      <c r="G47" s="89"/>
      <c r="H47" s="164">
        <v>0.50249999999999995</v>
      </c>
      <c r="I47" s="164">
        <v>0.5</v>
      </c>
      <c r="J47" s="138"/>
      <c r="K47" s="138"/>
      <c r="L47" s="11"/>
      <c r="M47" s="12"/>
      <c r="N47" s="13"/>
      <c r="O47" s="11"/>
      <c r="P47" s="12"/>
      <c r="Q47" s="13"/>
      <c r="R47" s="11"/>
      <c r="S47" s="12"/>
      <c r="T47" s="13"/>
      <c r="U47" s="13"/>
      <c r="V47" s="13"/>
      <c r="W47" s="77"/>
      <c r="X47" s="11"/>
      <c r="Y47" s="76"/>
      <c r="Z47" s="77"/>
    </row>
    <row r="48" spans="1:26" ht="19.95" customHeight="1">
      <c r="A48" s="29" t="s">
        <v>655</v>
      </c>
      <c r="B48" s="108"/>
      <c r="C48" s="163" t="s">
        <v>681</v>
      </c>
      <c r="D48" s="89">
        <v>8</v>
      </c>
      <c r="E48" s="89">
        <v>4.1100000000000003</v>
      </c>
      <c r="F48" s="89">
        <v>0.2</v>
      </c>
      <c r="G48" s="89"/>
      <c r="H48">
        <v>0.82199999999999995</v>
      </c>
      <c r="I48" s="164">
        <v>6.58</v>
      </c>
      <c r="J48" s="138"/>
      <c r="K48" s="138"/>
      <c r="L48" s="11"/>
      <c r="M48" s="12"/>
      <c r="N48" s="13"/>
      <c r="O48" s="11"/>
      <c r="P48" s="12"/>
      <c r="Q48" s="13"/>
      <c r="R48" s="11"/>
      <c r="S48" s="12"/>
      <c r="T48" s="13"/>
      <c r="U48" s="13"/>
      <c r="V48" s="13"/>
      <c r="W48" s="77"/>
      <c r="X48" s="11"/>
      <c r="Y48" s="76"/>
      <c r="Z48" s="77"/>
    </row>
    <row r="49" spans="1:26" ht="49.95" customHeight="1">
      <c r="A49" s="92" t="s">
        <v>84</v>
      </c>
      <c r="B49" s="108">
        <v>94971</v>
      </c>
      <c r="C49" s="156" t="s">
        <v>414</v>
      </c>
      <c r="D49" s="89"/>
      <c r="E49" s="89"/>
      <c r="F49" s="89"/>
      <c r="G49" s="89"/>
      <c r="H49" s="89"/>
      <c r="I49" s="89"/>
      <c r="J49" s="157">
        <v>3.93</v>
      </c>
      <c r="K49" s="152" t="s">
        <v>623</v>
      </c>
      <c r="L49" s="11"/>
      <c r="M49" s="12"/>
      <c r="N49" s="13"/>
      <c r="O49" s="11"/>
      <c r="P49" s="12"/>
      <c r="Q49" s="13"/>
      <c r="R49" s="11"/>
      <c r="S49" s="12"/>
      <c r="T49" s="13"/>
      <c r="U49" s="13"/>
      <c r="V49" s="13"/>
      <c r="W49" s="77"/>
      <c r="X49" s="11"/>
      <c r="Y49" s="76"/>
      <c r="Z49" s="77"/>
    </row>
    <row r="50" spans="1:26" ht="19.95" customHeight="1">
      <c r="A50" s="29" t="s">
        <v>656</v>
      </c>
      <c r="B50" s="108"/>
      <c r="C50" s="34" t="s">
        <v>685</v>
      </c>
      <c r="D50" s="89">
        <v>1</v>
      </c>
      <c r="E50" s="89">
        <v>1.77</v>
      </c>
      <c r="F50" s="89"/>
      <c r="G50" s="89"/>
      <c r="H50" s="151">
        <v>1.77</v>
      </c>
      <c r="I50" s="151">
        <v>1.77</v>
      </c>
      <c r="J50" s="152"/>
      <c r="K50" s="152"/>
      <c r="L50" s="11"/>
      <c r="M50" s="12"/>
      <c r="N50" s="13"/>
      <c r="O50" s="11"/>
      <c r="P50" s="12"/>
      <c r="Q50" s="13"/>
      <c r="R50" s="11"/>
      <c r="S50" s="12"/>
      <c r="T50" s="13"/>
      <c r="U50" s="13"/>
      <c r="V50" s="13"/>
      <c r="W50" s="77"/>
      <c r="X50" s="11"/>
      <c r="Y50" s="76"/>
      <c r="Z50" s="77"/>
    </row>
    <row r="51" spans="1:26" ht="19.95" customHeight="1">
      <c r="A51" s="29" t="s">
        <v>657</v>
      </c>
      <c r="B51" s="108"/>
      <c r="C51" s="34" t="s">
        <v>686</v>
      </c>
      <c r="D51" s="89">
        <v>1</v>
      </c>
      <c r="E51" s="89">
        <v>2.16</v>
      </c>
      <c r="F51" s="89"/>
      <c r="G51" s="89"/>
      <c r="H51" s="151">
        <v>2.16</v>
      </c>
      <c r="I51" s="151">
        <v>2.16</v>
      </c>
      <c r="J51" s="152"/>
      <c r="K51" s="152"/>
      <c r="L51" s="11"/>
      <c r="M51" s="12"/>
      <c r="N51" s="13"/>
      <c r="O51" s="11"/>
      <c r="P51" s="12"/>
      <c r="Q51" s="13"/>
      <c r="R51" s="11"/>
      <c r="S51" s="12"/>
      <c r="T51" s="13"/>
      <c r="U51" s="13"/>
      <c r="V51" s="13"/>
      <c r="W51" s="77"/>
      <c r="X51" s="11"/>
      <c r="Y51" s="76"/>
      <c r="Z51" s="77"/>
    </row>
    <row r="52" spans="1:26" ht="49.95" customHeight="1">
      <c r="A52" s="92" t="s">
        <v>85</v>
      </c>
      <c r="B52" s="108">
        <v>103670</v>
      </c>
      <c r="C52" s="156" t="s">
        <v>415</v>
      </c>
      <c r="D52" s="89"/>
      <c r="E52" s="89"/>
      <c r="F52" s="89"/>
      <c r="G52" s="89"/>
      <c r="H52" s="89"/>
      <c r="I52" s="89"/>
      <c r="J52" s="157">
        <v>3.93</v>
      </c>
      <c r="K52" s="152" t="s">
        <v>623</v>
      </c>
      <c r="L52" s="11"/>
      <c r="M52" s="12"/>
      <c r="N52" s="13"/>
      <c r="O52" s="11"/>
      <c r="P52" s="12"/>
      <c r="Q52" s="13"/>
      <c r="R52" s="11"/>
      <c r="S52" s="12"/>
      <c r="T52" s="13"/>
      <c r="U52" s="13"/>
      <c r="V52" s="13"/>
      <c r="W52" s="77"/>
      <c r="X52" s="11"/>
      <c r="Y52" s="76"/>
      <c r="Z52" s="77"/>
    </row>
    <row r="53" spans="1:26" ht="19.95" customHeight="1">
      <c r="A53" s="29" t="s">
        <v>658</v>
      </c>
      <c r="B53" s="108"/>
      <c r="C53" s="34" t="s">
        <v>688</v>
      </c>
      <c r="D53" s="89">
        <v>1</v>
      </c>
      <c r="E53" s="89">
        <v>3.93</v>
      </c>
      <c r="F53" s="89"/>
      <c r="G53" s="89"/>
      <c r="H53" s="89">
        <v>3.93</v>
      </c>
      <c r="I53" s="89">
        <v>3.93</v>
      </c>
      <c r="J53" s="152"/>
      <c r="K53" s="152"/>
      <c r="L53" s="11"/>
      <c r="M53" s="12"/>
      <c r="N53" s="13"/>
      <c r="O53" s="11"/>
      <c r="P53" s="12"/>
      <c r="Q53" s="13"/>
      <c r="R53" s="11"/>
      <c r="S53" s="12"/>
      <c r="T53" s="13"/>
      <c r="U53" s="13"/>
      <c r="V53" s="13"/>
      <c r="W53" s="77"/>
      <c r="X53" s="11"/>
      <c r="Y53" s="76"/>
      <c r="Z53" s="77"/>
    </row>
    <row r="54" spans="1:26" ht="49.95" customHeight="1">
      <c r="A54" s="92" t="s">
        <v>86</v>
      </c>
      <c r="B54" s="108">
        <v>104927</v>
      </c>
      <c r="C54" s="156" t="s">
        <v>416</v>
      </c>
      <c r="D54" s="89"/>
      <c r="E54" s="89"/>
      <c r="F54" s="89"/>
      <c r="G54" s="89"/>
      <c r="H54" s="89"/>
      <c r="I54" s="89"/>
      <c r="J54" s="157">
        <v>9.9499999999999993</v>
      </c>
      <c r="K54" s="152" t="s">
        <v>610</v>
      </c>
      <c r="L54" s="11"/>
      <c r="M54" s="12"/>
      <c r="N54" s="13"/>
      <c r="O54" s="11"/>
      <c r="P54" s="12"/>
      <c r="Q54" s="13"/>
      <c r="R54" s="11"/>
      <c r="S54" s="12"/>
      <c r="T54" s="13"/>
      <c r="U54" s="13"/>
      <c r="V54" s="13"/>
      <c r="W54" s="77"/>
      <c r="X54" s="11"/>
      <c r="Y54" s="76"/>
      <c r="Z54" s="77"/>
    </row>
    <row r="55" spans="1:26" ht="19.95" customHeight="1">
      <c r="A55" s="29" t="s">
        <v>659</v>
      </c>
      <c r="B55" s="108"/>
      <c r="C55" s="34" t="s">
        <v>685</v>
      </c>
      <c r="D55" s="89">
        <v>1</v>
      </c>
      <c r="E55" s="89">
        <v>9.9499999999999993</v>
      </c>
      <c r="F55" s="89"/>
      <c r="G55" s="89"/>
      <c r="H55" s="151">
        <v>9.9499999999999993</v>
      </c>
      <c r="I55" s="151">
        <v>9.9499999999999993</v>
      </c>
      <c r="J55" s="152"/>
      <c r="K55" s="152"/>
      <c r="L55" s="11"/>
      <c r="M55" s="12"/>
      <c r="N55" s="13"/>
      <c r="O55" s="11"/>
      <c r="P55" s="12"/>
      <c r="Q55" s="13"/>
      <c r="R55" s="11"/>
      <c r="S55" s="12"/>
      <c r="T55" s="13"/>
      <c r="U55" s="13"/>
      <c r="V55" s="13"/>
      <c r="W55" s="77"/>
      <c r="X55" s="11"/>
      <c r="Y55" s="76"/>
      <c r="Z55" s="77"/>
    </row>
    <row r="56" spans="1:26" ht="49.95" customHeight="1">
      <c r="A56" s="92" t="s">
        <v>87</v>
      </c>
      <c r="B56" s="108">
        <v>96542</v>
      </c>
      <c r="C56" s="156" t="s">
        <v>417</v>
      </c>
      <c r="D56" s="89"/>
      <c r="E56" s="89"/>
      <c r="F56" s="89"/>
      <c r="G56" s="89"/>
      <c r="H56" s="89"/>
      <c r="I56" s="89"/>
      <c r="J56" s="157">
        <v>33.68</v>
      </c>
      <c r="K56" s="152" t="s">
        <v>610</v>
      </c>
      <c r="L56" s="11"/>
      <c r="M56" s="12"/>
      <c r="N56" s="13"/>
      <c r="O56" s="11"/>
      <c r="P56" s="12"/>
      <c r="Q56" s="13"/>
      <c r="R56" s="11"/>
      <c r="S56" s="12"/>
      <c r="T56" s="13"/>
      <c r="U56" s="13"/>
      <c r="V56" s="13"/>
      <c r="W56" s="77"/>
      <c r="X56" s="11"/>
      <c r="Y56" s="76"/>
      <c r="Z56" s="77"/>
    </row>
    <row r="57" spans="1:26" ht="19.95" customHeight="1">
      <c r="A57" s="29" t="s">
        <v>660</v>
      </c>
      <c r="B57" s="108"/>
      <c r="C57" s="34" t="s">
        <v>689</v>
      </c>
      <c r="D57" s="89">
        <v>1</v>
      </c>
      <c r="E57" s="89">
        <v>33.68</v>
      </c>
      <c r="F57" s="89"/>
      <c r="G57" s="89"/>
      <c r="H57" s="89">
        <v>33.68</v>
      </c>
      <c r="I57" s="89">
        <v>33.68</v>
      </c>
      <c r="J57" s="152"/>
      <c r="K57" s="152"/>
      <c r="L57" s="11"/>
      <c r="M57" s="12"/>
      <c r="N57" s="13"/>
      <c r="O57" s="11"/>
      <c r="P57" s="12"/>
      <c r="Q57" s="13"/>
      <c r="R57" s="11"/>
      <c r="S57" s="12"/>
      <c r="T57" s="13"/>
      <c r="U57" s="13"/>
      <c r="V57" s="13"/>
      <c r="W57" s="77"/>
      <c r="X57" s="11"/>
      <c r="Y57" s="76"/>
      <c r="Z57" s="77"/>
    </row>
    <row r="58" spans="1:26" ht="49.95" customHeight="1">
      <c r="A58" s="92" t="s">
        <v>88</v>
      </c>
      <c r="B58" s="108">
        <v>104917</v>
      </c>
      <c r="C58" s="156" t="s">
        <v>418</v>
      </c>
      <c r="D58" s="89"/>
      <c r="E58" s="89"/>
      <c r="F58" s="89"/>
      <c r="G58" s="89"/>
      <c r="H58" s="89"/>
      <c r="I58" s="89"/>
      <c r="J58" s="152">
        <v>53</v>
      </c>
      <c r="K58" s="152" t="s">
        <v>42</v>
      </c>
      <c r="L58" s="11"/>
      <c r="M58" s="12"/>
      <c r="N58" s="13"/>
      <c r="O58" s="11"/>
      <c r="P58" s="12"/>
      <c r="Q58" s="13"/>
      <c r="R58" s="11"/>
      <c r="S58" s="12"/>
      <c r="T58" s="13"/>
      <c r="U58" s="13"/>
      <c r="V58" s="13"/>
      <c r="W58" s="77"/>
      <c r="X58" s="11"/>
      <c r="Y58" s="76"/>
      <c r="Z58" s="77"/>
    </row>
    <row r="59" spans="1:26" ht="19.95" customHeight="1">
      <c r="A59" s="29" t="s">
        <v>661</v>
      </c>
      <c r="B59" s="108"/>
      <c r="C59" s="34" t="s">
        <v>690</v>
      </c>
      <c r="D59" s="89">
        <v>1</v>
      </c>
      <c r="E59" s="89">
        <v>53</v>
      </c>
      <c r="F59" s="89"/>
      <c r="G59" s="89"/>
      <c r="H59" s="89">
        <v>53</v>
      </c>
      <c r="I59" s="89">
        <v>53</v>
      </c>
      <c r="J59" s="152"/>
      <c r="K59" s="152"/>
      <c r="L59" s="11"/>
      <c r="M59" s="12"/>
      <c r="N59" s="13"/>
      <c r="O59" s="11"/>
      <c r="P59" s="12"/>
      <c r="Q59" s="13"/>
      <c r="R59" s="11"/>
      <c r="S59" s="12"/>
      <c r="T59" s="13"/>
      <c r="U59" s="13"/>
      <c r="V59" s="13"/>
      <c r="W59" s="77"/>
      <c r="X59" s="11"/>
      <c r="Y59" s="76"/>
      <c r="Z59" s="77"/>
    </row>
    <row r="60" spans="1:26" ht="49.95" customHeight="1">
      <c r="A60" s="92" t="s">
        <v>89</v>
      </c>
      <c r="B60" s="108">
        <v>104916</v>
      </c>
      <c r="C60" s="156" t="s">
        <v>419</v>
      </c>
      <c r="D60" s="89"/>
      <c r="E60" s="89"/>
      <c r="F60" s="89"/>
      <c r="G60" s="89"/>
      <c r="H60" s="89"/>
      <c r="I60" s="89"/>
      <c r="J60" s="157">
        <v>52.9</v>
      </c>
      <c r="K60" s="152" t="s">
        <v>42</v>
      </c>
      <c r="L60" s="11"/>
      <c r="M60" s="12"/>
      <c r="N60" s="13"/>
      <c r="O60" s="11"/>
      <c r="P60" s="12"/>
      <c r="Q60" s="13"/>
      <c r="R60" s="11"/>
      <c r="S60" s="12"/>
      <c r="T60" s="13"/>
      <c r="U60" s="13"/>
      <c r="V60" s="13"/>
      <c r="W60" s="77"/>
      <c r="X60" s="11"/>
      <c r="Y60" s="76"/>
      <c r="Z60" s="77"/>
    </row>
    <row r="61" spans="1:26" ht="19.95" customHeight="1">
      <c r="A61" s="92" t="s">
        <v>662</v>
      </c>
      <c r="B61" s="108"/>
      <c r="C61" s="34" t="s">
        <v>691</v>
      </c>
      <c r="D61" s="89">
        <v>1</v>
      </c>
      <c r="E61" s="89">
        <v>52.9</v>
      </c>
      <c r="F61" s="89"/>
      <c r="G61" s="89"/>
      <c r="H61" s="89">
        <v>52.9</v>
      </c>
      <c r="I61" s="89">
        <v>52.9</v>
      </c>
      <c r="J61" s="152"/>
      <c r="K61" s="152"/>
      <c r="L61" s="11"/>
      <c r="M61" s="12"/>
      <c r="N61" s="13"/>
      <c r="O61" s="11"/>
      <c r="P61" s="12"/>
      <c r="Q61" s="13"/>
      <c r="R61" s="11"/>
      <c r="S61" s="12"/>
      <c r="T61" s="13"/>
      <c r="U61" s="13"/>
      <c r="V61" s="13"/>
      <c r="W61" s="77"/>
      <c r="X61" s="11"/>
      <c r="Y61" s="76"/>
      <c r="Z61" s="77"/>
    </row>
    <row r="62" spans="1:26" ht="49.95" customHeight="1">
      <c r="A62" s="92" t="s">
        <v>90</v>
      </c>
      <c r="B62" s="108">
        <v>104918</v>
      </c>
      <c r="C62" s="156" t="s">
        <v>420</v>
      </c>
      <c r="D62" s="89"/>
      <c r="E62" s="89"/>
      <c r="F62" s="89"/>
      <c r="G62" s="89"/>
      <c r="H62" s="89"/>
      <c r="I62" s="89"/>
      <c r="J62" s="157">
        <v>81.2</v>
      </c>
      <c r="K62" s="152" t="s">
        <v>42</v>
      </c>
      <c r="L62" s="11"/>
      <c r="M62" s="12"/>
      <c r="N62" s="13"/>
      <c r="O62" s="11"/>
      <c r="P62" s="12"/>
      <c r="Q62" s="13"/>
      <c r="R62" s="11"/>
      <c r="S62" s="12"/>
      <c r="T62" s="13"/>
      <c r="U62" s="13"/>
      <c r="V62" s="13"/>
      <c r="W62" s="77"/>
      <c r="X62" s="11"/>
      <c r="Y62" s="76"/>
      <c r="Z62" s="77"/>
    </row>
    <row r="63" spans="1:26" ht="19.95" customHeight="1">
      <c r="A63" s="92" t="s">
        <v>663</v>
      </c>
      <c r="B63" s="108"/>
      <c r="C63" s="34" t="s">
        <v>689</v>
      </c>
      <c r="D63" s="89">
        <v>1</v>
      </c>
      <c r="E63" s="89">
        <v>81.2</v>
      </c>
      <c r="F63" s="89"/>
      <c r="H63" s="89">
        <v>81.2</v>
      </c>
      <c r="I63" s="89">
        <v>81.2</v>
      </c>
      <c r="J63" s="152"/>
      <c r="K63" s="152"/>
      <c r="L63" s="11"/>
      <c r="M63" s="12"/>
      <c r="N63" s="13"/>
      <c r="O63" s="11"/>
      <c r="P63" s="12"/>
      <c r="Q63" s="13"/>
      <c r="R63" s="11"/>
      <c r="S63" s="12"/>
      <c r="T63" s="13"/>
      <c r="U63" s="13"/>
      <c r="V63" s="13"/>
      <c r="W63" s="77"/>
      <c r="X63" s="11"/>
      <c r="Y63" s="76"/>
      <c r="Z63" s="77"/>
    </row>
    <row r="64" spans="1:26" ht="49.95" customHeight="1">
      <c r="A64" s="92" t="s">
        <v>91</v>
      </c>
      <c r="B64" s="108">
        <v>98557</v>
      </c>
      <c r="C64" s="156" t="s">
        <v>421</v>
      </c>
      <c r="D64" s="89"/>
      <c r="E64" s="89"/>
      <c r="F64" s="138" t="s">
        <v>692</v>
      </c>
      <c r="G64" s="89"/>
      <c r="H64" s="89"/>
      <c r="I64" s="89"/>
      <c r="J64" s="157">
        <v>43.73</v>
      </c>
      <c r="K64" s="152" t="s">
        <v>610</v>
      </c>
      <c r="L64" s="11"/>
      <c r="M64" s="12"/>
      <c r="N64" s="13"/>
      <c r="O64" s="11"/>
      <c r="P64" s="12"/>
      <c r="Q64" s="13"/>
      <c r="R64" s="11"/>
      <c r="S64" s="12"/>
      <c r="T64" s="13"/>
      <c r="U64" s="13"/>
      <c r="V64" s="13"/>
      <c r="W64" s="77"/>
      <c r="X64" s="11"/>
      <c r="Y64" s="76"/>
      <c r="Z64" s="77"/>
    </row>
    <row r="65" spans="1:26" ht="19.95" customHeight="1">
      <c r="A65" s="92" t="s">
        <v>664</v>
      </c>
      <c r="B65" s="108"/>
      <c r="C65" s="34" t="s">
        <v>679</v>
      </c>
      <c r="D65" s="89">
        <v>1</v>
      </c>
      <c r="E65" s="89">
        <v>3</v>
      </c>
      <c r="F65" s="89">
        <v>0.9</v>
      </c>
      <c r="G65" s="89"/>
      <c r="H65" s="151">
        <v>2.7</v>
      </c>
      <c r="I65" s="151">
        <v>2.7</v>
      </c>
      <c r="J65" s="152"/>
      <c r="K65" s="152"/>
      <c r="L65" s="11"/>
      <c r="M65" s="12"/>
      <c r="N65" s="13"/>
      <c r="O65" s="11"/>
      <c r="P65" s="12"/>
      <c r="Q65" s="13"/>
      <c r="R65" s="11"/>
      <c r="S65" s="12"/>
      <c r="T65" s="13"/>
      <c r="U65" s="13"/>
      <c r="V65" s="13"/>
      <c r="W65" s="77"/>
      <c r="X65" s="11"/>
      <c r="Y65" s="76"/>
      <c r="Z65" s="77"/>
    </row>
    <row r="66" spans="1:26" ht="19.95" customHeight="1">
      <c r="A66" s="92" t="s">
        <v>665</v>
      </c>
      <c r="B66" s="108"/>
      <c r="C66" s="166" t="s">
        <v>680</v>
      </c>
      <c r="D66" s="89">
        <v>1</v>
      </c>
      <c r="E66" s="89">
        <v>3</v>
      </c>
      <c r="F66" s="89">
        <v>0.9</v>
      </c>
      <c r="G66" s="89"/>
      <c r="H66" s="151">
        <v>2.7</v>
      </c>
      <c r="I66" s="151">
        <v>2.7</v>
      </c>
      <c r="J66" s="152"/>
      <c r="K66" s="152"/>
      <c r="L66" s="11"/>
      <c r="M66" s="12"/>
      <c r="N66" s="13"/>
      <c r="O66" s="11"/>
      <c r="P66" s="12"/>
      <c r="Q66" s="13"/>
      <c r="R66" s="11"/>
      <c r="S66" s="12"/>
      <c r="T66" s="13"/>
      <c r="U66" s="13"/>
      <c r="V66" s="13"/>
      <c r="W66" s="77"/>
      <c r="X66" s="11"/>
      <c r="Y66" s="76"/>
      <c r="Z66" s="77"/>
    </row>
    <row r="67" spans="1:26" ht="19.95" customHeight="1">
      <c r="A67" s="92" t="s">
        <v>666</v>
      </c>
      <c r="B67" s="108"/>
      <c r="C67" s="166" t="s">
        <v>682</v>
      </c>
      <c r="D67" s="89">
        <v>1</v>
      </c>
      <c r="E67" s="89">
        <v>3</v>
      </c>
      <c r="F67" s="89">
        <v>0.9</v>
      </c>
      <c r="G67" s="89"/>
      <c r="H67" s="151">
        <v>2.7</v>
      </c>
      <c r="I67" s="151">
        <v>2.7</v>
      </c>
      <c r="J67" s="152"/>
      <c r="K67" s="152"/>
      <c r="L67" s="11"/>
      <c r="M67" s="12"/>
      <c r="N67" s="13"/>
      <c r="O67" s="11"/>
      <c r="P67" s="12"/>
      <c r="Q67" s="13"/>
      <c r="R67" s="11"/>
      <c r="S67" s="12"/>
      <c r="T67" s="13"/>
      <c r="U67" s="13"/>
      <c r="V67" s="13"/>
      <c r="W67" s="77"/>
      <c r="X67" s="11"/>
      <c r="Y67" s="76"/>
      <c r="Z67" s="77"/>
    </row>
    <row r="68" spans="1:26" ht="19.95" customHeight="1">
      <c r="A68" s="92" t="s">
        <v>667</v>
      </c>
      <c r="B68" s="108"/>
      <c r="C68" s="166" t="s">
        <v>683</v>
      </c>
      <c r="D68" s="89">
        <v>1</v>
      </c>
      <c r="E68" s="89">
        <v>3.35</v>
      </c>
      <c r="F68" s="89">
        <v>0.9</v>
      </c>
      <c r="G68" s="89"/>
      <c r="H68" s="151">
        <v>3.0150000000000001</v>
      </c>
      <c r="I68" s="151">
        <v>3.02</v>
      </c>
      <c r="J68" s="152"/>
      <c r="K68" s="152"/>
      <c r="L68" s="11"/>
      <c r="M68" s="12"/>
      <c r="N68" s="13"/>
      <c r="O68" s="11"/>
      <c r="P68" s="12"/>
      <c r="Q68" s="13"/>
      <c r="R68" s="11"/>
      <c r="S68" s="12"/>
      <c r="T68" s="13"/>
      <c r="U68" s="13"/>
      <c r="V68" s="13"/>
      <c r="W68" s="77"/>
      <c r="X68" s="11"/>
      <c r="Y68" s="76"/>
      <c r="Z68" s="77"/>
    </row>
    <row r="69" spans="1:26" ht="19.95" customHeight="1">
      <c r="A69" s="92" t="s">
        <v>668</v>
      </c>
      <c r="B69" s="108"/>
      <c r="C69" s="166" t="s">
        <v>684</v>
      </c>
      <c r="D69" s="89">
        <v>1</v>
      </c>
      <c r="E69" s="89">
        <v>3.35</v>
      </c>
      <c r="F69" s="89">
        <v>0.9</v>
      </c>
      <c r="G69" s="89"/>
      <c r="H69" s="151">
        <v>3.0150000000000001</v>
      </c>
      <c r="I69" s="151">
        <v>3.02</v>
      </c>
      <c r="J69" s="152"/>
      <c r="K69" s="152"/>
      <c r="L69" s="11"/>
      <c r="M69" s="12"/>
      <c r="N69" s="13"/>
      <c r="O69" s="11"/>
      <c r="P69" s="12"/>
      <c r="Q69" s="13"/>
      <c r="R69" s="11"/>
      <c r="S69" s="12"/>
      <c r="T69" s="13"/>
      <c r="U69" s="13"/>
      <c r="V69" s="13"/>
      <c r="W69" s="77"/>
      <c r="X69" s="11"/>
      <c r="Y69" s="76"/>
      <c r="Z69" s="77"/>
    </row>
    <row r="70" spans="1:26" ht="19.95" customHeight="1">
      <c r="A70" s="92" t="s">
        <v>669</v>
      </c>
      <c r="B70" s="108"/>
      <c r="C70" s="34" t="s">
        <v>681</v>
      </c>
      <c r="D70" s="89">
        <v>8</v>
      </c>
      <c r="E70" s="89">
        <v>4.1100000000000003</v>
      </c>
      <c r="F70" s="89">
        <v>0.9</v>
      </c>
      <c r="G70" s="89"/>
      <c r="H70" s="151">
        <v>3.6989999999999998</v>
      </c>
      <c r="I70" s="151">
        <v>29.59</v>
      </c>
      <c r="J70" s="152"/>
      <c r="K70" s="152"/>
      <c r="L70" s="11"/>
      <c r="M70" s="12"/>
      <c r="N70" s="13"/>
      <c r="O70" s="11"/>
      <c r="P70" s="12"/>
      <c r="Q70" s="13"/>
      <c r="R70" s="11"/>
      <c r="S70" s="12"/>
      <c r="T70" s="13"/>
      <c r="U70" s="13"/>
      <c r="V70" s="13"/>
      <c r="W70" s="77"/>
      <c r="X70" s="11"/>
      <c r="Y70" s="76"/>
      <c r="Z70" s="77"/>
    </row>
    <row r="71" spans="1:26" ht="25.05" customHeight="1">
      <c r="A71" s="91" t="s">
        <v>92</v>
      </c>
      <c r="B71" s="211" t="s">
        <v>93</v>
      </c>
      <c r="C71" s="211"/>
      <c r="D71" s="147"/>
      <c r="E71" s="147"/>
      <c r="F71" s="147"/>
      <c r="G71" s="147"/>
      <c r="H71" s="150"/>
      <c r="I71" s="150"/>
      <c r="J71" s="150"/>
      <c r="K71" s="150"/>
      <c r="L71" s="11">
        <v>1</v>
      </c>
      <c r="M71" s="12" t="e">
        <f>TRUNC(L71*#REF!,2)</f>
        <v>#REF!</v>
      </c>
      <c r="N71" s="13" t="e">
        <f>TRUNC(M71*#REF!)+0.2</f>
        <v>#REF!</v>
      </c>
      <c r="O71" s="11"/>
      <c r="P71" s="12"/>
      <c r="Q71" s="13"/>
      <c r="R71" s="11"/>
      <c r="S71" s="12"/>
      <c r="T71" s="13"/>
      <c r="U71" s="13"/>
      <c r="V71" s="13"/>
      <c r="W71" s="77" t="e">
        <f>TRUNC(#REF!*V71)+0</f>
        <v>#REF!</v>
      </c>
      <c r="X71" s="11"/>
      <c r="Y71" s="76" t="e">
        <f>TRUNC(X71*#REF!,2)</f>
        <v>#REF!</v>
      </c>
      <c r="Z71" s="77" t="e">
        <f>TRUNC(Y71*#REF!)+0</f>
        <v>#REF!</v>
      </c>
    </row>
    <row r="72" spans="1:26" ht="49.95" customHeight="1">
      <c r="A72" s="26" t="s">
        <v>94</v>
      </c>
      <c r="B72" s="112">
        <v>92429</v>
      </c>
      <c r="C72" s="167" t="s">
        <v>422</v>
      </c>
      <c r="D72" s="89"/>
      <c r="E72" s="89"/>
      <c r="F72" s="89"/>
      <c r="G72" s="89"/>
      <c r="H72" s="89"/>
      <c r="I72" s="89"/>
      <c r="J72" s="157">
        <v>57.56</v>
      </c>
      <c r="K72" s="152" t="s">
        <v>610</v>
      </c>
      <c r="L72" s="11"/>
      <c r="M72" s="12"/>
      <c r="N72" s="13"/>
      <c r="O72" s="11"/>
      <c r="P72" s="12"/>
      <c r="Q72" s="13"/>
      <c r="R72" s="11"/>
      <c r="S72" s="12"/>
      <c r="T72" s="13"/>
      <c r="U72" s="13"/>
      <c r="V72" s="13"/>
      <c r="W72" s="77"/>
      <c r="X72" s="11"/>
      <c r="Y72" s="76"/>
      <c r="Z72" s="77"/>
    </row>
    <row r="73" spans="1:26" ht="19.95" customHeight="1">
      <c r="A73" s="26" t="s">
        <v>670</v>
      </c>
      <c r="B73" s="108"/>
      <c r="C73" s="34" t="s">
        <v>694</v>
      </c>
      <c r="D73" s="89">
        <v>1</v>
      </c>
      <c r="E73" s="89">
        <v>17.82</v>
      </c>
      <c r="F73" s="89"/>
      <c r="G73" s="89"/>
      <c r="H73" s="89">
        <v>17.82</v>
      </c>
      <c r="I73" s="89">
        <v>17.82</v>
      </c>
      <c r="J73" s="152"/>
      <c r="K73" s="152"/>
      <c r="L73" s="11"/>
      <c r="M73" s="12"/>
      <c r="N73" s="13"/>
      <c r="O73" s="11"/>
      <c r="P73" s="12"/>
      <c r="Q73" s="13"/>
      <c r="R73" s="11"/>
      <c r="S73" s="12"/>
      <c r="T73" s="13"/>
      <c r="U73" s="13"/>
      <c r="V73" s="13"/>
      <c r="W73" s="77"/>
      <c r="X73" s="11"/>
      <c r="Y73" s="76"/>
      <c r="Z73" s="77"/>
    </row>
    <row r="74" spans="1:26" ht="19.95" customHeight="1">
      <c r="A74" s="26" t="s">
        <v>671</v>
      </c>
      <c r="B74" s="108"/>
      <c r="C74" s="34" t="s">
        <v>695</v>
      </c>
      <c r="D74" s="89">
        <v>1</v>
      </c>
      <c r="E74" s="89">
        <v>33.93</v>
      </c>
      <c r="F74" s="89"/>
      <c r="G74" s="89"/>
      <c r="H74" s="89">
        <v>33.93</v>
      </c>
      <c r="I74" s="89">
        <v>33.93</v>
      </c>
      <c r="J74" s="152"/>
      <c r="K74" s="152"/>
      <c r="L74" s="11"/>
      <c r="M74" s="12"/>
      <c r="N74" s="13"/>
      <c r="O74" s="11"/>
      <c r="P74" s="12"/>
      <c r="Q74" s="13"/>
      <c r="R74" s="11"/>
      <c r="S74" s="12"/>
      <c r="T74" s="13"/>
      <c r="U74" s="13"/>
      <c r="V74" s="13"/>
      <c r="W74" s="77"/>
      <c r="X74" s="11"/>
      <c r="Y74" s="76"/>
      <c r="Z74" s="77"/>
    </row>
    <row r="75" spans="1:26" ht="19.95" customHeight="1">
      <c r="A75" s="26" t="s">
        <v>672</v>
      </c>
      <c r="B75" s="108"/>
      <c r="C75" s="34" t="s">
        <v>696</v>
      </c>
      <c r="D75" s="89">
        <v>1</v>
      </c>
      <c r="E75" s="89">
        <v>5.81</v>
      </c>
      <c r="F75" s="89"/>
      <c r="G75" s="89"/>
      <c r="H75" s="89">
        <v>5.81</v>
      </c>
      <c r="I75" s="89">
        <v>5.81</v>
      </c>
      <c r="J75" s="152"/>
      <c r="K75" s="152"/>
      <c r="L75" s="11"/>
      <c r="M75" s="12"/>
      <c r="N75" s="13"/>
      <c r="O75" s="11"/>
      <c r="P75" s="12"/>
      <c r="Q75" s="13"/>
      <c r="R75" s="11"/>
      <c r="S75" s="12"/>
      <c r="T75" s="13"/>
      <c r="U75" s="13"/>
      <c r="V75" s="13"/>
      <c r="W75" s="77"/>
      <c r="X75" s="11"/>
      <c r="Y75" s="76"/>
      <c r="Z75" s="77"/>
    </row>
    <row r="76" spans="1:26" ht="49.95" customHeight="1">
      <c r="A76" s="26" t="s">
        <v>95</v>
      </c>
      <c r="B76" s="112">
        <v>92476</v>
      </c>
      <c r="C76" s="167" t="s">
        <v>423</v>
      </c>
      <c r="D76" s="89"/>
      <c r="E76" s="89"/>
      <c r="F76" s="89"/>
      <c r="G76" s="89"/>
      <c r="H76" s="89"/>
      <c r="I76" s="89"/>
      <c r="J76" s="157">
        <v>12.9</v>
      </c>
      <c r="K76" s="152" t="s">
        <v>610</v>
      </c>
      <c r="L76" s="11"/>
      <c r="M76" s="12"/>
      <c r="N76" s="13"/>
      <c r="O76" s="11"/>
      <c r="P76" s="12"/>
      <c r="Q76" s="13"/>
      <c r="R76" s="11"/>
      <c r="S76" s="12"/>
      <c r="T76" s="13"/>
      <c r="U76" s="13"/>
      <c r="V76" s="13"/>
      <c r="W76" s="77"/>
      <c r="X76" s="11"/>
      <c r="Y76" s="76"/>
      <c r="Z76" s="77"/>
    </row>
    <row r="77" spans="1:26" ht="19.95" customHeight="1">
      <c r="A77" s="26" t="s">
        <v>673</v>
      </c>
      <c r="B77" s="108"/>
      <c r="C77" s="34" t="s">
        <v>698</v>
      </c>
      <c r="D77" s="89">
        <v>1</v>
      </c>
      <c r="E77" s="89">
        <v>12.9</v>
      </c>
      <c r="F77" s="89"/>
      <c r="G77" s="89"/>
      <c r="H77" s="151">
        <v>12.9</v>
      </c>
      <c r="I77" s="151">
        <v>12.9</v>
      </c>
      <c r="J77" s="152"/>
      <c r="K77" s="152"/>
      <c r="L77" s="11"/>
      <c r="M77" s="12"/>
      <c r="N77" s="13"/>
      <c r="O77" s="11"/>
      <c r="P77" s="12"/>
      <c r="Q77" s="13"/>
      <c r="R77" s="11"/>
      <c r="S77" s="12"/>
      <c r="T77" s="13"/>
      <c r="U77" s="13"/>
      <c r="V77" s="13"/>
      <c r="W77" s="77"/>
      <c r="X77" s="11"/>
      <c r="Y77" s="76"/>
      <c r="Z77" s="77"/>
    </row>
    <row r="78" spans="1:26" ht="49.95" customHeight="1">
      <c r="A78" s="26" t="s">
        <v>96</v>
      </c>
      <c r="B78" s="112">
        <v>92486</v>
      </c>
      <c r="C78" s="167" t="s">
        <v>424</v>
      </c>
      <c r="D78" s="89"/>
      <c r="E78" s="89"/>
      <c r="F78" s="89"/>
      <c r="G78" s="89"/>
      <c r="H78" s="89"/>
      <c r="I78" s="89"/>
      <c r="J78" s="157">
        <v>6.04</v>
      </c>
      <c r="K78" s="152" t="s">
        <v>610</v>
      </c>
      <c r="L78" s="11"/>
      <c r="M78" s="12"/>
      <c r="N78" s="13"/>
      <c r="O78" s="11"/>
      <c r="P78" s="12"/>
      <c r="Q78" s="13"/>
      <c r="R78" s="11"/>
      <c r="S78" s="12"/>
      <c r="T78" s="13"/>
      <c r="U78" s="13"/>
      <c r="V78" s="13"/>
      <c r="W78" s="77"/>
      <c r="X78" s="11"/>
      <c r="Y78" s="76"/>
      <c r="Z78" s="77"/>
    </row>
    <row r="79" spans="1:26" ht="19.95" customHeight="1">
      <c r="A79" s="26" t="s">
        <v>674</v>
      </c>
      <c r="B79" s="108"/>
      <c r="C79" s="34" t="s">
        <v>700</v>
      </c>
      <c r="D79" s="89">
        <v>1</v>
      </c>
      <c r="E79" s="89">
        <v>6.04</v>
      </c>
      <c r="F79" s="89"/>
      <c r="G79" s="89"/>
      <c r="H79" s="151">
        <v>6.04</v>
      </c>
      <c r="I79" s="151">
        <v>6.04</v>
      </c>
      <c r="J79" s="152"/>
      <c r="K79" s="152"/>
      <c r="L79" s="11"/>
      <c r="M79" s="12"/>
      <c r="N79" s="13"/>
      <c r="O79" s="11"/>
      <c r="P79" s="12"/>
      <c r="Q79" s="13"/>
      <c r="R79" s="11"/>
      <c r="S79" s="12"/>
      <c r="T79" s="13"/>
      <c r="U79" s="13"/>
      <c r="V79" s="13"/>
      <c r="W79" s="77"/>
      <c r="X79" s="11"/>
      <c r="Y79" s="76"/>
      <c r="Z79" s="77"/>
    </row>
    <row r="80" spans="1:26" ht="49.95" customHeight="1">
      <c r="A80" s="26" t="s">
        <v>97</v>
      </c>
      <c r="B80" s="112">
        <v>92759</v>
      </c>
      <c r="C80" s="167" t="s">
        <v>425</v>
      </c>
      <c r="D80" s="89"/>
      <c r="E80" s="89"/>
      <c r="F80" s="89"/>
      <c r="G80" s="89"/>
      <c r="H80" s="89"/>
      <c r="I80" s="89"/>
      <c r="J80" s="157"/>
      <c r="K80" s="152"/>
      <c r="L80" s="11"/>
      <c r="M80" s="12"/>
      <c r="N80" s="13"/>
      <c r="O80" s="11"/>
      <c r="P80" s="12"/>
      <c r="Q80" s="13"/>
      <c r="R80" s="11"/>
      <c r="S80" s="12"/>
      <c r="T80" s="13"/>
      <c r="U80" s="13"/>
      <c r="V80" s="13"/>
      <c r="W80" s="77"/>
      <c r="X80" s="11"/>
      <c r="Y80" s="76"/>
      <c r="Z80" s="77"/>
    </row>
    <row r="81" spans="1:26" ht="49.95" customHeight="1">
      <c r="A81" s="26" t="s">
        <v>98</v>
      </c>
      <c r="B81" s="112">
        <v>104108</v>
      </c>
      <c r="C81" s="167" t="s">
        <v>426</v>
      </c>
      <c r="D81" s="89"/>
      <c r="E81" s="89"/>
      <c r="F81" s="89"/>
      <c r="G81" s="89"/>
      <c r="H81" s="89"/>
      <c r="I81" s="89"/>
      <c r="J81" s="157"/>
      <c r="K81" s="152"/>
      <c r="L81" s="11"/>
      <c r="M81" s="12"/>
      <c r="N81" s="13"/>
      <c r="O81" s="11"/>
      <c r="P81" s="12"/>
      <c r="Q81" s="13"/>
      <c r="R81" s="11"/>
      <c r="S81" s="12"/>
      <c r="T81" s="13"/>
      <c r="U81" s="13"/>
      <c r="V81" s="13"/>
      <c r="W81" s="77"/>
      <c r="X81" s="11"/>
      <c r="Y81" s="76"/>
      <c r="Z81" s="77"/>
    </row>
    <row r="82" spans="1:26" ht="49.95" customHeight="1">
      <c r="A82" s="26" t="s">
        <v>99</v>
      </c>
      <c r="B82" s="112">
        <v>92761</v>
      </c>
      <c r="C82" s="167" t="s">
        <v>427</v>
      </c>
      <c r="D82" s="89"/>
      <c r="E82" s="89"/>
      <c r="F82" s="89"/>
      <c r="G82" s="89"/>
      <c r="H82" s="89"/>
      <c r="I82" s="89"/>
      <c r="J82" s="157"/>
      <c r="K82" s="152"/>
      <c r="L82" s="11"/>
      <c r="M82" s="12"/>
      <c r="N82" s="13"/>
      <c r="O82" s="11"/>
      <c r="P82" s="12"/>
      <c r="Q82" s="13"/>
      <c r="R82" s="11"/>
      <c r="S82" s="12"/>
      <c r="T82" s="13"/>
      <c r="U82" s="13"/>
      <c r="V82" s="13"/>
      <c r="W82" s="77"/>
      <c r="X82" s="11"/>
      <c r="Y82" s="76"/>
      <c r="Z82" s="77"/>
    </row>
    <row r="83" spans="1:26" ht="49.95" customHeight="1">
      <c r="A83" s="26" t="s">
        <v>100</v>
      </c>
      <c r="B83" s="112">
        <v>94971</v>
      </c>
      <c r="C83" s="167" t="s">
        <v>428</v>
      </c>
      <c r="D83" s="89"/>
      <c r="E83" s="89"/>
      <c r="F83" s="89"/>
      <c r="G83" s="89"/>
      <c r="H83" s="89"/>
      <c r="I83" s="89"/>
      <c r="J83" s="157"/>
      <c r="K83" s="152"/>
      <c r="L83" s="11"/>
      <c r="M83" s="12"/>
      <c r="N83" s="13"/>
      <c r="O83" s="11"/>
      <c r="P83" s="12"/>
      <c r="Q83" s="13"/>
      <c r="R83" s="11"/>
      <c r="S83" s="12"/>
      <c r="T83" s="13"/>
      <c r="U83" s="13"/>
      <c r="V83" s="13"/>
      <c r="W83" s="77"/>
      <c r="X83" s="11"/>
      <c r="Y83" s="76"/>
      <c r="Z83" s="77"/>
    </row>
    <row r="84" spans="1:26" ht="49.95" customHeight="1">
      <c r="A84" s="26" t="s">
        <v>101</v>
      </c>
      <c r="B84" s="112">
        <v>103670</v>
      </c>
      <c r="C84" s="167" t="s">
        <v>415</v>
      </c>
      <c r="D84" s="89"/>
      <c r="E84" s="89"/>
      <c r="F84" s="89"/>
      <c r="G84" s="89"/>
      <c r="H84" s="89"/>
      <c r="I84" s="89"/>
      <c r="J84" s="157"/>
      <c r="K84" s="152"/>
      <c r="L84" s="11"/>
      <c r="M84" s="12"/>
      <c r="N84" s="13"/>
      <c r="O84" s="11"/>
      <c r="P84" s="12"/>
      <c r="Q84" s="13"/>
      <c r="R84" s="11"/>
      <c r="S84" s="12"/>
      <c r="T84" s="13"/>
      <c r="U84" s="13"/>
      <c r="V84" s="13"/>
      <c r="W84" s="77"/>
      <c r="X84" s="11"/>
      <c r="Y84" s="76"/>
      <c r="Z84" s="77"/>
    </row>
    <row r="85" spans="1:26" ht="49.95" customHeight="1">
      <c r="A85" s="26" t="s">
        <v>102</v>
      </c>
      <c r="B85" s="112">
        <v>92768</v>
      </c>
      <c r="C85" s="167" t="s">
        <v>429</v>
      </c>
      <c r="D85" s="89"/>
      <c r="E85" s="89"/>
      <c r="F85" s="89"/>
      <c r="G85" s="89"/>
      <c r="H85" s="89"/>
      <c r="I85" s="89"/>
      <c r="J85" s="157"/>
      <c r="K85" s="152"/>
      <c r="L85" s="11"/>
      <c r="M85" s="12"/>
      <c r="N85" s="13"/>
      <c r="O85" s="11"/>
      <c r="P85" s="12"/>
      <c r="Q85" s="13"/>
      <c r="R85" s="11"/>
      <c r="S85" s="12"/>
      <c r="T85" s="13"/>
      <c r="U85" s="13"/>
      <c r="V85" s="13"/>
      <c r="W85" s="77"/>
      <c r="X85" s="11"/>
      <c r="Y85" s="76"/>
      <c r="Z85" s="77"/>
    </row>
    <row r="86" spans="1:26" ht="49.95" customHeight="1">
      <c r="A86" s="26" t="s">
        <v>103</v>
      </c>
      <c r="B86" s="112">
        <v>92769</v>
      </c>
      <c r="C86" s="167" t="s">
        <v>430</v>
      </c>
      <c r="D86" s="89"/>
      <c r="E86" s="89"/>
      <c r="F86" s="89"/>
      <c r="G86" s="89"/>
      <c r="H86" s="89"/>
      <c r="I86" s="89"/>
      <c r="J86" s="157"/>
      <c r="K86" s="152"/>
      <c r="L86" s="11"/>
      <c r="M86" s="12"/>
      <c r="N86" s="13"/>
      <c r="O86" s="11"/>
      <c r="P86" s="12"/>
      <c r="Q86" s="13"/>
      <c r="R86" s="11"/>
      <c r="S86" s="12"/>
      <c r="T86" s="13"/>
      <c r="U86" s="13"/>
      <c r="V86" s="13"/>
      <c r="W86" s="77"/>
      <c r="X86" s="11"/>
      <c r="Y86" s="76"/>
      <c r="Z86" s="77"/>
    </row>
    <row r="87" spans="1:26" ht="25.05" customHeight="1">
      <c r="A87" s="91" t="s">
        <v>104</v>
      </c>
      <c r="B87" s="211" t="s">
        <v>105</v>
      </c>
      <c r="C87" s="211"/>
      <c r="D87" s="147"/>
      <c r="E87" s="147"/>
      <c r="F87" s="147"/>
      <c r="G87" s="147"/>
      <c r="H87" s="150"/>
      <c r="I87" s="150"/>
      <c r="J87" s="150"/>
      <c r="K87" s="150"/>
      <c r="L87" s="11">
        <v>1</v>
      </c>
      <c r="M87" s="12" t="e">
        <f>TRUNC(L87*#REF!,2)</f>
        <v>#REF!</v>
      </c>
      <c r="N87" s="13" t="e">
        <f>TRUNC(M87*#REF!)+0.2</f>
        <v>#REF!</v>
      </c>
      <c r="O87" s="11"/>
      <c r="P87" s="12"/>
      <c r="Q87" s="13"/>
      <c r="R87" s="11"/>
      <c r="S87" s="12"/>
      <c r="T87" s="13"/>
      <c r="U87" s="13"/>
      <c r="V87" s="13"/>
      <c r="W87" s="77" t="e">
        <f>TRUNC(#REF!*V87)+0</f>
        <v>#REF!</v>
      </c>
      <c r="X87" s="11"/>
      <c r="Y87" s="76" t="e">
        <f>TRUNC(X87*#REF!,2)</f>
        <v>#REF!</v>
      </c>
      <c r="Z87" s="77" t="e">
        <f>TRUNC(Y87*#REF!)+0</f>
        <v>#REF!</v>
      </c>
    </row>
    <row r="88" spans="1:26" ht="49.95" customHeight="1">
      <c r="A88" s="29" t="s">
        <v>107</v>
      </c>
      <c r="B88" s="113">
        <v>103356</v>
      </c>
      <c r="C88" s="156" t="s">
        <v>431</v>
      </c>
      <c r="D88" s="89"/>
      <c r="E88" s="89"/>
      <c r="F88" s="89"/>
      <c r="G88" s="89"/>
      <c r="H88" s="89"/>
      <c r="I88" s="89"/>
      <c r="J88" s="157"/>
      <c r="K88" s="152"/>
      <c r="L88" s="11"/>
      <c r="M88" s="12"/>
      <c r="N88" s="13"/>
      <c r="O88" s="11"/>
      <c r="P88" s="12"/>
      <c r="Q88" s="13"/>
      <c r="R88" s="11"/>
      <c r="S88" s="12"/>
      <c r="T88" s="13"/>
      <c r="U88" s="13"/>
      <c r="V88" s="13"/>
      <c r="W88" s="77"/>
      <c r="X88" s="11"/>
      <c r="Y88" s="76"/>
      <c r="Z88" s="77"/>
    </row>
    <row r="89" spans="1:26" ht="49.95" customHeight="1">
      <c r="A89" s="29" t="s">
        <v>108</v>
      </c>
      <c r="B89" s="113">
        <v>105023</v>
      </c>
      <c r="C89" s="156" t="s">
        <v>432</v>
      </c>
      <c r="D89" s="89"/>
      <c r="E89" s="89"/>
      <c r="F89" s="89"/>
      <c r="G89" s="89"/>
      <c r="H89" s="89"/>
      <c r="I89" s="89"/>
      <c r="J89" s="157"/>
      <c r="K89" s="152"/>
      <c r="L89" s="11"/>
      <c r="M89" s="12"/>
      <c r="N89" s="13"/>
      <c r="O89" s="11"/>
      <c r="P89" s="12"/>
      <c r="Q89" s="13"/>
      <c r="R89" s="11"/>
      <c r="S89" s="12"/>
      <c r="T89" s="13"/>
      <c r="U89" s="13"/>
      <c r="V89" s="13"/>
      <c r="W89" s="77"/>
      <c r="X89" s="11"/>
      <c r="Y89" s="76"/>
      <c r="Z89" s="77"/>
    </row>
    <row r="90" spans="1:26" ht="49.95" customHeight="1">
      <c r="A90" s="29" t="s">
        <v>109</v>
      </c>
      <c r="B90" s="113">
        <v>105029</v>
      </c>
      <c r="C90" s="156" t="s">
        <v>433</v>
      </c>
      <c r="D90" s="89"/>
      <c r="E90" s="89"/>
      <c r="F90" s="89"/>
      <c r="G90" s="89"/>
      <c r="H90" s="89"/>
      <c r="I90" s="89"/>
      <c r="J90" s="157"/>
      <c r="K90" s="152"/>
      <c r="L90" s="11"/>
      <c r="M90" s="12"/>
      <c r="N90" s="13"/>
      <c r="O90" s="11"/>
      <c r="P90" s="12"/>
      <c r="Q90" s="13"/>
      <c r="R90" s="11"/>
      <c r="S90" s="12"/>
      <c r="T90" s="13"/>
      <c r="U90" s="13"/>
      <c r="V90" s="13"/>
      <c r="W90" s="77"/>
      <c r="X90" s="11"/>
      <c r="Y90" s="76"/>
      <c r="Z90" s="77"/>
    </row>
    <row r="91" spans="1:26" ht="25.05" customHeight="1">
      <c r="A91" s="91" t="s">
        <v>106</v>
      </c>
      <c r="B91" s="211" t="s">
        <v>45</v>
      </c>
      <c r="C91" s="211"/>
      <c r="D91" s="147"/>
      <c r="E91" s="147"/>
      <c r="F91" s="147"/>
      <c r="G91" s="147"/>
      <c r="H91" s="150"/>
      <c r="I91" s="150"/>
      <c r="J91" s="150"/>
      <c r="K91" s="150"/>
      <c r="L91" s="11">
        <v>1</v>
      </c>
      <c r="M91" s="12" t="e">
        <f>TRUNC(L91*#REF!,2)</f>
        <v>#REF!</v>
      </c>
      <c r="N91" s="13" t="e">
        <f>TRUNC(M91*#REF!)+0.2</f>
        <v>#REF!</v>
      </c>
      <c r="O91" s="11"/>
      <c r="P91" s="12"/>
      <c r="Q91" s="13"/>
      <c r="R91" s="11"/>
      <c r="S91" s="12"/>
      <c r="T91" s="13"/>
      <c r="U91" s="13"/>
      <c r="V91" s="13"/>
      <c r="W91" s="77" t="e">
        <f>TRUNC(#REF!*V91)+0</f>
        <v>#REF!</v>
      </c>
      <c r="X91" s="11"/>
      <c r="Y91" s="76" t="e">
        <f>TRUNC(X91*#REF!,2)</f>
        <v>#REF!</v>
      </c>
      <c r="Z91" s="77" t="e">
        <f>TRUNC(Y91*#REF!)+0</f>
        <v>#REF!</v>
      </c>
    </row>
    <row r="92" spans="1:26" ht="49.95" customHeight="1">
      <c r="A92" s="29" t="s">
        <v>110</v>
      </c>
      <c r="B92" s="33">
        <v>87878</v>
      </c>
      <c r="C92" s="156" t="s">
        <v>494</v>
      </c>
      <c r="D92" s="89"/>
      <c r="E92" s="89"/>
      <c r="F92" s="89"/>
      <c r="G92" s="89"/>
      <c r="H92" s="89"/>
      <c r="I92" s="89"/>
      <c r="J92" s="157"/>
      <c r="K92" s="152"/>
      <c r="L92" s="11"/>
      <c r="M92" s="12"/>
      <c r="N92" s="13"/>
      <c r="O92" s="11"/>
      <c r="P92" s="12"/>
      <c r="Q92" s="13"/>
      <c r="R92" s="11"/>
      <c r="S92" s="12"/>
      <c r="T92" s="13"/>
      <c r="U92" s="13"/>
      <c r="V92" s="13"/>
      <c r="W92" s="77"/>
      <c r="X92" s="11"/>
      <c r="Y92" s="76"/>
      <c r="Z92" s="77"/>
    </row>
    <row r="93" spans="1:26" ht="49.95" customHeight="1">
      <c r="A93" s="29" t="s">
        <v>111</v>
      </c>
      <c r="B93" s="33">
        <v>87545</v>
      </c>
      <c r="C93" s="156" t="s">
        <v>435</v>
      </c>
      <c r="D93" s="89"/>
      <c r="E93" s="89"/>
      <c r="F93" s="89"/>
      <c r="G93" s="89"/>
      <c r="H93" s="89"/>
      <c r="I93" s="89"/>
      <c r="J93" s="157"/>
      <c r="K93" s="152"/>
      <c r="L93" s="11"/>
      <c r="M93" s="12"/>
      <c r="N93" s="13"/>
      <c r="O93" s="11"/>
      <c r="P93" s="12"/>
      <c r="Q93" s="13"/>
      <c r="R93" s="11"/>
      <c r="S93" s="12"/>
      <c r="T93" s="13"/>
      <c r="U93" s="13"/>
      <c r="V93" s="13"/>
      <c r="W93" s="77"/>
      <c r="X93" s="11"/>
      <c r="Y93" s="76"/>
      <c r="Z93" s="77"/>
    </row>
    <row r="94" spans="1:26" ht="49.95" customHeight="1">
      <c r="A94" s="29" t="s">
        <v>112</v>
      </c>
      <c r="B94" s="33">
        <v>87529</v>
      </c>
      <c r="C94" s="156" t="s">
        <v>436</v>
      </c>
      <c r="D94" s="89"/>
      <c r="E94" s="89"/>
      <c r="F94" s="89"/>
      <c r="G94" s="89"/>
      <c r="H94" s="89"/>
      <c r="I94" s="89"/>
      <c r="J94" s="157"/>
      <c r="K94" s="152"/>
      <c r="L94" s="11"/>
      <c r="M94" s="12"/>
      <c r="N94" s="13"/>
      <c r="O94" s="11"/>
      <c r="P94" s="12"/>
      <c r="Q94" s="13"/>
      <c r="R94" s="11"/>
      <c r="S94" s="12"/>
      <c r="T94" s="13"/>
      <c r="U94" s="13"/>
      <c r="V94" s="13"/>
      <c r="W94" s="77"/>
      <c r="X94" s="11"/>
      <c r="Y94" s="76"/>
      <c r="Z94" s="77"/>
    </row>
    <row r="95" spans="1:26" ht="49.95" customHeight="1">
      <c r="A95" s="29" t="s">
        <v>113</v>
      </c>
      <c r="B95" s="114" t="s">
        <v>409</v>
      </c>
      <c r="C95" s="156" t="s">
        <v>437</v>
      </c>
      <c r="D95" s="89"/>
      <c r="E95" s="89"/>
      <c r="F95" s="89"/>
      <c r="G95" s="89"/>
      <c r="H95" s="89"/>
      <c r="I95" s="89"/>
      <c r="J95" s="157"/>
      <c r="K95" s="152"/>
      <c r="L95" s="11"/>
      <c r="M95" s="12"/>
      <c r="N95" s="13"/>
      <c r="O95" s="11"/>
      <c r="P95" s="12"/>
      <c r="Q95" s="13"/>
      <c r="R95" s="11"/>
      <c r="S95" s="12"/>
      <c r="T95" s="13"/>
      <c r="U95" s="13"/>
      <c r="V95" s="13"/>
      <c r="W95" s="77"/>
      <c r="X95" s="11"/>
      <c r="Y95" s="76"/>
      <c r="Z95" s="77"/>
    </row>
    <row r="96" spans="1:26" ht="49.95" customHeight="1">
      <c r="A96" s="29" t="s">
        <v>114</v>
      </c>
      <c r="B96" s="33">
        <v>87908</v>
      </c>
      <c r="C96" s="156" t="s">
        <v>438</v>
      </c>
      <c r="D96" s="89"/>
      <c r="E96" s="89"/>
      <c r="F96" s="89"/>
      <c r="G96" s="89"/>
      <c r="H96" s="89"/>
      <c r="I96" s="89"/>
      <c r="J96" s="157"/>
      <c r="K96" s="152"/>
      <c r="L96" s="11"/>
      <c r="M96" s="12"/>
      <c r="N96" s="13"/>
      <c r="O96" s="11"/>
      <c r="P96" s="12"/>
      <c r="Q96" s="13"/>
      <c r="R96" s="11"/>
      <c r="S96" s="12"/>
      <c r="T96" s="13"/>
      <c r="U96" s="13"/>
      <c r="V96" s="13"/>
      <c r="W96" s="77"/>
      <c r="X96" s="11"/>
      <c r="Y96" s="76"/>
      <c r="Z96" s="77"/>
    </row>
    <row r="97" spans="1:37" ht="49.95" customHeight="1">
      <c r="A97" s="29" t="s">
        <v>115</v>
      </c>
      <c r="B97" s="33">
        <v>104218</v>
      </c>
      <c r="C97" s="156" t="s">
        <v>439</v>
      </c>
      <c r="D97" s="89"/>
      <c r="E97" s="89"/>
      <c r="F97" s="89"/>
      <c r="G97" s="89"/>
      <c r="H97" s="89"/>
      <c r="I97" s="89"/>
      <c r="J97" s="157"/>
      <c r="K97" s="152"/>
      <c r="L97" s="11"/>
      <c r="M97" s="12"/>
      <c r="N97" s="13"/>
      <c r="O97" s="11"/>
      <c r="P97" s="12"/>
      <c r="Q97" s="13"/>
      <c r="R97" s="11"/>
      <c r="S97" s="12"/>
      <c r="T97" s="13"/>
      <c r="U97" s="13"/>
      <c r="V97" s="13"/>
      <c r="W97" s="77"/>
      <c r="X97" s="11"/>
      <c r="Y97" s="76"/>
      <c r="Z97" s="77"/>
    </row>
    <row r="98" spans="1:37" ht="49.95" customHeight="1">
      <c r="A98" s="29" t="s">
        <v>116</v>
      </c>
      <c r="B98" s="33">
        <v>13</v>
      </c>
      <c r="C98" s="156" t="s">
        <v>440</v>
      </c>
      <c r="D98" s="89"/>
      <c r="E98" s="89"/>
      <c r="F98" s="89"/>
      <c r="G98" s="89"/>
      <c r="H98" s="89"/>
      <c r="I98" s="89"/>
      <c r="J98" s="157"/>
      <c r="K98" s="152"/>
      <c r="L98" s="11"/>
      <c r="M98" s="12"/>
      <c r="N98" s="13"/>
      <c r="O98" s="11"/>
      <c r="P98" s="12"/>
      <c r="Q98" s="13"/>
      <c r="R98" s="11"/>
      <c r="S98" s="12"/>
      <c r="T98" s="13"/>
      <c r="U98" s="13"/>
      <c r="V98" s="13"/>
      <c r="W98" s="77"/>
      <c r="X98" s="11"/>
      <c r="Y98" s="76"/>
      <c r="Z98" s="77"/>
    </row>
    <row r="99" spans="1:37" ht="49.95" customHeight="1">
      <c r="A99" s="29" t="s">
        <v>117</v>
      </c>
      <c r="B99" s="114" t="s">
        <v>409</v>
      </c>
      <c r="C99" s="156" t="s">
        <v>437</v>
      </c>
      <c r="D99" s="89"/>
      <c r="E99" s="89"/>
      <c r="F99" s="89"/>
      <c r="G99" s="89"/>
      <c r="H99" s="89"/>
      <c r="I99" s="89"/>
      <c r="J99" s="157"/>
      <c r="K99" s="152"/>
      <c r="L99" s="11"/>
      <c r="M99" s="12"/>
      <c r="N99" s="13"/>
      <c r="O99" s="11"/>
      <c r="P99" s="12"/>
      <c r="Q99" s="13"/>
      <c r="R99" s="11"/>
      <c r="S99" s="12"/>
      <c r="T99" s="13"/>
      <c r="U99" s="13"/>
      <c r="V99" s="13"/>
      <c r="W99" s="77"/>
      <c r="X99" s="11"/>
      <c r="Y99" s="76"/>
      <c r="Z99" s="77"/>
    </row>
    <row r="100" spans="1:37" ht="49.95" customHeight="1">
      <c r="A100" s="29" t="s">
        <v>118</v>
      </c>
      <c r="B100" s="33">
        <v>98555</v>
      </c>
      <c r="C100" s="156" t="s">
        <v>441</v>
      </c>
      <c r="D100" s="89"/>
      <c r="E100" s="89"/>
      <c r="F100" s="89"/>
      <c r="G100" s="89"/>
      <c r="H100" s="89"/>
      <c r="I100" s="89"/>
      <c r="J100" s="157"/>
      <c r="K100" s="152"/>
      <c r="L100" s="11"/>
      <c r="M100" s="12"/>
      <c r="N100" s="13"/>
      <c r="O100" s="11"/>
      <c r="P100" s="12"/>
      <c r="Q100" s="13"/>
      <c r="R100" s="11"/>
      <c r="S100" s="12"/>
      <c r="T100" s="13"/>
      <c r="U100" s="13"/>
      <c r="V100" s="13"/>
      <c r="W100" s="77"/>
      <c r="X100" s="11"/>
      <c r="Y100" s="76"/>
      <c r="Z100" s="77"/>
    </row>
    <row r="101" spans="1:37" ht="25.05" customHeight="1">
      <c r="A101" s="91" t="s">
        <v>119</v>
      </c>
      <c r="B101" s="211" t="s">
        <v>120</v>
      </c>
      <c r="C101" s="211"/>
      <c r="D101" s="147"/>
      <c r="E101" s="147"/>
      <c r="F101" s="147"/>
      <c r="G101" s="147"/>
      <c r="H101" s="150"/>
      <c r="I101" s="150"/>
      <c r="J101" s="150"/>
      <c r="K101" s="150"/>
      <c r="L101" s="11">
        <v>1</v>
      </c>
      <c r="M101" s="12" t="e">
        <f>TRUNC(L101*#REF!,2)</f>
        <v>#REF!</v>
      </c>
      <c r="N101" s="13" t="e">
        <f>TRUNC(M101*#REF!)+0.2</f>
        <v>#REF!</v>
      </c>
      <c r="O101" s="11"/>
      <c r="P101" s="12"/>
      <c r="Q101" s="13"/>
      <c r="R101" s="11"/>
      <c r="S101" s="12"/>
      <c r="T101" s="13"/>
      <c r="U101" s="13"/>
      <c r="V101" s="13"/>
      <c r="W101" s="77" t="e">
        <f>TRUNC(#REF!*V101)+0</f>
        <v>#REF!</v>
      </c>
      <c r="X101" s="11"/>
      <c r="Y101" s="76" t="e">
        <f>TRUNC(X101*#REF!,2)</f>
        <v>#REF!</v>
      </c>
      <c r="Z101" s="77" t="e">
        <f>TRUNC(Y101*#REF!)+0</f>
        <v>#REF!</v>
      </c>
    </row>
    <row r="102" spans="1:37" ht="49.95" customHeight="1">
      <c r="A102" s="159" t="s">
        <v>121</v>
      </c>
      <c r="B102" s="160">
        <v>96486</v>
      </c>
      <c r="C102" s="171" t="s">
        <v>442</v>
      </c>
      <c r="D102" s="89"/>
      <c r="E102" s="89"/>
      <c r="F102" s="89"/>
      <c r="G102" s="89"/>
      <c r="H102" s="89"/>
      <c r="I102" s="89"/>
      <c r="J102" s="157"/>
      <c r="K102" s="152"/>
      <c r="L102" s="11"/>
      <c r="M102" s="12"/>
      <c r="N102" s="13"/>
      <c r="O102" s="11"/>
      <c r="P102" s="12"/>
      <c r="Q102" s="13"/>
      <c r="R102" s="11"/>
      <c r="S102" s="12"/>
      <c r="T102" s="13"/>
      <c r="U102" s="13"/>
      <c r="V102" s="13"/>
      <c r="W102" s="77"/>
      <c r="X102" s="11"/>
      <c r="Y102" s="76"/>
      <c r="Z102" s="77"/>
    </row>
    <row r="103" spans="1:37" ht="49.95" customHeight="1">
      <c r="A103" s="159" t="s">
        <v>122</v>
      </c>
      <c r="B103" s="160">
        <v>96121</v>
      </c>
      <c r="C103" s="171" t="s">
        <v>443</v>
      </c>
      <c r="D103" s="89"/>
      <c r="E103" s="89"/>
      <c r="F103" s="89"/>
      <c r="G103" s="89"/>
      <c r="H103" s="89"/>
      <c r="I103" s="89"/>
      <c r="J103" s="157"/>
      <c r="K103" s="152"/>
      <c r="L103" s="11"/>
      <c r="M103" s="12"/>
      <c r="N103" s="13"/>
      <c r="O103" s="11"/>
      <c r="P103" s="12"/>
      <c r="Q103" s="13"/>
      <c r="R103" s="11"/>
      <c r="S103" s="12"/>
      <c r="T103" s="13"/>
      <c r="U103" s="13"/>
      <c r="V103" s="13"/>
      <c r="W103" s="77"/>
      <c r="X103" s="11"/>
      <c r="Y103" s="76"/>
      <c r="Z103" s="77"/>
    </row>
    <row r="104" spans="1:37" ht="25.05" customHeight="1">
      <c r="A104" s="91" t="s">
        <v>123</v>
      </c>
      <c r="B104" s="211" t="s">
        <v>46</v>
      </c>
      <c r="C104" s="211"/>
      <c r="D104" s="147"/>
      <c r="E104" s="147"/>
      <c r="F104" s="147"/>
      <c r="G104" s="147"/>
      <c r="H104" s="150"/>
      <c r="I104" s="150"/>
      <c r="J104" s="150"/>
      <c r="K104" s="150"/>
      <c r="L104" s="11">
        <v>1</v>
      </c>
      <c r="M104" s="12" t="e">
        <f>TRUNC(L104*#REF!,2)</f>
        <v>#REF!</v>
      </c>
      <c r="N104" s="13" t="e">
        <f>TRUNC(M104*#REF!)+0.2</f>
        <v>#REF!</v>
      </c>
      <c r="O104" s="11"/>
      <c r="P104" s="12"/>
      <c r="Q104" s="13"/>
      <c r="R104" s="11"/>
      <c r="S104" s="12"/>
      <c r="T104" s="13"/>
      <c r="U104" s="13"/>
      <c r="V104" s="13"/>
      <c r="W104" s="77" t="e">
        <f>TRUNC(#REF!*V104)+0</f>
        <v>#REF!</v>
      </c>
      <c r="X104" s="11"/>
      <c r="Y104" s="76" t="e">
        <f>TRUNC(X104*#REF!,2)</f>
        <v>#REF!</v>
      </c>
      <c r="Z104" s="77" t="e">
        <f>TRUNC(Y104*#REF!)+0</f>
        <v>#REF!</v>
      </c>
    </row>
    <row r="105" spans="1:37" ht="49.95" customHeight="1">
      <c r="A105" s="17" t="s">
        <v>844</v>
      </c>
      <c r="B105" s="33">
        <v>95241</v>
      </c>
      <c r="C105" s="156" t="s">
        <v>444</v>
      </c>
      <c r="D105" s="89"/>
      <c r="E105" s="89"/>
      <c r="F105" s="89"/>
      <c r="G105" s="89"/>
      <c r="H105" s="89"/>
      <c r="I105" s="89"/>
      <c r="J105" s="157"/>
      <c r="K105" s="152"/>
      <c r="L105" s="11"/>
      <c r="M105" s="12"/>
      <c r="N105" s="13"/>
      <c r="O105" s="11"/>
      <c r="P105" s="12"/>
      <c r="Q105" s="13"/>
      <c r="R105" s="11"/>
      <c r="S105" s="12"/>
      <c r="T105" s="13"/>
      <c r="U105" s="13"/>
      <c r="V105" s="13"/>
      <c r="W105" s="77"/>
      <c r="X105" s="11"/>
      <c r="Y105" s="76"/>
      <c r="Z105" s="77"/>
    </row>
    <row r="106" spans="1:37" ht="49.95" customHeight="1">
      <c r="A106" s="17" t="s">
        <v>845</v>
      </c>
      <c r="B106" s="33">
        <v>87622</v>
      </c>
      <c r="C106" s="156" t="s">
        <v>445</v>
      </c>
      <c r="D106" s="89"/>
      <c r="E106" s="89"/>
      <c r="F106" s="89"/>
      <c r="G106" s="89"/>
      <c r="H106" s="89"/>
      <c r="I106" s="89"/>
      <c r="J106" s="157"/>
      <c r="K106" s="152"/>
      <c r="L106" s="11"/>
      <c r="M106" s="12"/>
      <c r="N106" s="13"/>
      <c r="O106" s="11"/>
      <c r="P106" s="12"/>
      <c r="Q106" s="13"/>
      <c r="R106" s="11"/>
      <c r="S106" s="12"/>
      <c r="T106" s="13"/>
      <c r="U106" s="13"/>
      <c r="V106" s="13"/>
      <c r="W106" s="77"/>
      <c r="X106" s="11"/>
      <c r="Y106" s="76"/>
      <c r="Z106" s="77"/>
    </row>
    <row r="107" spans="1:37" ht="49.95" customHeight="1">
      <c r="A107" s="17" t="s">
        <v>846</v>
      </c>
      <c r="B107" s="114" t="s">
        <v>409</v>
      </c>
      <c r="C107" s="156" t="s">
        <v>437</v>
      </c>
      <c r="D107" s="89"/>
      <c r="E107" s="89"/>
      <c r="F107" s="89"/>
      <c r="G107" s="89"/>
      <c r="H107" s="89"/>
      <c r="I107" s="89"/>
      <c r="J107" s="157"/>
      <c r="K107" s="152"/>
      <c r="L107" s="11"/>
      <c r="M107" s="12"/>
      <c r="N107" s="13"/>
      <c r="O107" s="11"/>
      <c r="P107" s="12"/>
      <c r="Q107" s="13"/>
      <c r="R107" s="11"/>
      <c r="S107" s="12"/>
      <c r="T107" s="13"/>
      <c r="U107" s="13"/>
      <c r="V107" s="13"/>
      <c r="W107" s="77"/>
      <c r="X107" s="11"/>
      <c r="Y107" s="76"/>
      <c r="Z107" s="77"/>
    </row>
    <row r="108" spans="1:37" ht="25.05" customHeight="1">
      <c r="A108" s="91" t="s">
        <v>124</v>
      </c>
      <c r="B108" s="211" t="s">
        <v>125</v>
      </c>
      <c r="C108" s="211"/>
      <c r="D108" s="147"/>
      <c r="E108" s="147"/>
      <c r="F108" s="147"/>
      <c r="G108" s="147"/>
      <c r="H108" s="150"/>
      <c r="I108" s="150"/>
      <c r="J108" s="150"/>
      <c r="K108" s="150"/>
      <c r="L108" s="11">
        <v>1</v>
      </c>
      <c r="M108" s="12" t="e">
        <f>TRUNC(L108*#REF!,2)</f>
        <v>#REF!</v>
      </c>
      <c r="N108" s="13" t="e">
        <f>TRUNC(M108*#REF!)+0.2</f>
        <v>#REF!</v>
      </c>
      <c r="O108" s="11"/>
      <c r="P108" s="12"/>
      <c r="Q108" s="13"/>
      <c r="R108" s="11"/>
      <c r="S108" s="12"/>
      <c r="T108" s="13"/>
      <c r="U108" s="13"/>
      <c r="V108" s="13"/>
      <c r="W108" s="77" t="e">
        <f>TRUNC(#REF!*V108)+0</f>
        <v>#REF!</v>
      </c>
      <c r="X108" s="11"/>
      <c r="Y108" s="76" t="e">
        <f>TRUNC(X108*#REF!,2)</f>
        <v>#REF!</v>
      </c>
      <c r="Z108" s="77" t="e">
        <f>TRUNC(Y108*#REF!)+0</f>
        <v>#REF!</v>
      </c>
    </row>
    <row r="109" spans="1:37" s="69" customFormat="1" ht="25.05" customHeight="1">
      <c r="A109" s="91" t="s">
        <v>126</v>
      </c>
      <c r="B109" s="211" t="s">
        <v>47</v>
      </c>
      <c r="C109" s="211"/>
      <c r="D109" s="147"/>
      <c r="E109" s="147"/>
      <c r="F109" s="147"/>
      <c r="G109" s="147"/>
      <c r="H109" s="150"/>
      <c r="I109" s="150"/>
      <c r="J109" s="150"/>
      <c r="K109" s="150"/>
      <c r="L109" s="194"/>
      <c r="M109" s="194"/>
      <c r="N109" s="194"/>
      <c r="O109" s="194"/>
      <c r="P109" s="194"/>
      <c r="Q109" s="194"/>
      <c r="R109" s="194"/>
      <c r="S109" s="194"/>
      <c r="T109" s="194"/>
      <c r="U109" s="194"/>
      <c r="V109" s="194"/>
      <c r="W109" s="194"/>
      <c r="X109" s="194"/>
      <c r="Y109" s="194"/>
      <c r="Z109" s="194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</row>
    <row r="110" spans="1:37" ht="49.95" customHeight="1">
      <c r="A110" s="92" t="s">
        <v>127</v>
      </c>
      <c r="B110" s="113">
        <v>102607</v>
      </c>
      <c r="C110" s="156" t="s">
        <v>446</v>
      </c>
      <c r="D110" s="89"/>
      <c r="E110" s="89"/>
      <c r="F110" s="89"/>
      <c r="G110" s="89"/>
      <c r="H110" s="89"/>
      <c r="I110" s="89"/>
      <c r="J110" s="157"/>
      <c r="K110" s="152"/>
      <c r="L110" s="194"/>
      <c r="M110" s="194"/>
      <c r="N110" s="194"/>
      <c r="O110" s="194"/>
      <c r="P110" s="194"/>
      <c r="Q110" s="194"/>
      <c r="R110" s="194"/>
      <c r="S110" s="194"/>
      <c r="T110" s="194"/>
      <c r="U110" s="194"/>
      <c r="V110" s="194"/>
      <c r="W110" s="194"/>
      <c r="X110" s="194"/>
      <c r="Y110" s="194"/>
      <c r="Z110" s="194"/>
    </row>
    <row r="111" spans="1:37" ht="49.95" customHeight="1">
      <c r="A111" s="92" t="s">
        <v>128</v>
      </c>
      <c r="B111" s="113">
        <v>94795</v>
      </c>
      <c r="C111" s="156" t="s">
        <v>447</v>
      </c>
      <c r="D111" s="89"/>
      <c r="E111" s="89"/>
      <c r="F111" s="89"/>
      <c r="G111" s="89"/>
      <c r="H111" s="89"/>
      <c r="I111" s="89"/>
      <c r="J111" s="157"/>
      <c r="K111" s="152"/>
      <c r="L111" s="194"/>
      <c r="M111" s="194"/>
      <c r="N111" s="194"/>
      <c r="O111" s="194"/>
      <c r="P111" s="194"/>
      <c r="Q111" s="194"/>
      <c r="R111" s="194"/>
      <c r="S111" s="194"/>
      <c r="T111" s="194"/>
      <c r="U111" s="194"/>
      <c r="V111" s="194"/>
      <c r="W111" s="194"/>
      <c r="X111" s="194"/>
      <c r="Y111" s="194"/>
      <c r="Z111" s="194"/>
    </row>
    <row r="112" spans="1:37" ht="49.95" customHeight="1">
      <c r="A112" s="92" t="s">
        <v>129</v>
      </c>
      <c r="B112" s="113">
        <v>86888</v>
      </c>
      <c r="C112" s="156" t="s">
        <v>448</v>
      </c>
      <c r="D112" s="89"/>
      <c r="E112" s="89"/>
      <c r="F112" s="89"/>
      <c r="G112" s="89"/>
      <c r="H112" s="89"/>
      <c r="I112" s="89"/>
      <c r="J112" s="157"/>
      <c r="K112" s="152"/>
      <c r="L112" s="194"/>
      <c r="M112" s="194"/>
      <c r="N112" s="194"/>
      <c r="O112" s="194"/>
      <c r="P112" s="194"/>
      <c r="Q112" s="194"/>
      <c r="R112" s="194"/>
      <c r="S112" s="194"/>
      <c r="T112" s="194"/>
      <c r="U112" s="194"/>
      <c r="V112" s="194"/>
      <c r="W112" s="194"/>
      <c r="X112" s="194"/>
      <c r="Y112" s="194"/>
      <c r="Z112" s="194"/>
    </row>
    <row r="113" spans="1:26" ht="49.95" customHeight="1">
      <c r="A113" s="92" t="s">
        <v>130</v>
      </c>
      <c r="B113" s="161">
        <v>1370</v>
      </c>
      <c r="C113" s="156" t="s">
        <v>449</v>
      </c>
      <c r="D113" s="89"/>
      <c r="E113" s="89"/>
      <c r="F113" s="89"/>
      <c r="G113" s="89"/>
      <c r="H113" s="89"/>
      <c r="I113" s="89"/>
      <c r="J113" s="157"/>
      <c r="K113" s="152"/>
      <c r="L113" s="194"/>
      <c r="M113" s="194"/>
      <c r="N113" s="194"/>
      <c r="O113" s="194"/>
      <c r="P113" s="194"/>
      <c r="Q113" s="194"/>
      <c r="R113" s="194"/>
      <c r="S113" s="194"/>
      <c r="T113" s="194"/>
      <c r="U113" s="194"/>
      <c r="V113" s="194"/>
      <c r="W113" s="194"/>
      <c r="X113" s="194"/>
      <c r="Y113" s="194"/>
      <c r="Z113" s="194"/>
    </row>
    <row r="114" spans="1:26" ht="49.95" customHeight="1">
      <c r="A114" s="92" t="s">
        <v>131</v>
      </c>
      <c r="B114" s="161">
        <v>10427</v>
      </c>
      <c r="C114" s="156" t="s">
        <v>450</v>
      </c>
      <c r="D114" s="89"/>
      <c r="E114" s="89"/>
      <c r="F114" s="89"/>
      <c r="G114" s="89"/>
      <c r="H114" s="89"/>
      <c r="I114" s="89"/>
      <c r="J114" s="157"/>
      <c r="K114" s="152"/>
      <c r="L114" s="194"/>
      <c r="M114" s="194"/>
      <c r="N114" s="194"/>
      <c r="O114" s="194"/>
      <c r="P114" s="194"/>
      <c r="Q114" s="194"/>
      <c r="R114" s="194"/>
      <c r="S114" s="194"/>
      <c r="T114" s="194"/>
      <c r="U114" s="194"/>
      <c r="V114" s="194"/>
      <c r="W114" s="194"/>
      <c r="X114" s="194"/>
      <c r="Y114" s="194"/>
      <c r="Z114" s="194"/>
    </row>
    <row r="115" spans="1:26" ht="49.95" customHeight="1">
      <c r="A115" s="92" t="s">
        <v>132</v>
      </c>
      <c r="B115" s="161">
        <v>6136</v>
      </c>
      <c r="C115" s="156" t="s">
        <v>451</v>
      </c>
      <c r="D115" s="89"/>
      <c r="E115" s="89"/>
      <c r="F115" s="89"/>
      <c r="G115" s="89"/>
      <c r="H115" s="89"/>
      <c r="I115" s="89"/>
      <c r="J115" s="157"/>
      <c r="K115" s="152"/>
      <c r="L115" s="194"/>
      <c r="M115" s="194"/>
      <c r="N115" s="194"/>
      <c r="O115" s="194"/>
      <c r="P115" s="194"/>
      <c r="Q115" s="194"/>
      <c r="R115" s="194"/>
      <c r="S115" s="194"/>
      <c r="T115" s="194"/>
      <c r="U115" s="194"/>
      <c r="V115" s="194"/>
      <c r="W115" s="194"/>
      <c r="X115" s="194"/>
      <c r="Y115" s="194"/>
      <c r="Z115" s="194"/>
    </row>
    <row r="116" spans="1:26" ht="49.95" customHeight="1">
      <c r="A116" s="92" t="s">
        <v>133</v>
      </c>
      <c r="B116" s="113">
        <v>86886</v>
      </c>
      <c r="C116" s="156" t="s">
        <v>452</v>
      </c>
      <c r="D116" s="89"/>
      <c r="E116" s="89"/>
      <c r="F116" s="89"/>
      <c r="G116" s="89"/>
      <c r="H116" s="89"/>
      <c r="I116" s="89"/>
      <c r="J116" s="157"/>
      <c r="K116" s="152"/>
      <c r="L116" s="194"/>
      <c r="M116" s="194"/>
      <c r="N116" s="194"/>
      <c r="O116" s="194"/>
      <c r="P116" s="194"/>
      <c r="Q116" s="194"/>
      <c r="R116" s="194"/>
      <c r="S116" s="194"/>
      <c r="T116" s="194"/>
      <c r="U116" s="194"/>
      <c r="V116" s="194"/>
      <c r="W116" s="194"/>
      <c r="X116" s="194"/>
      <c r="Y116" s="194"/>
      <c r="Z116" s="194"/>
    </row>
    <row r="117" spans="1:26" ht="49.95" customHeight="1">
      <c r="A117" s="92" t="s">
        <v>134</v>
      </c>
      <c r="B117" s="113">
        <v>86936</v>
      </c>
      <c r="C117" s="156" t="s">
        <v>453</v>
      </c>
      <c r="D117" s="89"/>
      <c r="E117" s="89"/>
      <c r="F117" s="89"/>
      <c r="G117" s="89"/>
      <c r="H117" s="89"/>
      <c r="I117" s="89"/>
      <c r="J117" s="157"/>
      <c r="K117" s="152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  <c r="V117" s="194"/>
      <c r="W117" s="194"/>
      <c r="X117" s="194"/>
      <c r="Y117" s="194"/>
      <c r="Z117" s="194"/>
    </row>
    <row r="118" spans="1:26" ht="49.95" customHeight="1">
      <c r="A118" s="92" t="s">
        <v>135</v>
      </c>
      <c r="B118" s="113">
        <v>86911</v>
      </c>
      <c r="C118" s="156" t="s">
        <v>454</v>
      </c>
      <c r="D118" s="89"/>
      <c r="E118" s="89"/>
      <c r="F118" s="89"/>
      <c r="G118" s="89"/>
      <c r="H118" s="89"/>
      <c r="I118" s="89"/>
      <c r="J118" s="157"/>
      <c r="K118" s="152"/>
      <c r="L118" s="194"/>
      <c r="M118" s="194"/>
      <c r="N118" s="194"/>
      <c r="O118" s="194"/>
      <c r="P118" s="194"/>
      <c r="Q118" s="194"/>
      <c r="R118" s="194"/>
      <c r="S118" s="194"/>
      <c r="T118" s="194"/>
      <c r="U118" s="194"/>
      <c r="V118" s="194"/>
      <c r="W118" s="194"/>
      <c r="X118" s="194"/>
      <c r="Y118" s="194"/>
      <c r="Z118" s="194"/>
    </row>
    <row r="119" spans="1:26" ht="49.95" customHeight="1">
      <c r="A119" s="92" t="s">
        <v>136</v>
      </c>
      <c r="B119" s="161">
        <v>13983</v>
      </c>
      <c r="C119" s="156" t="s">
        <v>455</v>
      </c>
      <c r="D119" s="89"/>
      <c r="E119" s="89"/>
      <c r="F119" s="89"/>
      <c r="G119" s="89"/>
      <c r="H119" s="89"/>
      <c r="I119" s="89"/>
      <c r="J119" s="157"/>
      <c r="K119" s="152"/>
      <c r="L119" s="194"/>
      <c r="M119" s="194"/>
      <c r="N119" s="194"/>
      <c r="O119" s="194"/>
      <c r="P119" s="194"/>
      <c r="Q119" s="194"/>
      <c r="R119" s="194"/>
      <c r="S119" s="194"/>
      <c r="T119" s="194"/>
      <c r="U119" s="194"/>
      <c r="V119" s="194"/>
      <c r="W119" s="194"/>
      <c r="X119" s="194"/>
      <c r="Y119" s="194"/>
      <c r="Z119" s="194"/>
    </row>
    <row r="120" spans="1:26" ht="49.95" customHeight="1">
      <c r="A120" s="92" t="s">
        <v>137</v>
      </c>
      <c r="B120" s="113">
        <v>89987</v>
      </c>
      <c r="C120" s="156" t="s">
        <v>456</v>
      </c>
      <c r="D120" s="89"/>
      <c r="E120" s="89"/>
      <c r="F120" s="89"/>
      <c r="G120" s="89"/>
      <c r="H120" s="89"/>
      <c r="I120" s="89"/>
      <c r="J120" s="157"/>
      <c r="K120" s="152"/>
      <c r="L120" s="194"/>
      <c r="M120" s="194"/>
      <c r="N120" s="194"/>
      <c r="O120" s="194"/>
      <c r="P120" s="194"/>
      <c r="Q120" s="194"/>
      <c r="R120" s="194"/>
      <c r="S120" s="194"/>
      <c r="T120" s="194"/>
      <c r="U120" s="194"/>
      <c r="V120" s="194"/>
      <c r="W120" s="194"/>
      <c r="X120" s="194"/>
      <c r="Y120" s="194"/>
      <c r="Z120" s="194"/>
    </row>
    <row r="121" spans="1:26" ht="49.95" customHeight="1">
      <c r="A121" s="92" t="s">
        <v>138</v>
      </c>
      <c r="B121" s="113">
        <v>94492</v>
      </c>
      <c r="C121" s="156" t="s">
        <v>457</v>
      </c>
      <c r="D121" s="89"/>
      <c r="E121" s="89"/>
      <c r="F121" s="89"/>
      <c r="G121" s="89"/>
      <c r="H121" s="89"/>
      <c r="I121" s="89"/>
      <c r="J121" s="157"/>
      <c r="K121" s="152"/>
      <c r="L121" s="194"/>
      <c r="M121" s="194"/>
      <c r="N121" s="194"/>
      <c r="O121" s="194"/>
      <c r="P121" s="194"/>
      <c r="Q121" s="194"/>
      <c r="R121" s="194"/>
      <c r="S121" s="194"/>
      <c r="T121" s="194"/>
      <c r="U121" s="194"/>
      <c r="V121" s="194"/>
      <c r="W121" s="194"/>
      <c r="X121" s="194"/>
      <c r="Y121" s="194"/>
      <c r="Z121" s="194"/>
    </row>
    <row r="122" spans="1:26" ht="49.95" customHeight="1">
      <c r="A122" s="92" t="s">
        <v>139</v>
      </c>
      <c r="B122" s="113">
        <v>94489</v>
      </c>
      <c r="C122" s="156" t="s">
        <v>458</v>
      </c>
      <c r="D122" s="89"/>
      <c r="E122" s="89"/>
      <c r="F122" s="89"/>
      <c r="G122" s="89"/>
      <c r="H122" s="89"/>
      <c r="I122" s="89"/>
      <c r="J122" s="157"/>
      <c r="K122" s="152"/>
      <c r="L122" s="194"/>
      <c r="M122" s="194"/>
      <c r="N122" s="194"/>
      <c r="O122" s="194"/>
      <c r="P122" s="194"/>
      <c r="Q122" s="194"/>
      <c r="R122" s="194"/>
      <c r="S122" s="194"/>
      <c r="T122" s="194"/>
      <c r="U122" s="194"/>
      <c r="V122" s="194"/>
      <c r="W122" s="194"/>
      <c r="X122" s="194"/>
      <c r="Y122" s="194"/>
      <c r="Z122" s="194"/>
    </row>
    <row r="123" spans="1:26" ht="49.95" customHeight="1">
      <c r="A123" s="92" t="s">
        <v>140</v>
      </c>
      <c r="B123" s="113">
        <v>94656</v>
      </c>
      <c r="C123" s="156" t="s">
        <v>459</v>
      </c>
      <c r="D123" s="89"/>
      <c r="E123" s="89"/>
      <c r="F123" s="89"/>
      <c r="G123" s="89"/>
      <c r="H123" s="89"/>
      <c r="I123" s="89"/>
      <c r="J123" s="157"/>
      <c r="K123" s="152"/>
      <c r="L123" s="194"/>
      <c r="M123" s="194"/>
      <c r="N123" s="194"/>
      <c r="O123" s="194"/>
      <c r="P123" s="194"/>
      <c r="Q123" s="194"/>
      <c r="R123" s="194"/>
      <c r="S123" s="194"/>
      <c r="T123" s="194"/>
      <c r="U123" s="194"/>
      <c r="V123" s="194"/>
      <c r="W123" s="194"/>
      <c r="X123" s="194"/>
      <c r="Y123" s="194"/>
      <c r="Z123" s="194"/>
    </row>
    <row r="124" spans="1:26" ht="49.95" customHeight="1">
      <c r="A124" s="92" t="s">
        <v>141</v>
      </c>
      <c r="B124" s="113">
        <v>103966</v>
      </c>
      <c r="C124" s="156" t="s">
        <v>460</v>
      </c>
      <c r="D124" s="89"/>
      <c r="E124" s="89"/>
      <c r="F124" s="89"/>
      <c r="G124" s="89"/>
      <c r="H124" s="89"/>
      <c r="I124" s="89"/>
      <c r="J124" s="157"/>
      <c r="K124" s="152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4"/>
      <c r="X124" s="194"/>
      <c r="Y124" s="194"/>
      <c r="Z124" s="194"/>
    </row>
    <row r="125" spans="1:26" ht="49.95" customHeight="1">
      <c r="A125" s="92" t="s">
        <v>142</v>
      </c>
      <c r="B125" s="113">
        <v>89364</v>
      </c>
      <c r="C125" s="156" t="s">
        <v>461</v>
      </c>
      <c r="D125" s="89"/>
      <c r="E125" s="89"/>
      <c r="F125" s="89"/>
      <c r="G125" s="89"/>
      <c r="H125" s="89"/>
      <c r="I125" s="89"/>
      <c r="J125" s="157"/>
      <c r="K125" s="152"/>
      <c r="L125" s="194"/>
      <c r="M125" s="194"/>
      <c r="N125" s="194"/>
      <c r="O125" s="194"/>
      <c r="P125" s="194"/>
      <c r="Q125" s="194"/>
      <c r="R125" s="194"/>
      <c r="S125" s="194"/>
      <c r="T125" s="194"/>
      <c r="U125" s="194"/>
      <c r="V125" s="194"/>
      <c r="W125" s="194"/>
      <c r="X125" s="194"/>
      <c r="Y125" s="194"/>
      <c r="Z125" s="194"/>
    </row>
    <row r="126" spans="1:26" ht="49.95" customHeight="1">
      <c r="A126" s="92" t="s">
        <v>143</v>
      </c>
      <c r="B126" s="113">
        <v>103986</v>
      </c>
      <c r="C126" s="156" t="s">
        <v>462</v>
      </c>
      <c r="D126" s="89"/>
      <c r="E126" s="89"/>
      <c r="F126" s="89"/>
      <c r="G126" s="89"/>
      <c r="H126" s="89"/>
      <c r="I126" s="89"/>
      <c r="J126" s="157"/>
      <c r="K126" s="152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  <c r="X126" s="194"/>
      <c r="Y126" s="194"/>
      <c r="Z126" s="194"/>
    </row>
    <row r="127" spans="1:26" ht="49.95" customHeight="1">
      <c r="A127" s="92" t="s">
        <v>144</v>
      </c>
      <c r="B127" s="113">
        <v>89363</v>
      </c>
      <c r="C127" s="156" t="s">
        <v>463</v>
      </c>
      <c r="D127" s="89"/>
      <c r="E127" s="89"/>
      <c r="F127" s="89"/>
      <c r="G127" s="89"/>
      <c r="H127" s="89"/>
      <c r="I127" s="89"/>
      <c r="J127" s="157"/>
      <c r="K127" s="152"/>
      <c r="L127" s="194"/>
      <c r="M127" s="194"/>
      <c r="N127" s="194"/>
      <c r="O127" s="194"/>
      <c r="P127" s="194"/>
      <c r="Q127" s="194"/>
      <c r="R127" s="194"/>
      <c r="S127" s="194"/>
      <c r="T127" s="194"/>
      <c r="U127" s="194"/>
      <c r="V127" s="194"/>
      <c r="W127" s="194"/>
      <c r="X127" s="194"/>
      <c r="Y127" s="194"/>
      <c r="Z127" s="194"/>
    </row>
    <row r="128" spans="1:26" ht="49.95" customHeight="1">
      <c r="A128" s="92" t="s">
        <v>145</v>
      </c>
      <c r="B128" s="113">
        <v>89408</v>
      </c>
      <c r="C128" s="156" t="s">
        <v>464</v>
      </c>
      <c r="D128" s="89"/>
      <c r="E128" s="89"/>
      <c r="F128" s="89"/>
      <c r="G128" s="89"/>
      <c r="H128" s="89"/>
      <c r="I128" s="89"/>
      <c r="J128" s="157"/>
      <c r="K128" s="152"/>
      <c r="L128" s="194"/>
      <c r="M128" s="194"/>
      <c r="N128" s="194"/>
      <c r="O128" s="194"/>
      <c r="P128" s="194"/>
      <c r="Q128" s="194"/>
      <c r="R128" s="194"/>
      <c r="S128" s="194"/>
      <c r="T128" s="194"/>
      <c r="U128" s="194"/>
      <c r="V128" s="194"/>
      <c r="W128" s="194"/>
      <c r="X128" s="194"/>
      <c r="Y128" s="194"/>
      <c r="Z128" s="194"/>
    </row>
    <row r="129" spans="1:26" ht="49.95" customHeight="1">
      <c r="A129" s="92" t="s">
        <v>146</v>
      </c>
      <c r="B129" s="113">
        <v>89731</v>
      </c>
      <c r="C129" s="156" t="s">
        <v>465</v>
      </c>
      <c r="D129" s="89"/>
      <c r="E129" s="89"/>
      <c r="F129" s="89"/>
      <c r="G129" s="89"/>
      <c r="H129" s="89"/>
      <c r="I129" s="89"/>
      <c r="J129" s="157"/>
      <c r="K129" s="152"/>
      <c r="L129" s="194"/>
      <c r="M129" s="194"/>
      <c r="N129" s="194"/>
      <c r="O129" s="194"/>
      <c r="P129" s="194"/>
      <c r="Q129" s="194"/>
      <c r="R129" s="194"/>
      <c r="S129" s="194"/>
      <c r="T129" s="194"/>
      <c r="U129" s="194"/>
      <c r="V129" s="194"/>
      <c r="W129" s="194"/>
      <c r="X129" s="194"/>
      <c r="Y129" s="194"/>
      <c r="Z129" s="194"/>
    </row>
    <row r="130" spans="1:26" ht="49.95" customHeight="1">
      <c r="A130" s="92" t="s">
        <v>147</v>
      </c>
      <c r="B130" s="113">
        <v>105189</v>
      </c>
      <c r="C130" s="156" t="s">
        <v>466</v>
      </c>
      <c r="D130" s="89"/>
      <c r="E130" s="89"/>
      <c r="F130" s="89"/>
      <c r="G130" s="89"/>
      <c r="H130" s="89"/>
      <c r="I130" s="89"/>
      <c r="J130" s="157"/>
      <c r="K130" s="152"/>
      <c r="L130" s="194"/>
      <c r="M130" s="194"/>
      <c r="N130" s="194"/>
      <c r="O130" s="194"/>
      <c r="P130" s="194"/>
      <c r="Q130" s="194"/>
      <c r="R130" s="194"/>
      <c r="S130" s="194"/>
      <c r="T130" s="194"/>
      <c r="U130" s="194"/>
      <c r="V130" s="194"/>
      <c r="W130" s="194"/>
      <c r="X130" s="194"/>
      <c r="Y130" s="194"/>
      <c r="Z130" s="194"/>
    </row>
    <row r="131" spans="1:26" ht="49.95" customHeight="1">
      <c r="A131" s="92" t="s">
        <v>148</v>
      </c>
      <c r="B131" s="113">
        <v>89617</v>
      </c>
      <c r="C131" s="156" t="s">
        <v>467</v>
      </c>
      <c r="D131" s="89"/>
      <c r="E131" s="89"/>
      <c r="F131" s="89"/>
      <c r="G131" s="89"/>
      <c r="H131" s="89"/>
      <c r="I131" s="89"/>
      <c r="J131" s="157"/>
      <c r="K131" s="152"/>
      <c r="L131" s="194"/>
      <c r="M131" s="194"/>
      <c r="N131" s="194"/>
      <c r="O131" s="194"/>
      <c r="P131" s="194"/>
      <c r="Q131" s="194"/>
      <c r="R131" s="194"/>
      <c r="S131" s="194"/>
      <c r="T131" s="194"/>
      <c r="U131" s="194"/>
      <c r="V131" s="194"/>
      <c r="W131" s="194"/>
      <c r="X131" s="194"/>
      <c r="Y131" s="194"/>
      <c r="Z131" s="194"/>
    </row>
    <row r="132" spans="1:26" ht="49.95" customHeight="1">
      <c r="A132" s="92" t="s">
        <v>149</v>
      </c>
      <c r="B132" s="113">
        <v>94694</v>
      </c>
      <c r="C132" s="156" t="s">
        <v>468</v>
      </c>
      <c r="D132" s="89"/>
      <c r="E132" s="89"/>
      <c r="F132" s="89"/>
      <c r="G132" s="89"/>
      <c r="H132" s="89"/>
      <c r="I132" s="89"/>
      <c r="J132" s="157"/>
      <c r="K132" s="152"/>
      <c r="L132" s="194"/>
      <c r="M132" s="194"/>
      <c r="N132" s="194"/>
      <c r="O132" s="194"/>
      <c r="P132" s="194"/>
      <c r="Q132" s="194"/>
      <c r="R132" s="194"/>
      <c r="S132" s="194"/>
      <c r="T132" s="194"/>
      <c r="U132" s="194"/>
      <c r="V132" s="194"/>
      <c r="W132" s="194"/>
      <c r="X132" s="194"/>
      <c r="Y132" s="194"/>
      <c r="Z132" s="194"/>
    </row>
    <row r="133" spans="1:26" ht="49.95" customHeight="1">
      <c r="A133" s="92" t="s">
        <v>150</v>
      </c>
      <c r="B133" s="113">
        <v>89446</v>
      </c>
      <c r="C133" s="156" t="s">
        <v>469</v>
      </c>
      <c r="D133" s="89"/>
      <c r="E133" s="89"/>
      <c r="F133" s="89"/>
      <c r="G133" s="89"/>
      <c r="H133" s="89"/>
      <c r="I133" s="89"/>
      <c r="J133" s="157"/>
      <c r="K133" s="152"/>
      <c r="L133" s="194"/>
      <c r="M133" s="194"/>
      <c r="N133" s="194"/>
      <c r="O133" s="194"/>
      <c r="P133" s="194"/>
      <c r="Q133" s="194"/>
      <c r="R133" s="194"/>
      <c r="S133" s="194"/>
      <c r="T133" s="194"/>
      <c r="U133" s="194"/>
      <c r="V133" s="194"/>
      <c r="W133" s="194"/>
      <c r="X133" s="194"/>
      <c r="Y133" s="194"/>
      <c r="Z133" s="194"/>
    </row>
    <row r="134" spans="1:26" ht="49.95" customHeight="1">
      <c r="A134" s="92" t="s">
        <v>151</v>
      </c>
      <c r="B134" s="113">
        <v>89449</v>
      </c>
      <c r="C134" s="156" t="s">
        <v>470</v>
      </c>
      <c r="D134" s="89"/>
      <c r="E134" s="89"/>
      <c r="F134" s="89"/>
      <c r="G134" s="89"/>
      <c r="H134" s="89"/>
      <c r="I134" s="89"/>
      <c r="J134" s="157"/>
      <c r="K134" s="152"/>
      <c r="L134" s="194"/>
      <c r="M134" s="194"/>
      <c r="N134" s="194"/>
      <c r="O134" s="194"/>
      <c r="P134" s="194"/>
      <c r="Q134" s="194"/>
      <c r="R134" s="194"/>
      <c r="S134" s="194"/>
      <c r="T134" s="194"/>
      <c r="U134" s="194"/>
      <c r="V134" s="194"/>
      <c r="W134" s="194"/>
      <c r="X134" s="194"/>
      <c r="Y134" s="194"/>
      <c r="Z134" s="194"/>
    </row>
    <row r="135" spans="1:26" ht="25.05" customHeight="1">
      <c r="A135" s="91" t="s">
        <v>152</v>
      </c>
      <c r="B135" s="211" t="s">
        <v>153</v>
      </c>
      <c r="C135" s="211"/>
      <c r="D135" s="147"/>
      <c r="E135" s="147"/>
      <c r="F135" s="147"/>
      <c r="G135" s="147"/>
      <c r="H135" s="150"/>
      <c r="I135" s="150"/>
      <c r="J135" s="150"/>
      <c r="K135" s="150"/>
      <c r="L135" s="194"/>
      <c r="M135" s="194"/>
      <c r="N135" s="194"/>
      <c r="O135" s="194"/>
      <c r="P135" s="194"/>
      <c r="Q135" s="194"/>
      <c r="R135" s="194"/>
      <c r="S135" s="194"/>
      <c r="T135" s="194"/>
      <c r="U135" s="194"/>
      <c r="V135" s="194"/>
      <c r="W135" s="194"/>
      <c r="X135" s="194"/>
      <c r="Y135" s="194"/>
      <c r="Z135" s="194"/>
    </row>
    <row r="136" spans="1:26" ht="49.95" customHeight="1">
      <c r="A136" s="29" t="s">
        <v>154</v>
      </c>
      <c r="B136" s="33">
        <v>91914</v>
      </c>
      <c r="C136" s="172" t="s">
        <v>491</v>
      </c>
      <c r="D136" s="89"/>
      <c r="E136" s="89"/>
      <c r="F136" s="89"/>
      <c r="G136" s="89"/>
      <c r="H136" s="89"/>
      <c r="I136" s="89"/>
      <c r="J136" s="157"/>
      <c r="K136" s="152"/>
      <c r="L136" s="194"/>
      <c r="M136" s="194"/>
      <c r="N136" s="194"/>
      <c r="O136" s="194"/>
      <c r="P136" s="194"/>
      <c r="Q136" s="194"/>
      <c r="R136" s="194"/>
      <c r="S136" s="194"/>
      <c r="T136" s="194"/>
      <c r="U136" s="194"/>
      <c r="V136" s="194"/>
      <c r="W136" s="194"/>
      <c r="X136" s="194"/>
      <c r="Y136" s="194"/>
      <c r="Z136" s="194"/>
    </row>
    <row r="137" spans="1:26" ht="49.95" customHeight="1">
      <c r="A137" s="29" t="s">
        <v>155</v>
      </c>
      <c r="B137" s="33">
        <v>91884</v>
      </c>
      <c r="C137" s="172" t="s">
        <v>492</v>
      </c>
      <c r="D137" s="89"/>
      <c r="E137" s="89"/>
      <c r="F137" s="89"/>
      <c r="G137" s="89"/>
      <c r="H137" s="89"/>
      <c r="I137" s="89"/>
      <c r="J137" s="157"/>
      <c r="K137" s="152"/>
      <c r="L137" s="194"/>
      <c r="M137" s="194"/>
      <c r="N137" s="194"/>
      <c r="O137" s="194"/>
      <c r="P137" s="194"/>
      <c r="Q137" s="194"/>
      <c r="R137" s="194"/>
      <c r="S137" s="194"/>
      <c r="T137" s="194"/>
      <c r="U137" s="194"/>
      <c r="V137" s="194"/>
      <c r="W137" s="194"/>
      <c r="X137" s="194"/>
      <c r="Y137" s="194"/>
      <c r="Z137" s="194"/>
    </row>
    <row r="138" spans="1:26" ht="49.95" customHeight="1">
      <c r="A138" s="29" t="s">
        <v>156</v>
      </c>
      <c r="B138" s="118">
        <v>39470</v>
      </c>
      <c r="C138" s="172" t="s">
        <v>473</v>
      </c>
      <c r="D138" s="89"/>
      <c r="E138" s="89"/>
      <c r="F138" s="89"/>
      <c r="G138" s="89"/>
      <c r="H138" s="89"/>
      <c r="I138" s="89"/>
      <c r="J138" s="157"/>
      <c r="K138" s="152"/>
      <c r="L138" s="194"/>
      <c r="M138" s="194"/>
      <c r="N138" s="194"/>
      <c r="O138" s="194"/>
      <c r="P138" s="194"/>
      <c r="Q138" s="194"/>
      <c r="R138" s="194"/>
      <c r="S138" s="194"/>
      <c r="T138" s="194"/>
      <c r="U138" s="194"/>
      <c r="V138" s="194"/>
      <c r="W138" s="194"/>
      <c r="X138" s="194"/>
      <c r="Y138" s="194"/>
      <c r="Z138" s="194"/>
    </row>
    <row r="139" spans="1:26" ht="49.95" customHeight="1">
      <c r="A139" s="29" t="s">
        <v>157</v>
      </c>
      <c r="B139" s="33">
        <v>16</v>
      </c>
      <c r="C139" s="172" t="s">
        <v>474</v>
      </c>
      <c r="D139" s="89"/>
      <c r="E139" s="89"/>
      <c r="F139" s="89"/>
      <c r="G139" s="89"/>
      <c r="H139" s="89"/>
      <c r="I139" s="89"/>
      <c r="J139" s="157"/>
      <c r="K139" s="152"/>
      <c r="L139" s="194"/>
      <c r="M139" s="194"/>
      <c r="N139" s="194"/>
      <c r="O139" s="194"/>
      <c r="P139" s="194"/>
      <c r="Q139" s="194"/>
      <c r="R139" s="194"/>
      <c r="S139" s="194"/>
      <c r="T139" s="194"/>
      <c r="U139" s="194"/>
      <c r="V139" s="194"/>
      <c r="W139" s="194"/>
      <c r="X139" s="194"/>
      <c r="Y139" s="194"/>
      <c r="Z139" s="194"/>
    </row>
    <row r="140" spans="1:26" ht="49.95" customHeight="1">
      <c r="A140" s="29" t="s">
        <v>158</v>
      </c>
      <c r="B140" s="33">
        <v>93653</v>
      </c>
      <c r="C140" s="172" t="s">
        <v>475</v>
      </c>
      <c r="D140" s="89"/>
      <c r="E140" s="89"/>
      <c r="F140" s="89"/>
      <c r="G140" s="89"/>
      <c r="H140" s="89"/>
      <c r="I140" s="89"/>
      <c r="J140" s="157"/>
      <c r="K140" s="152"/>
      <c r="L140" s="194"/>
      <c r="M140" s="194"/>
      <c r="N140" s="194"/>
      <c r="O140" s="194"/>
      <c r="P140" s="194"/>
      <c r="Q140" s="194"/>
      <c r="R140" s="194"/>
      <c r="S140" s="194"/>
      <c r="T140" s="194"/>
      <c r="U140" s="194"/>
      <c r="V140" s="194"/>
      <c r="W140" s="194"/>
      <c r="X140" s="194"/>
      <c r="Y140" s="194"/>
      <c r="Z140" s="194"/>
    </row>
    <row r="141" spans="1:26" ht="49.95" customHeight="1">
      <c r="A141" s="29" t="s">
        <v>159</v>
      </c>
      <c r="B141" s="33">
        <v>93654</v>
      </c>
      <c r="C141" s="172" t="s">
        <v>476</v>
      </c>
      <c r="D141" s="89"/>
      <c r="E141" s="89"/>
      <c r="F141" s="89"/>
      <c r="G141" s="89"/>
      <c r="H141" s="89"/>
      <c r="I141" s="89"/>
      <c r="J141" s="157"/>
      <c r="K141" s="152"/>
      <c r="L141" s="194"/>
      <c r="M141" s="194"/>
      <c r="N141" s="194"/>
      <c r="O141" s="194"/>
      <c r="P141" s="194"/>
      <c r="Q141" s="194"/>
      <c r="R141" s="194"/>
      <c r="S141" s="194"/>
      <c r="T141" s="194"/>
      <c r="U141" s="194"/>
      <c r="V141" s="194"/>
      <c r="W141" s="194"/>
      <c r="X141" s="194"/>
      <c r="Y141" s="194"/>
      <c r="Z141" s="194"/>
    </row>
    <row r="142" spans="1:26" ht="49.95" customHeight="1">
      <c r="A142" s="29" t="s">
        <v>160</v>
      </c>
      <c r="B142" s="33">
        <v>93657</v>
      </c>
      <c r="C142" s="172" t="s">
        <v>477</v>
      </c>
      <c r="D142" s="89"/>
      <c r="E142" s="89"/>
      <c r="F142" s="89"/>
      <c r="G142" s="89"/>
      <c r="H142" s="89"/>
      <c r="I142" s="89"/>
      <c r="J142" s="157"/>
      <c r="K142" s="152"/>
      <c r="L142" s="194"/>
      <c r="M142" s="194"/>
      <c r="N142" s="194"/>
      <c r="O142" s="194"/>
      <c r="P142" s="194"/>
      <c r="Q142" s="194"/>
      <c r="R142" s="194"/>
      <c r="S142" s="194"/>
      <c r="T142" s="194"/>
      <c r="U142" s="194"/>
      <c r="V142" s="194"/>
      <c r="W142" s="194"/>
      <c r="X142" s="194"/>
      <c r="Y142" s="194"/>
      <c r="Z142" s="194"/>
    </row>
    <row r="143" spans="1:26" ht="49.95" customHeight="1">
      <c r="A143" s="29" t="s">
        <v>161</v>
      </c>
      <c r="B143" s="33">
        <v>91953</v>
      </c>
      <c r="C143" s="172" t="s">
        <v>478</v>
      </c>
      <c r="D143" s="89"/>
      <c r="E143" s="89"/>
      <c r="F143" s="89"/>
      <c r="G143" s="89"/>
      <c r="H143" s="89"/>
      <c r="I143" s="89"/>
      <c r="J143" s="157"/>
      <c r="K143" s="152"/>
      <c r="L143" s="194"/>
      <c r="M143" s="194"/>
      <c r="N143" s="194"/>
      <c r="O143" s="194"/>
      <c r="P143" s="194"/>
      <c r="Q143" s="194"/>
      <c r="R143" s="194"/>
      <c r="S143" s="194"/>
      <c r="T143" s="194"/>
      <c r="U143" s="194"/>
      <c r="V143" s="194"/>
      <c r="W143" s="194"/>
      <c r="X143" s="194"/>
      <c r="Y143" s="194"/>
      <c r="Z143" s="194"/>
    </row>
    <row r="144" spans="1:26" ht="49.95" customHeight="1">
      <c r="A144" s="29" t="s">
        <v>162</v>
      </c>
      <c r="B144" s="33">
        <v>91967</v>
      </c>
      <c r="C144" s="172" t="s">
        <v>479</v>
      </c>
      <c r="D144" s="89"/>
      <c r="E144" s="89"/>
      <c r="F144" s="89"/>
      <c r="G144" s="89"/>
      <c r="H144" s="89"/>
      <c r="I144" s="89"/>
      <c r="J144" s="157"/>
      <c r="K144" s="152"/>
      <c r="L144" s="194"/>
      <c r="M144" s="194"/>
      <c r="N144" s="194"/>
      <c r="O144" s="194"/>
      <c r="P144" s="194"/>
      <c r="Q144" s="194"/>
      <c r="R144" s="194"/>
      <c r="S144" s="194"/>
      <c r="T144" s="194"/>
      <c r="U144" s="194"/>
      <c r="V144" s="194"/>
      <c r="W144" s="194"/>
      <c r="X144" s="194"/>
      <c r="Y144" s="194"/>
      <c r="Z144" s="194"/>
    </row>
    <row r="145" spans="1:26" ht="49.95" customHeight="1">
      <c r="A145" s="29" t="s">
        <v>163</v>
      </c>
      <c r="B145" s="33">
        <v>101876</v>
      </c>
      <c r="C145" s="172" t="s">
        <v>493</v>
      </c>
      <c r="D145" s="89"/>
      <c r="E145" s="89"/>
      <c r="F145" s="89"/>
      <c r="G145" s="89"/>
      <c r="H145" s="89"/>
      <c r="I145" s="89"/>
      <c r="J145" s="157"/>
      <c r="K145" s="152"/>
      <c r="L145" s="194"/>
      <c r="M145" s="194"/>
      <c r="N145" s="194"/>
      <c r="O145" s="194"/>
      <c r="P145" s="194"/>
      <c r="Q145" s="194"/>
      <c r="R145" s="194"/>
      <c r="S145" s="194"/>
      <c r="T145" s="194"/>
      <c r="U145" s="194"/>
      <c r="V145" s="194"/>
      <c r="W145" s="194"/>
      <c r="X145" s="194"/>
      <c r="Y145" s="194"/>
      <c r="Z145" s="194"/>
    </row>
    <row r="146" spans="1:26" ht="49.95" customHeight="1">
      <c r="A146" s="29" t="s">
        <v>164</v>
      </c>
      <c r="B146" s="33">
        <v>97886</v>
      </c>
      <c r="C146" s="172" t="s">
        <v>480</v>
      </c>
      <c r="D146" s="89"/>
      <c r="E146" s="89"/>
      <c r="F146" s="89"/>
      <c r="G146" s="89"/>
      <c r="H146" s="89"/>
      <c r="I146" s="89"/>
      <c r="J146" s="157"/>
      <c r="K146" s="152"/>
      <c r="L146" s="194"/>
      <c r="M146" s="194"/>
      <c r="N146" s="194"/>
      <c r="O146" s="194"/>
      <c r="P146" s="194"/>
      <c r="Q146" s="194"/>
      <c r="R146" s="194"/>
      <c r="S146" s="194"/>
      <c r="T146" s="194"/>
      <c r="U146" s="194"/>
      <c r="V146" s="194"/>
      <c r="W146" s="194"/>
      <c r="X146" s="194"/>
      <c r="Y146" s="194"/>
      <c r="Z146" s="194"/>
    </row>
    <row r="147" spans="1:26" ht="49.95" customHeight="1">
      <c r="A147" s="29" t="s">
        <v>165</v>
      </c>
      <c r="B147" s="33">
        <v>96985</v>
      </c>
      <c r="C147" s="172" t="s">
        <v>481</v>
      </c>
      <c r="D147" s="89"/>
      <c r="E147" s="89"/>
      <c r="F147" s="89"/>
      <c r="G147" s="89"/>
      <c r="H147" s="89"/>
      <c r="I147" s="89"/>
      <c r="J147" s="157"/>
      <c r="K147" s="152"/>
      <c r="L147" s="194"/>
      <c r="M147" s="194"/>
      <c r="N147" s="194"/>
      <c r="O147" s="194"/>
      <c r="P147" s="194"/>
      <c r="Q147" s="194"/>
      <c r="R147" s="194"/>
      <c r="S147" s="194"/>
      <c r="T147" s="194"/>
      <c r="U147" s="194"/>
      <c r="V147" s="194"/>
      <c r="W147" s="194"/>
      <c r="X147" s="194"/>
      <c r="Y147" s="194"/>
      <c r="Z147" s="194"/>
    </row>
    <row r="148" spans="1:26" ht="49.95" customHeight="1">
      <c r="A148" s="29" t="s">
        <v>166</v>
      </c>
      <c r="B148" s="33">
        <v>17</v>
      </c>
      <c r="C148" s="172" t="s">
        <v>482</v>
      </c>
      <c r="D148" s="89"/>
      <c r="E148" s="89"/>
      <c r="F148" s="89"/>
      <c r="G148" s="89"/>
      <c r="H148" s="89"/>
      <c r="I148" s="89"/>
      <c r="J148" s="157"/>
      <c r="K148" s="152"/>
      <c r="L148" s="194"/>
      <c r="M148" s="194"/>
      <c r="N148" s="194"/>
      <c r="O148" s="194"/>
      <c r="P148" s="194"/>
      <c r="Q148" s="194"/>
      <c r="R148" s="194"/>
      <c r="S148" s="194"/>
      <c r="T148" s="194"/>
      <c r="U148" s="194"/>
      <c r="V148" s="194"/>
      <c r="W148" s="194"/>
      <c r="X148" s="194"/>
      <c r="Y148" s="194"/>
      <c r="Z148" s="194"/>
    </row>
    <row r="149" spans="1:26" ht="49.95" customHeight="1">
      <c r="A149" s="29" t="s">
        <v>167</v>
      </c>
      <c r="B149" s="33">
        <v>91998</v>
      </c>
      <c r="C149" s="172" t="s">
        <v>483</v>
      </c>
      <c r="D149" s="89"/>
      <c r="E149" s="89"/>
      <c r="F149" s="89"/>
      <c r="G149" s="89"/>
      <c r="H149" s="89"/>
      <c r="I149" s="89"/>
      <c r="J149" s="157"/>
      <c r="K149" s="152"/>
      <c r="L149" s="194"/>
      <c r="M149" s="194"/>
      <c r="N149" s="194"/>
      <c r="O149" s="194"/>
      <c r="P149" s="194"/>
      <c r="Q149" s="194"/>
      <c r="R149" s="194"/>
      <c r="S149" s="194"/>
      <c r="T149" s="194"/>
      <c r="U149" s="194"/>
      <c r="V149" s="194"/>
      <c r="W149" s="194"/>
      <c r="X149" s="194"/>
      <c r="Y149" s="194"/>
      <c r="Z149" s="194"/>
    </row>
    <row r="150" spans="1:26" ht="49.95" customHeight="1">
      <c r="A150" s="29" t="s">
        <v>168</v>
      </c>
      <c r="B150" s="33">
        <v>92004</v>
      </c>
      <c r="C150" s="172" t="s">
        <v>484</v>
      </c>
      <c r="D150" s="89"/>
      <c r="E150" s="89"/>
      <c r="F150" s="89"/>
      <c r="G150" s="89"/>
      <c r="H150" s="89"/>
      <c r="I150" s="89"/>
      <c r="J150" s="157"/>
      <c r="K150" s="152"/>
      <c r="L150" s="194"/>
      <c r="M150" s="194"/>
      <c r="N150" s="194"/>
      <c r="O150" s="194"/>
      <c r="P150" s="194"/>
      <c r="Q150" s="194"/>
      <c r="R150" s="194"/>
      <c r="S150" s="194"/>
      <c r="T150" s="194"/>
      <c r="U150" s="194"/>
      <c r="V150" s="194"/>
      <c r="W150" s="194"/>
      <c r="X150" s="194"/>
      <c r="Y150" s="194"/>
      <c r="Z150" s="194"/>
    </row>
    <row r="151" spans="1:26" ht="49.95" customHeight="1">
      <c r="A151" s="29" t="s">
        <v>169</v>
      </c>
      <c r="B151" s="33">
        <v>91931</v>
      </c>
      <c r="C151" s="172" t="s">
        <v>485</v>
      </c>
      <c r="D151" s="89"/>
      <c r="E151" s="89"/>
      <c r="F151" s="89"/>
      <c r="G151" s="89"/>
      <c r="H151" s="89"/>
      <c r="I151" s="89"/>
      <c r="J151" s="157"/>
      <c r="K151" s="152"/>
      <c r="L151" s="194"/>
      <c r="M151" s="194"/>
      <c r="N151" s="194"/>
      <c r="O151" s="194"/>
      <c r="P151" s="194"/>
      <c r="Q151" s="194"/>
      <c r="R151" s="194"/>
      <c r="S151" s="194"/>
      <c r="T151" s="194"/>
      <c r="U151" s="194"/>
      <c r="V151" s="194"/>
      <c r="W151" s="194"/>
      <c r="X151" s="194"/>
      <c r="Y151" s="194"/>
      <c r="Z151" s="194"/>
    </row>
    <row r="152" spans="1:26" ht="49.95" customHeight="1">
      <c r="A152" s="29" t="s">
        <v>170</v>
      </c>
      <c r="B152" s="33">
        <v>91924</v>
      </c>
      <c r="C152" s="172" t="s">
        <v>486</v>
      </c>
      <c r="D152" s="89"/>
      <c r="E152" s="89"/>
      <c r="F152" s="89"/>
      <c r="G152" s="89"/>
      <c r="H152" s="89"/>
      <c r="I152" s="89"/>
      <c r="J152" s="157"/>
      <c r="K152" s="152"/>
      <c r="L152" s="194"/>
      <c r="M152" s="194"/>
      <c r="N152" s="194"/>
      <c r="O152" s="194"/>
      <c r="P152" s="194"/>
      <c r="Q152" s="194"/>
      <c r="R152" s="194"/>
      <c r="S152" s="194"/>
      <c r="T152" s="194"/>
      <c r="U152" s="194"/>
      <c r="V152" s="194"/>
      <c r="W152" s="194"/>
      <c r="X152" s="194"/>
      <c r="Y152" s="194"/>
      <c r="Z152" s="194"/>
    </row>
    <row r="153" spans="1:26" ht="49.95" customHeight="1">
      <c r="A153" s="29" t="s">
        <v>171</v>
      </c>
      <c r="B153" s="33">
        <v>91926</v>
      </c>
      <c r="C153" s="172" t="s">
        <v>487</v>
      </c>
      <c r="D153" s="89"/>
      <c r="E153" s="89"/>
      <c r="F153" s="89"/>
      <c r="G153" s="89"/>
      <c r="H153" s="89"/>
      <c r="I153" s="89"/>
      <c r="J153" s="157"/>
      <c r="K153" s="152"/>
      <c r="L153" s="194"/>
      <c r="M153" s="194"/>
      <c r="N153" s="194"/>
      <c r="O153" s="194"/>
      <c r="P153" s="194"/>
      <c r="Q153" s="194"/>
      <c r="R153" s="194"/>
      <c r="S153" s="194"/>
      <c r="T153" s="194"/>
      <c r="U153" s="194"/>
      <c r="V153" s="194"/>
      <c r="W153" s="194"/>
      <c r="X153" s="194"/>
      <c r="Y153" s="194"/>
      <c r="Z153" s="194"/>
    </row>
    <row r="154" spans="1:26" ht="49.95" customHeight="1">
      <c r="A154" s="29" t="s">
        <v>172</v>
      </c>
      <c r="B154" s="33">
        <v>23</v>
      </c>
      <c r="C154" s="172" t="s">
        <v>488</v>
      </c>
      <c r="D154" s="89"/>
      <c r="E154" s="89"/>
      <c r="F154" s="89"/>
      <c r="G154" s="89"/>
      <c r="H154" s="89"/>
      <c r="I154" s="89"/>
      <c r="J154" s="157"/>
      <c r="K154" s="152"/>
      <c r="L154" s="194"/>
      <c r="M154" s="194"/>
      <c r="N154" s="194"/>
      <c r="O154" s="194"/>
      <c r="P154" s="194"/>
      <c r="Q154" s="194"/>
      <c r="R154" s="194"/>
      <c r="S154" s="194"/>
      <c r="T154" s="194"/>
      <c r="U154" s="194"/>
      <c r="V154" s="194"/>
      <c r="W154" s="194"/>
      <c r="X154" s="194"/>
      <c r="Y154" s="194"/>
      <c r="Z154" s="194"/>
    </row>
    <row r="155" spans="1:26" ht="49.95" customHeight="1">
      <c r="A155" s="29" t="s">
        <v>173</v>
      </c>
      <c r="B155" s="33">
        <v>95727</v>
      </c>
      <c r="C155" s="172" t="s">
        <v>489</v>
      </c>
      <c r="D155" s="89"/>
      <c r="E155" s="89"/>
      <c r="F155" s="89"/>
      <c r="G155" s="89"/>
      <c r="H155" s="89"/>
      <c r="I155" s="89"/>
      <c r="J155" s="157"/>
      <c r="K155" s="152"/>
      <c r="L155" s="194"/>
      <c r="M155" s="194"/>
      <c r="N155" s="194"/>
      <c r="O155" s="194"/>
      <c r="P155" s="194"/>
      <c r="Q155" s="194"/>
      <c r="R155" s="194"/>
      <c r="S155" s="194"/>
      <c r="T155" s="194"/>
      <c r="U155" s="194"/>
      <c r="V155" s="194"/>
      <c r="W155" s="194"/>
      <c r="X155" s="194"/>
      <c r="Y155" s="194"/>
      <c r="Z155" s="194"/>
    </row>
    <row r="156" spans="1:26" ht="49.95" customHeight="1">
      <c r="A156" s="29" t="s">
        <v>174</v>
      </c>
      <c r="B156" s="33">
        <v>91854</v>
      </c>
      <c r="C156" s="172" t="s">
        <v>490</v>
      </c>
      <c r="D156" s="89"/>
      <c r="E156" s="89"/>
      <c r="F156" s="89"/>
      <c r="G156" s="89"/>
      <c r="H156" s="89"/>
      <c r="I156" s="89"/>
      <c r="J156" s="157"/>
      <c r="K156" s="152"/>
      <c r="L156" s="194"/>
      <c r="M156" s="194"/>
      <c r="N156" s="194"/>
      <c r="O156" s="194"/>
      <c r="P156" s="194"/>
      <c r="Q156" s="194"/>
      <c r="R156" s="194"/>
      <c r="S156" s="194"/>
      <c r="T156" s="194"/>
      <c r="U156" s="194"/>
      <c r="V156" s="194"/>
      <c r="W156" s="194"/>
      <c r="X156" s="194"/>
      <c r="Y156" s="194"/>
      <c r="Z156" s="194"/>
    </row>
    <row r="157" spans="1:26" ht="25.05" customHeight="1">
      <c r="A157" s="91" t="s">
        <v>175</v>
      </c>
      <c r="B157" s="211" t="s">
        <v>176</v>
      </c>
      <c r="C157" s="211"/>
      <c r="D157" s="147"/>
      <c r="E157" s="147"/>
      <c r="F157" s="147"/>
      <c r="G157" s="147"/>
      <c r="H157" s="150"/>
      <c r="I157" s="150"/>
      <c r="J157" s="150"/>
      <c r="K157" s="150"/>
      <c r="L157" s="194"/>
      <c r="M157" s="194"/>
      <c r="N157" s="194"/>
      <c r="O157" s="194"/>
      <c r="P157" s="194"/>
      <c r="Q157" s="194"/>
      <c r="R157" s="194"/>
      <c r="S157" s="194"/>
      <c r="T157" s="194"/>
      <c r="U157" s="194"/>
      <c r="V157" s="194"/>
      <c r="W157" s="194"/>
      <c r="X157" s="194"/>
      <c r="Y157" s="194"/>
      <c r="Z157" s="194"/>
    </row>
    <row r="158" spans="1:26" ht="49.95" customHeight="1">
      <c r="A158" s="29" t="s">
        <v>177</v>
      </c>
      <c r="B158" s="33">
        <v>98062</v>
      </c>
      <c r="C158" s="156" t="s">
        <v>495</v>
      </c>
      <c r="D158" s="89"/>
      <c r="E158" s="89"/>
      <c r="F158" s="89"/>
      <c r="G158" s="89"/>
      <c r="H158" s="89"/>
      <c r="I158" s="89"/>
      <c r="J158" s="157"/>
      <c r="K158" s="152"/>
      <c r="L158" s="194"/>
      <c r="M158" s="194"/>
      <c r="N158" s="194"/>
      <c r="O158" s="194"/>
      <c r="P158" s="194"/>
      <c r="Q158" s="194"/>
      <c r="R158" s="194"/>
      <c r="S158" s="194"/>
      <c r="T158" s="194"/>
      <c r="U158" s="194"/>
      <c r="V158" s="194"/>
      <c r="W158" s="194"/>
      <c r="X158" s="194"/>
      <c r="Y158" s="194"/>
      <c r="Z158" s="194"/>
    </row>
    <row r="159" spans="1:26" ht="49.95" customHeight="1">
      <c r="A159" s="29" t="s">
        <v>178</v>
      </c>
      <c r="B159" s="33">
        <v>104084</v>
      </c>
      <c r="C159" s="156" t="s">
        <v>511</v>
      </c>
      <c r="D159" s="89"/>
      <c r="E159" s="89"/>
      <c r="F159" s="89"/>
      <c r="G159" s="89"/>
      <c r="H159" s="89"/>
      <c r="I159" s="89"/>
      <c r="J159" s="157"/>
      <c r="K159" s="152"/>
      <c r="L159" s="194"/>
      <c r="M159" s="194"/>
      <c r="N159" s="194"/>
      <c r="O159" s="194"/>
      <c r="P159" s="194"/>
      <c r="Q159" s="194"/>
      <c r="R159" s="194"/>
      <c r="S159" s="194"/>
      <c r="T159" s="194"/>
      <c r="U159" s="194"/>
      <c r="V159" s="194"/>
      <c r="W159" s="194"/>
      <c r="X159" s="194"/>
      <c r="Y159" s="194"/>
      <c r="Z159" s="194"/>
    </row>
    <row r="160" spans="1:26" ht="49.95" customHeight="1">
      <c r="A160" s="29" t="s">
        <v>179</v>
      </c>
      <c r="B160" s="33">
        <v>104065</v>
      </c>
      <c r="C160" s="156" t="s">
        <v>496</v>
      </c>
      <c r="D160" s="89"/>
      <c r="E160" s="89"/>
      <c r="F160" s="89"/>
      <c r="G160" s="89"/>
      <c r="H160" s="89"/>
      <c r="I160" s="89"/>
      <c r="J160" s="157"/>
      <c r="K160" s="152"/>
      <c r="L160" s="194"/>
      <c r="M160" s="194"/>
      <c r="N160" s="194"/>
      <c r="O160" s="194"/>
      <c r="P160" s="194"/>
      <c r="Q160" s="194"/>
      <c r="R160" s="194"/>
      <c r="S160" s="194"/>
      <c r="T160" s="194"/>
      <c r="U160" s="194"/>
      <c r="V160" s="194"/>
      <c r="W160" s="194"/>
      <c r="X160" s="194"/>
      <c r="Y160" s="194"/>
      <c r="Z160" s="194"/>
    </row>
    <row r="161" spans="1:26" ht="49.95" customHeight="1">
      <c r="A161" s="29" t="s">
        <v>180</v>
      </c>
      <c r="B161" s="33">
        <v>89733</v>
      </c>
      <c r="C161" s="156" t="s">
        <v>497</v>
      </c>
      <c r="D161" s="89"/>
      <c r="E161" s="89"/>
      <c r="F161" s="89"/>
      <c r="G161" s="89"/>
      <c r="H161" s="89"/>
      <c r="I161" s="89"/>
      <c r="J161" s="157"/>
      <c r="K161" s="152"/>
      <c r="L161" s="194"/>
      <c r="M161" s="194"/>
      <c r="N161" s="194"/>
      <c r="O161" s="194"/>
      <c r="P161" s="194"/>
      <c r="Q161" s="194"/>
      <c r="R161" s="194"/>
      <c r="S161" s="194"/>
      <c r="T161" s="194"/>
      <c r="U161" s="194"/>
      <c r="V161" s="194"/>
      <c r="W161" s="194"/>
      <c r="X161" s="194"/>
      <c r="Y161" s="194"/>
      <c r="Z161" s="194"/>
    </row>
    <row r="162" spans="1:26" ht="49.95" customHeight="1">
      <c r="A162" s="29" t="s">
        <v>181</v>
      </c>
      <c r="B162" s="33">
        <v>89726</v>
      </c>
      <c r="C162" s="156" t="s">
        <v>498</v>
      </c>
      <c r="D162" s="89"/>
      <c r="E162" s="89"/>
      <c r="F162" s="89"/>
      <c r="G162" s="89"/>
      <c r="H162" s="89"/>
      <c r="I162" s="89"/>
      <c r="J162" s="157"/>
      <c r="K162" s="152"/>
      <c r="L162" s="194"/>
      <c r="M162" s="194"/>
      <c r="N162" s="194"/>
      <c r="O162" s="194"/>
      <c r="P162" s="194"/>
      <c r="Q162" s="194"/>
      <c r="R162" s="194"/>
      <c r="S162" s="194"/>
      <c r="T162" s="194"/>
      <c r="U162" s="194"/>
      <c r="V162" s="194"/>
      <c r="W162" s="194"/>
      <c r="X162" s="194"/>
      <c r="Y162" s="194"/>
      <c r="Z162" s="194"/>
    </row>
    <row r="163" spans="1:26" ht="49.95" customHeight="1">
      <c r="A163" s="29" t="s">
        <v>182</v>
      </c>
      <c r="B163" s="33">
        <v>89732</v>
      </c>
      <c r="C163" s="156" t="s">
        <v>499</v>
      </c>
      <c r="D163" s="89"/>
      <c r="E163" s="89"/>
      <c r="F163" s="89"/>
      <c r="G163" s="89"/>
      <c r="H163" s="89"/>
      <c r="I163" s="89"/>
      <c r="J163" s="157"/>
      <c r="K163" s="152"/>
      <c r="L163" s="194"/>
      <c r="M163" s="194"/>
      <c r="N163" s="194"/>
      <c r="O163" s="194"/>
      <c r="P163" s="194"/>
      <c r="Q163" s="194"/>
      <c r="R163" s="194"/>
      <c r="S163" s="194"/>
      <c r="T163" s="194"/>
      <c r="U163" s="194"/>
      <c r="V163" s="194"/>
      <c r="W163" s="194"/>
      <c r="X163" s="194"/>
      <c r="Y163" s="194"/>
      <c r="Z163" s="194"/>
    </row>
    <row r="164" spans="1:26" ht="49.95" customHeight="1">
      <c r="A164" s="29" t="s">
        <v>183</v>
      </c>
      <c r="B164" s="33">
        <v>89724</v>
      </c>
      <c r="C164" s="156" t="s">
        <v>500</v>
      </c>
      <c r="D164" s="89"/>
      <c r="E164" s="89"/>
      <c r="F164" s="89"/>
      <c r="G164" s="89"/>
      <c r="H164" s="89"/>
      <c r="I164" s="89"/>
      <c r="J164" s="157"/>
      <c r="K164" s="152"/>
      <c r="L164" s="194"/>
      <c r="M164" s="194"/>
      <c r="N164" s="194"/>
      <c r="O164" s="194"/>
      <c r="P164" s="194"/>
      <c r="Q164" s="194"/>
      <c r="R164" s="194"/>
      <c r="S164" s="194"/>
      <c r="T164" s="194"/>
      <c r="U164" s="194"/>
      <c r="V164" s="194"/>
      <c r="W164" s="194"/>
      <c r="X164" s="194"/>
      <c r="Y164" s="194"/>
      <c r="Z164" s="194"/>
    </row>
    <row r="165" spans="1:26" ht="49.95" customHeight="1">
      <c r="A165" s="29" t="s">
        <v>184</v>
      </c>
      <c r="B165" s="33">
        <v>89731</v>
      </c>
      <c r="C165" s="156" t="s">
        <v>465</v>
      </c>
      <c r="D165" s="89"/>
      <c r="E165" s="89"/>
      <c r="F165" s="89"/>
      <c r="G165" s="89"/>
      <c r="H165" s="89"/>
      <c r="I165" s="89"/>
      <c r="J165" s="157"/>
      <c r="K165" s="152"/>
      <c r="L165" s="194"/>
      <c r="M165" s="194"/>
      <c r="N165" s="194"/>
      <c r="O165" s="194"/>
      <c r="P165" s="194"/>
      <c r="Q165" s="194"/>
      <c r="R165" s="194"/>
      <c r="S165" s="194"/>
      <c r="T165" s="194"/>
      <c r="U165" s="194"/>
      <c r="V165" s="194"/>
      <c r="W165" s="194"/>
      <c r="X165" s="194"/>
      <c r="Y165" s="194"/>
      <c r="Z165" s="194"/>
    </row>
    <row r="166" spans="1:26" ht="49.95" customHeight="1">
      <c r="A166" s="29" t="s">
        <v>185</v>
      </c>
      <c r="B166" s="33">
        <v>89744</v>
      </c>
      <c r="C166" s="156" t="s">
        <v>501</v>
      </c>
      <c r="D166" s="89"/>
      <c r="E166" s="89"/>
      <c r="F166" s="89"/>
      <c r="G166" s="89"/>
      <c r="H166" s="89"/>
      <c r="I166" s="89"/>
      <c r="J166" s="157"/>
      <c r="K166" s="152"/>
      <c r="L166" s="194"/>
      <c r="M166" s="194"/>
      <c r="N166" s="194"/>
      <c r="O166" s="194"/>
      <c r="P166" s="194"/>
      <c r="Q166" s="194"/>
      <c r="R166" s="194"/>
      <c r="S166" s="194"/>
      <c r="T166" s="194"/>
      <c r="U166" s="194"/>
      <c r="V166" s="194"/>
      <c r="W166" s="194"/>
      <c r="X166" s="194"/>
      <c r="Y166" s="194"/>
      <c r="Z166" s="194"/>
    </row>
    <row r="167" spans="1:26" ht="49.95" customHeight="1">
      <c r="A167" s="29" t="s">
        <v>186</v>
      </c>
      <c r="B167" s="33">
        <v>89785</v>
      </c>
      <c r="C167" s="156" t="s">
        <v>502</v>
      </c>
      <c r="D167" s="89"/>
      <c r="E167" s="89"/>
      <c r="F167" s="89"/>
      <c r="G167" s="89"/>
      <c r="H167" s="89"/>
      <c r="I167" s="89"/>
      <c r="J167" s="157"/>
      <c r="K167" s="152"/>
      <c r="L167" s="194"/>
      <c r="M167" s="194"/>
      <c r="N167" s="194"/>
      <c r="O167" s="194"/>
      <c r="P167" s="194"/>
      <c r="Q167" s="194"/>
      <c r="R167" s="194"/>
      <c r="S167" s="194"/>
      <c r="T167" s="194"/>
      <c r="U167" s="194"/>
      <c r="V167" s="194"/>
      <c r="W167" s="194"/>
      <c r="X167" s="194"/>
      <c r="Y167" s="194"/>
      <c r="Z167" s="194"/>
    </row>
    <row r="168" spans="1:26" ht="49.95" customHeight="1">
      <c r="A168" s="29" t="s">
        <v>187</v>
      </c>
      <c r="B168" s="33">
        <v>104353</v>
      </c>
      <c r="C168" s="156" t="s">
        <v>503</v>
      </c>
      <c r="D168" s="89"/>
      <c r="E168" s="89"/>
      <c r="F168" s="89"/>
      <c r="G168" s="89"/>
      <c r="H168" s="89"/>
      <c r="I168" s="89"/>
      <c r="J168" s="157"/>
      <c r="K168" s="152"/>
      <c r="L168" s="194"/>
      <c r="M168" s="194"/>
      <c r="N168" s="194"/>
      <c r="O168" s="194"/>
      <c r="P168" s="194"/>
      <c r="Q168" s="194"/>
      <c r="R168" s="194"/>
      <c r="S168" s="194"/>
      <c r="T168" s="194"/>
      <c r="U168" s="194"/>
      <c r="V168" s="194"/>
      <c r="W168" s="194"/>
      <c r="X168" s="194"/>
      <c r="Y168" s="194"/>
      <c r="Z168" s="194"/>
    </row>
    <row r="169" spans="1:26" ht="49.95" customHeight="1">
      <c r="A169" s="29" t="s">
        <v>188</v>
      </c>
      <c r="B169" s="33">
        <v>104348</v>
      </c>
      <c r="C169" s="156" t="s">
        <v>504</v>
      </c>
      <c r="D169" s="89"/>
      <c r="E169" s="89"/>
      <c r="F169" s="89"/>
      <c r="G169" s="89"/>
      <c r="H169" s="89"/>
      <c r="I169" s="89"/>
      <c r="J169" s="157"/>
      <c r="K169" s="152"/>
      <c r="L169" s="194"/>
      <c r="M169" s="194"/>
      <c r="N169" s="194"/>
      <c r="O169" s="194"/>
      <c r="P169" s="194"/>
      <c r="Q169" s="194"/>
      <c r="R169" s="194"/>
      <c r="S169" s="194"/>
      <c r="T169" s="194"/>
      <c r="U169" s="194"/>
      <c r="V169" s="194"/>
      <c r="W169" s="194"/>
      <c r="X169" s="194"/>
      <c r="Y169" s="194"/>
      <c r="Z169" s="194"/>
    </row>
    <row r="170" spans="1:26" ht="49.95" customHeight="1">
      <c r="A170" s="29" t="s">
        <v>189</v>
      </c>
      <c r="B170" s="33">
        <v>89796</v>
      </c>
      <c r="C170" s="156" t="s">
        <v>505</v>
      </c>
      <c r="D170" s="89"/>
      <c r="E170" s="89"/>
      <c r="F170" s="89"/>
      <c r="G170" s="89"/>
      <c r="H170" s="89"/>
      <c r="I170" s="89"/>
      <c r="J170" s="157"/>
      <c r="K170" s="152"/>
      <c r="L170" s="194"/>
      <c r="M170" s="194"/>
      <c r="N170" s="194"/>
      <c r="O170" s="194"/>
      <c r="P170" s="194"/>
      <c r="Q170" s="194"/>
      <c r="R170" s="194"/>
      <c r="S170" s="194"/>
      <c r="T170" s="194"/>
      <c r="U170" s="194"/>
      <c r="V170" s="194"/>
      <c r="W170" s="194"/>
      <c r="X170" s="194"/>
      <c r="Y170" s="194"/>
      <c r="Z170" s="194"/>
    </row>
    <row r="171" spans="1:26" ht="49.95" customHeight="1">
      <c r="A171" s="29" t="s">
        <v>190</v>
      </c>
      <c r="B171" s="118">
        <v>20181</v>
      </c>
      <c r="C171" s="156" t="s">
        <v>506</v>
      </c>
      <c r="D171" s="89"/>
      <c r="E171" s="89"/>
      <c r="F171" s="89"/>
      <c r="G171" s="89"/>
      <c r="H171" s="89"/>
      <c r="I171" s="89"/>
      <c r="J171" s="157"/>
      <c r="K171" s="152"/>
      <c r="L171" s="194"/>
      <c r="M171" s="194"/>
      <c r="N171" s="194"/>
      <c r="O171" s="194"/>
      <c r="P171" s="194"/>
      <c r="Q171" s="194"/>
      <c r="R171" s="194"/>
      <c r="S171" s="194"/>
      <c r="T171" s="194"/>
      <c r="U171" s="194"/>
      <c r="V171" s="194"/>
      <c r="W171" s="194"/>
      <c r="X171" s="194"/>
      <c r="Y171" s="194"/>
      <c r="Z171" s="194"/>
    </row>
    <row r="172" spans="1:26" ht="49.95" customHeight="1">
      <c r="A172" s="29" t="s">
        <v>191</v>
      </c>
      <c r="B172" s="33">
        <v>104329</v>
      </c>
      <c r="C172" s="156" t="s">
        <v>507</v>
      </c>
      <c r="D172" s="89"/>
      <c r="E172" s="89"/>
      <c r="F172" s="89"/>
      <c r="G172" s="89"/>
      <c r="H172" s="89"/>
      <c r="I172" s="89"/>
      <c r="J172" s="157"/>
      <c r="K172" s="152"/>
      <c r="L172" s="194"/>
      <c r="M172" s="194"/>
      <c r="N172" s="194"/>
      <c r="O172" s="194"/>
      <c r="P172" s="194"/>
      <c r="Q172" s="194"/>
      <c r="R172" s="194"/>
      <c r="S172" s="194"/>
      <c r="T172" s="194"/>
      <c r="U172" s="194"/>
      <c r="V172" s="194"/>
      <c r="W172" s="194"/>
      <c r="X172" s="194"/>
      <c r="Y172" s="194"/>
      <c r="Z172" s="194"/>
    </row>
    <row r="173" spans="1:26" ht="49.95" customHeight="1">
      <c r="A173" s="29" t="s">
        <v>192</v>
      </c>
      <c r="B173" s="118">
        <v>6138</v>
      </c>
      <c r="C173" s="156" t="s">
        <v>508</v>
      </c>
      <c r="D173" s="89"/>
      <c r="E173" s="89"/>
      <c r="F173" s="89"/>
      <c r="G173" s="89"/>
      <c r="H173" s="89"/>
      <c r="I173" s="89"/>
      <c r="J173" s="157"/>
      <c r="K173" s="152"/>
      <c r="L173" s="194"/>
      <c r="M173" s="194"/>
      <c r="N173" s="194"/>
      <c r="O173" s="194"/>
      <c r="P173" s="194"/>
      <c r="Q173" s="194"/>
      <c r="R173" s="194"/>
      <c r="S173" s="194"/>
      <c r="T173" s="194"/>
      <c r="U173" s="194"/>
      <c r="V173" s="194"/>
      <c r="W173" s="194"/>
      <c r="X173" s="194"/>
      <c r="Y173" s="194"/>
      <c r="Z173" s="194"/>
    </row>
    <row r="174" spans="1:26" ht="49.95" customHeight="1">
      <c r="A174" s="29" t="s">
        <v>193</v>
      </c>
      <c r="B174" s="33">
        <v>89711</v>
      </c>
      <c r="C174" s="156" t="s">
        <v>512</v>
      </c>
      <c r="D174" s="89"/>
      <c r="E174" s="89"/>
      <c r="F174" s="89"/>
      <c r="G174" s="89"/>
      <c r="H174" s="89"/>
      <c r="I174" s="89"/>
      <c r="J174" s="157"/>
      <c r="K174" s="152"/>
      <c r="L174" s="194"/>
      <c r="M174" s="194"/>
      <c r="N174" s="194"/>
      <c r="O174" s="194"/>
      <c r="P174" s="194"/>
      <c r="Q174" s="194"/>
      <c r="R174" s="194"/>
      <c r="S174" s="194"/>
      <c r="T174" s="194"/>
      <c r="U174" s="194"/>
      <c r="V174" s="194"/>
      <c r="W174" s="194"/>
      <c r="X174" s="194"/>
      <c r="Y174" s="194"/>
      <c r="Z174" s="194"/>
    </row>
    <row r="175" spans="1:26" ht="49.95" customHeight="1">
      <c r="A175" s="29" t="s">
        <v>194</v>
      </c>
      <c r="B175" s="33">
        <v>89712</v>
      </c>
      <c r="C175" s="156" t="s">
        <v>513</v>
      </c>
      <c r="D175" s="89"/>
      <c r="E175" s="89"/>
      <c r="F175" s="89"/>
      <c r="G175" s="89"/>
      <c r="H175" s="89"/>
      <c r="I175" s="89"/>
      <c r="J175" s="157"/>
      <c r="K175" s="152"/>
      <c r="L175" s="194"/>
      <c r="M175" s="194"/>
      <c r="N175" s="194"/>
      <c r="O175" s="194"/>
      <c r="P175" s="194"/>
      <c r="Q175" s="194"/>
      <c r="R175" s="194"/>
      <c r="S175" s="194"/>
      <c r="T175" s="194"/>
      <c r="U175" s="194"/>
      <c r="V175" s="194"/>
      <c r="W175" s="194"/>
      <c r="X175" s="194"/>
      <c r="Y175" s="194"/>
      <c r="Z175" s="194"/>
    </row>
    <row r="176" spans="1:26" ht="49.95" customHeight="1">
      <c r="A176" s="29" t="s">
        <v>195</v>
      </c>
      <c r="B176" s="33">
        <v>89713</v>
      </c>
      <c r="C176" s="156" t="s">
        <v>514</v>
      </c>
      <c r="D176" s="89"/>
      <c r="E176" s="89"/>
      <c r="F176" s="89"/>
      <c r="G176" s="89"/>
      <c r="H176" s="89"/>
      <c r="I176" s="89"/>
      <c r="J176" s="157"/>
      <c r="K176" s="152"/>
      <c r="L176" s="194"/>
      <c r="M176" s="194"/>
      <c r="N176" s="194"/>
      <c r="O176" s="194"/>
      <c r="P176" s="194"/>
      <c r="Q176" s="194"/>
      <c r="R176" s="194"/>
      <c r="S176" s="194"/>
      <c r="T176" s="194"/>
      <c r="U176" s="194"/>
      <c r="V176" s="194"/>
      <c r="W176" s="194"/>
      <c r="X176" s="194"/>
      <c r="Y176" s="194"/>
      <c r="Z176" s="194"/>
    </row>
    <row r="177" spans="1:26" ht="49.95" customHeight="1">
      <c r="A177" s="29" t="s">
        <v>196</v>
      </c>
      <c r="B177" s="33">
        <v>89714</v>
      </c>
      <c r="C177" s="156" t="s">
        <v>515</v>
      </c>
      <c r="D177" s="89"/>
      <c r="E177" s="89"/>
      <c r="F177" s="89"/>
      <c r="G177" s="89"/>
      <c r="H177" s="89"/>
      <c r="I177" s="89"/>
      <c r="J177" s="157"/>
      <c r="K177" s="152"/>
      <c r="L177" s="194"/>
      <c r="M177" s="194"/>
      <c r="N177" s="194"/>
      <c r="O177" s="194"/>
      <c r="P177" s="194"/>
      <c r="Q177" s="194"/>
      <c r="R177" s="194"/>
      <c r="S177" s="194"/>
      <c r="T177" s="194"/>
      <c r="U177" s="194"/>
      <c r="V177" s="194"/>
      <c r="W177" s="194"/>
      <c r="X177" s="194"/>
      <c r="Y177" s="194"/>
      <c r="Z177" s="194"/>
    </row>
    <row r="178" spans="1:26" ht="49.95" customHeight="1">
      <c r="A178" s="29" t="s">
        <v>197</v>
      </c>
      <c r="B178" s="33">
        <v>19</v>
      </c>
      <c r="C178" s="156" t="s">
        <v>516</v>
      </c>
      <c r="D178" s="89"/>
      <c r="E178" s="89"/>
      <c r="F178" s="89"/>
      <c r="G178" s="89"/>
      <c r="H178" s="89"/>
      <c r="I178" s="89"/>
      <c r="J178" s="157"/>
      <c r="K178" s="152"/>
      <c r="L178" s="194"/>
      <c r="M178" s="194"/>
      <c r="N178" s="194"/>
      <c r="O178" s="194"/>
      <c r="P178" s="194"/>
      <c r="Q178" s="194"/>
      <c r="R178" s="194"/>
      <c r="S178" s="194"/>
      <c r="T178" s="194"/>
      <c r="U178" s="194"/>
      <c r="V178" s="194"/>
      <c r="W178" s="194"/>
      <c r="X178" s="194"/>
      <c r="Y178" s="194"/>
      <c r="Z178" s="194"/>
    </row>
    <row r="179" spans="1:26" ht="25.05" customHeight="1">
      <c r="A179" s="91" t="s">
        <v>198</v>
      </c>
      <c r="B179" s="211" t="s">
        <v>21</v>
      </c>
      <c r="C179" s="211"/>
      <c r="D179" s="147"/>
      <c r="E179" s="147"/>
      <c r="F179" s="147"/>
      <c r="G179" s="147"/>
      <c r="H179" s="150"/>
      <c r="I179" s="150"/>
      <c r="J179" s="150"/>
      <c r="K179" s="150"/>
      <c r="L179" s="194"/>
      <c r="M179" s="194"/>
      <c r="N179" s="194"/>
      <c r="O179" s="194"/>
      <c r="P179" s="194"/>
      <c r="Q179" s="194"/>
      <c r="R179" s="194"/>
      <c r="S179" s="194"/>
      <c r="T179" s="194"/>
      <c r="U179" s="194"/>
      <c r="V179" s="194"/>
      <c r="W179" s="194"/>
      <c r="X179" s="194"/>
      <c r="Y179" s="194"/>
      <c r="Z179" s="194"/>
    </row>
    <row r="180" spans="1:26" ht="49.95" customHeight="1">
      <c r="A180" s="29" t="s">
        <v>199</v>
      </c>
      <c r="B180" s="33">
        <v>94204</v>
      </c>
      <c r="C180" s="156" t="s">
        <v>517</v>
      </c>
      <c r="D180" s="89"/>
      <c r="E180" s="89"/>
      <c r="F180" s="89"/>
      <c r="G180" s="89"/>
      <c r="H180" s="89"/>
      <c r="I180" s="89"/>
      <c r="J180" s="157"/>
      <c r="K180" s="152"/>
      <c r="L180" s="194"/>
      <c r="M180" s="194"/>
      <c r="N180" s="194"/>
      <c r="O180" s="194"/>
      <c r="P180" s="194"/>
      <c r="Q180" s="194"/>
      <c r="R180" s="194"/>
      <c r="S180" s="194"/>
      <c r="T180" s="194"/>
      <c r="U180" s="194"/>
      <c r="V180" s="194"/>
      <c r="W180" s="194"/>
      <c r="X180" s="194"/>
      <c r="Y180" s="194"/>
      <c r="Z180" s="194"/>
    </row>
    <row r="181" spans="1:26" ht="49.95" customHeight="1">
      <c r="A181" s="29" t="s">
        <v>200</v>
      </c>
      <c r="B181" s="33">
        <v>92540</v>
      </c>
      <c r="C181" s="156" t="s">
        <v>518</v>
      </c>
      <c r="D181" s="89"/>
      <c r="E181" s="89"/>
      <c r="F181" s="89"/>
      <c r="G181" s="89"/>
      <c r="H181" s="89"/>
      <c r="I181" s="89"/>
      <c r="J181" s="157"/>
      <c r="K181" s="152"/>
      <c r="L181" s="194"/>
      <c r="M181" s="194"/>
      <c r="N181" s="194"/>
      <c r="O181" s="194"/>
      <c r="P181" s="194"/>
      <c r="Q181" s="194"/>
      <c r="R181" s="194"/>
      <c r="S181" s="194"/>
      <c r="T181" s="194"/>
      <c r="U181" s="194"/>
      <c r="V181" s="194"/>
      <c r="W181" s="194"/>
      <c r="X181" s="194"/>
      <c r="Y181" s="194"/>
      <c r="Z181" s="194"/>
    </row>
    <row r="182" spans="1:26" ht="49.95" customHeight="1">
      <c r="A182" s="29" t="s">
        <v>201</v>
      </c>
      <c r="B182" s="33">
        <v>100357</v>
      </c>
      <c r="C182" s="156" t="s">
        <v>519</v>
      </c>
      <c r="D182" s="89"/>
      <c r="E182" s="89"/>
      <c r="F182" s="89"/>
      <c r="G182" s="89"/>
      <c r="H182" s="89"/>
      <c r="I182" s="89"/>
      <c r="J182" s="157"/>
      <c r="K182" s="152"/>
      <c r="L182" s="194"/>
      <c r="M182" s="194"/>
      <c r="N182" s="194"/>
      <c r="O182" s="194"/>
      <c r="P182" s="194"/>
      <c r="Q182" s="194"/>
      <c r="R182" s="194"/>
      <c r="S182" s="194"/>
      <c r="T182" s="194"/>
      <c r="U182" s="194"/>
      <c r="V182" s="194"/>
      <c r="W182" s="194"/>
      <c r="X182" s="194"/>
      <c r="Y182" s="194"/>
      <c r="Z182" s="194"/>
    </row>
    <row r="183" spans="1:26" ht="49.95" customHeight="1">
      <c r="A183" s="29" t="s">
        <v>202</v>
      </c>
      <c r="B183" s="33">
        <v>100358</v>
      </c>
      <c r="C183" s="156" t="s">
        <v>520</v>
      </c>
      <c r="D183" s="89"/>
      <c r="E183" s="89"/>
      <c r="F183" s="89"/>
      <c r="G183" s="89"/>
      <c r="H183" s="89"/>
      <c r="I183" s="89"/>
      <c r="J183" s="157"/>
      <c r="K183" s="152"/>
      <c r="L183" s="194"/>
      <c r="M183" s="194"/>
      <c r="N183" s="194"/>
      <c r="O183" s="194"/>
      <c r="P183" s="194"/>
      <c r="Q183" s="194"/>
      <c r="R183" s="194"/>
      <c r="S183" s="194"/>
      <c r="T183" s="194"/>
      <c r="U183" s="194"/>
      <c r="V183" s="194"/>
      <c r="W183" s="194"/>
      <c r="X183" s="194"/>
      <c r="Y183" s="194"/>
      <c r="Z183" s="194"/>
    </row>
    <row r="184" spans="1:26" ht="49.95" customHeight="1">
      <c r="A184" s="29" t="s">
        <v>203</v>
      </c>
      <c r="B184" s="33">
        <v>102233</v>
      </c>
      <c r="C184" s="156" t="s">
        <v>521</v>
      </c>
      <c r="D184" s="89"/>
      <c r="E184" s="89"/>
      <c r="F184" s="89"/>
      <c r="G184" s="89"/>
      <c r="H184" s="89"/>
      <c r="I184" s="89"/>
      <c r="J184" s="157"/>
      <c r="K184" s="152"/>
      <c r="L184" s="194"/>
      <c r="M184" s="194"/>
      <c r="N184" s="194"/>
      <c r="O184" s="194"/>
      <c r="P184" s="194"/>
      <c r="Q184" s="194"/>
      <c r="R184" s="194"/>
      <c r="S184" s="194"/>
      <c r="T184" s="194"/>
      <c r="U184" s="194"/>
      <c r="V184" s="194"/>
      <c r="W184" s="194"/>
      <c r="X184" s="194"/>
      <c r="Y184" s="194"/>
      <c r="Z184" s="194"/>
    </row>
    <row r="185" spans="1:26" ht="49.95" customHeight="1">
      <c r="A185" s="29" t="s">
        <v>204</v>
      </c>
      <c r="B185" s="33">
        <v>94219</v>
      </c>
      <c r="C185" s="156" t="s">
        <v>522</v>
      </c>
      <c r="D185" s="89"/>
      <c r="E185" s="89"/>
      <c r="F185" s="89"/>
      <c r="G185" s="89"/>
      <c r="H185" s="89"/>
      <c r="I185" s="89"/>
      <c r="J185" s="157"/>
      <c r="K185" s="152"/>
      <c r="L185" s="194"/>
      <c r="M185" s="194"/>
      <c r="N185" s="194"/>
      <c r="O185" s="194"/>
      <c r="P185" s="194"/>
      <c r="Q185" s="194"/>
      <c r="R185" s="194"/>
      <c r="S185" s="194"/>
      <c r="T185" s="194"/>
      <c r="U185" s="194"/>
      <c r="V185" s="194"/>
      <c r="W185" s="194"/>
      <c r="X185" s="194"/>
      <c r="Y185" s="194"/>
      <c r="Z185" s="194"/>
    </row>
    <row r="186" spans="1:26" ht="25.05" customHeight="1">
      <c r="A186" s="91" t="s">
        <v>205</v>
      </c>
      <c r="B186" s="211" t="s">
        <v>48</v>
      </c>
      <c r="C186" s="211"/>
      <c r="D186" s="147"/>
      <c r="E186" s="147"/>
      <c r="F186" s="147"/>
      <c r="G186" s="147"/>
      <c r="H186" s="150"/>
      <c r="I186" s="150"/>
      <c r="J186" s="150"/>
      <c r="K186" s="150"/>
      <c r="L186" s="194"/>
      <c r="M186" s="194"/>
      <c r="N186" s="194"/>
      <c r="O186" s="194"/>
      <c r="P186" s="194"/>
      <c r="Q186" s="194"/>
      <c r="R186" s="194"/>
      <c r="S186" s="194"/>
      <c r="T186" s="194"/>
      <c r="U186" s="194"/>
      <c r="V186" s="194"/>
      <c r="W186" s="194"/>
      <c r="X186" s="194"/>
      <c r="Y186" s="194"/>
      <c r="Z186" s="194"/>
    </row>
    <row r="187" spans="1:26" ht="49.95" customHeight="1">
      <c r="A187" s="29" t="s">
        <v>206</v>
      </c>
      <c r="B187" s="113">
        <v>90822</v>
      </c>
      <c r="C187" s="156" t="s">
        <v>523</v>
      </c>
      <c r="D187" s="89"/>
      <c r="E187" s="89"/>
      <c r="F187" s="89"/>
      <c r="G187" s="89"/>
      <c r="H187" s="89"/>
      <c r="I187" s="89"/>
      <c r="J187" s="157"/>
      <c r="K187" s="152"/>
      <c r="L187" s="194"/>
      <c r="M187" s="194"/>
      <c r="N187" s="194"/>
      <c r="O187" s="194"/>
      <c r="P187" s="194"/>
      <c r="Q187" s="194"/>
      <c r="R187" s="194"/>
      <c r="S187" s="194"/>
      <c r="T187" s="194"/>
      <c r="U187" s="194"/>
      <c r="V187" s="194"/>
      <c r="W187" s="194"/>
      <c r="X187" s="194"/>
      <c r="Y187" s="194"/>
      <c r="Z187" s="194"/>
    </row>
    <row r="188" spans="1:26" ht="49.95" customHeight="1">
      <c r="A188" s="29" t="s">
        <v>207</v>
      </c>
      <c r="B188" s="113">
        <v>101162</v>
      </c>
      <c r="C188" s="156" t="s">
        <v>524</v>
      </c>
      <c r="D188" s="89"/>
      <c r="E188" s="89"/>
      <c r="F188" s="89"/>
      <c r="G188" s="89"/>
      <c r="H188" s="89"/>
      <c r="I188" s="89"/>
      <c r="J188" s="157"/>
      <c r="K188" s="152"/>
      <c r="L188" s="194"/>
      <c r="M188" s="194"/>
      <c r="N188" s="194"/>
      <c r="O188" s="194"/>
      <c r="P188" s="194"/>
      <c r="Q188" s="194"/>
      <c r="R188" s="194"/>
      <c r="S188" s="194"/>
      <c r="T188" s="194"/>
      <c r="U188" s="194"/>
      <c r="V188" s="194"/>
      <c r="W188" s="194"/>
      <c r="X188" s="194"/>
      <c r="Y188" s="194"/>
      <c r="Z188" s="194"/>
    </row>
    <row r="189" spans="1:26" ht="49.95" customHeight="1">
      <c r="A189" s="29" t="s">
        <v>208</v>
      </c>
      <c r="B189" s="113">
        <v>90830</v>
      </c>
      <c r="C189" s="156" t="s">
        <v>525</v>
      </c>
      <c r="D189" s="89"/>
      <c r="E189" s="89"/>
      <c r="F189" s="89"/>
      <c r="G189" s="89"/>
      <c r="H189" s="89"/>
      <c r="I189" s="89"/>
      <c r="J189" s="157"/>
      <c r="K189" s="152"/>
      <c r="L189" s="194"/>
      <c r="M189" s="194"/>
      <c r="N189" s="194"/>
      <c r="O189" s="194"/>
      <c r="P189" s="194"/>
      <c r="Q189" s="194"/>
      <c r="R189" s="194"/>
      <c r="S189" s="194"/>
      <c r="T189" s="194"/>
      <c r="U189" s="194"/>
      <c r="V189" s="194"/>
      <c r="W189" s="194"/>
      <c r="X189" s="194"/>
      <c r="Y189" s="194"/>
      <c r="Z189" s="194"/>
    </row>
    <row r="190" spans="1:26" ht="25.05" customHeight="1">
      <c r="A190" s="91">
        <v>3</v>
      </c>
      <c r="B190" s="211" t="s">
        <v>209</v>
      </c>
      <c r="C190" s="211"/>
      <c r="D190" s="147"/>
      <c r="E190" s="147"/>
      <c r="F190" s="147"/>
      <c r="G190" s="147"/>
      <c r="H190" s="150"/>
      <c r="I190" s="150"/>
      <c r="J190" s="150"/>
      <c r="K190" s="150"/>
      <c r="L190" s="194"/>
      <c r="M190" s="194"/>
      <c r="N190" s="194"/>
      <c r="O190" s="194"/>
      <c r="P190" s="194"/>
      <c r="Q190" s="194"/>
      <c r="R190" s="194"/>
      <c r="S190" s="194"/>
      <c r="T190" s="194"/>
      <c r="U190" s="194"/>
      <c r="V190" s="194"/>
      <c r="W190" s="194"/>
      <c r="X190" s="194"/>
      <c r="Y190" s="194"/>
      <c r="Z190" s="194"/>
    </row>
    <row r="191" spans="1:26" ht="25.05" customHeight="1">
      <c r="A191" s="91" t="s">
        <v>19</v>
      </c>
      <c r="B191" s="211" t="s">
        <v>12</v>
      </c>
      <c r="C191" s="211"/>
      <c r="D191" s="147"/>
      <c r="E191" s="147"/>
      <c r="F191" s="147"/>
      <c r="G191" s="147"/>
      <c r="H191" s="150"/>
      <c r="I191" s="150"/>
      <c r="J191" s="150"/>
      <c r="K191" s="150"/>
      <c r="L191" s="194"/>
      <c r="M191" s="194"/>
      <c r="N191" s="194"/>
      <c r="O191" s="194"/>
      <c r="P191" s="194"/>
      <c r="Q191" s="194"/>
      <c r="R191" s="194"/>
      <c r="S191" s="194"/>
      <c r="T191" s="194"/>
      <c r="U191" s="194"/>
      <c r="V191" s="194"/>
      <c r="W191" s="194"/>
      <c r="X191" s="194"/>
      <c r="Y191" s="194"/>
      <c r="Z191" s="194"/>
    </row>
    <row r="192" spans="1:26" ht="49.95" customHeight="1">
      <c r="A192" s="29" t="s">
        <v>41</v>
      </c>
      <c r="B192" s="33">
        <v>99059</v>
      </c>
      <c r="C192" s="156" t="s">
        <v>78</v>
      </c>
      <c r="D192" s="89"/>
      <c r="E192" s="89"/>
      <c r="F192" s="89"/>
      <c r="G192" s="89"/>
      <c r="H192" s="89"/>
      <c r="I192" s="89"/>
      <c r="J192" s="157">
        <v>14.7</v>
      </c>
      <c r="K192" s="152" t="s">
        <v>38</v>
      </c>
      <c r="L192" s="194"/>
      <c r="M192" s="194"/>
      <c r="N192" s="194"/>
      <c r="O192" s="194"/>
      <c r="P192" s="194"/>
      <c r="Q192" s="194"/>
      <c r="R192" s="194"/>
      <c r="S192" s="194"/>
      <c r="T192" s="194"/>
      <c r="U192" s="194"/>
      <c r="V192" s="194"/>
      <c r="W192" s="194"/>
      <c r="X192" s="194"/>
      <c r="Y192" s="194"/>
      <c r="Z192" s="194"/>
    </row>
    <row r="193" spans="1:26" ht="19.95" customHeight="1">
      <c r="A193" s="29" t="s">
        <v>701</v>
      </c>
      <c r="B193" s="108"/>
      <c r="C193" s="34" t="s">
        <v>738</v>
      </c>
      <c r="D193" s="89">
        <v>1</v>
      </c>
      <c r="E193" s="89">
        <v>14.7</v>
      </c>
      <c r="F193" s="89"/>
      <c r="G193" s="89"/>
      <c r="H193" s="89">
        <v>14.7</v>
      </c>
      <c r="I193" s="89">
        <v>14.7</v>
      </c>
      <c r="J193" s="152"/>
      <c r="K193" s="152"/>
      <c r="L193" s="194"/>
      <c r="M193" s="194"/>
      <c r="N193" s="194"/>
      <c r="O193" s="194"/>
      <c r="P193" s="194"/>
      <c r="Q193" s="194"/>
      <c r="R193" s="194"/>
      <c r="S193" s="194"/>
      <c r="T193" s="194"/>
      <c r="U193" s="194"/>
      <c r="V193" s="194"/>
      <c r="W193" s="194"/>
      <c r="X193" s="194"/>
      <c r="Y193" s="194"/>
      <c r="Z193" s="194"/>
    </row>
    <row r="194" spans="1:26" ht="25.05" customHeight="1">
      <c r="A194" s="91" t="s">
        <v>20</v>
      </c>
      <c r="B194" s="211" t="s">
        <v>33</v>
      </c>
      <c r="C194" s="211"/>
      <c r="D194" s="147"/>
      <c r="E194" s="147"/>
      <c r="F194" s="147"/>
      <c r="G194" s="147"/>
      <c r="H194" s="150"/>
      <c r="I194" s="150"/>
      <c r="J194" s="150"/>
      <c r="K194" s="150"/>
      <c r="L194" s="194"/>
      <c r="M194" s="194"/>
      <c r="N194" s="194"/>
      <c r="O194" s="194"/>
      <c r="P194" s="194"/>
      <c r="Q194" s="194"/>
      <c r="R194" s="194"/>
      <c r="S194" s="194"/>
      <c r="T194" s="194"/>
      <c r="U194" s="194"/>
      <c r="V194" s="194"/>
      <c r="W194" s="194"/>
      <c r="X194" s="194"/>
      <c r="Y194" s="194"/>
      <c r="Z194" s="194"/>
    </row>
    <row r="195" spans="1:26" ht="49.95" customHeight="1">
      <c r="A195" s="29" t="s">
        <v>43</v>
      </c>
      <c r="B195" s="33">
        <v>93358</v>
      </c>
      <c r="C195" s="156" t="s">
        <v>410</v>
      </c>
      <c r="D195" s="89"/>
      <c r="E195" s="89"/>
      <c r="F195" s="89"/>
      <c r="G195" s="89"/>
      <c r="H195" s="89"/>
      <c r="I195" s="89"/>
      <c r="J195" s="157">
        <v>3.88</v>
      </c>
      <c r="K195" s="152" t="s">
        <v>623</v>
      </c>
      <c r="L195" s="194"/>
      <c r="M195" s="194"/>
      <c r="N195" s="194"/>
      <c r="O195" s="194"/>
      <c r="P195" s="194"/>
      <c r="Q195" s="194"/>
      <c r="R195" s="194"/>
      <c r="S195" s="194"/>
      <c r="T195" s="194"/>
      <c r="U195" s="194"/>
      <c r="V195" s="194"/>
      <c r="W195" s="194"/>
      <c r="X195" s="194"/>
      <c r="Y195" s="194"/>
      <c r="Z195" s="194"/>
    </row>
    <row r="196" spans="1:26" ht="19.95" customHeight="1">
      <c r="A196" s="29" t="s">
        <v>702</v>
      </c>
      <c r="B196" s="108"/>
      <c r="C196" s="34" t="s">
        <v>740</v>
      </c>
      <c r="D196" s="89">
        <v>4</v>
      </c>
      <c r="E196" s="89">
        <v>0.7</v>
      </c>
      <c r="F196" s="89">
        <v>0.85</v>
      </c>
      <c r="G196" s="89">
        <v>1.35</v>
      </c>
      <c r="H196" s="151">
        <v>0.80325000000000002</v>
      </c>
      <c r="I196" s="151">
        <v>3.21</v>
      </c>
      <c r="J196" s="152"/>
      <c r="K196" s="152"/>
      <c r="L196" s="194"/>
      <c r="M196" s="194"/>
      <c r="N196" s="194"/>
      <c r="O196" s="194"/>
      <c r="P196" s="194"/>
      <c r="Q196" s="194"/>
      <c r="R196" s="194"/>
      <c r="S196" s="194"/>
      <c r="T196" s="194"/>
      <c r="U196" s="194"/>
      <c r="V196" s="194"/>
      <c r="W196" s="194"/>
      <c r="X196" s="194"/>
      <c r="Y196" s="194"/>
      <c r="Z196" s="194"/>
    </row>
    <row r="197" spans="1:26" ht="19.95" customHeight="1">
      <c r="A197" s="29" t="s">
        <v>703</v>
      </c>
      <c r="B197" s="108"/>
      <c r="C197" s="34" t="s">
        <v>741</v>
      </c>
      <c r="D197" s="89">
        <v>2</v>
      </c>
      <c r="E197" s="89">
        <v>3.45</v>
      </c>
      <c r="F197" s="89">
        <v>0.15</v>
      </c>
      <c r="G197" s="89">
        <v>0.3</v>
      </c>
      <c r="H197" s="151">
        <v>0.15525</v>
      </c>
      <c r="I197" s="151">
        <v>0.31</v>
      </c>
      <c r="J197" s="152"/>
      <c r="K197" s="152"/>
      <c r="L197" s="194"/>
      <c r="M197" s="194"/>
      <c r="N197" s="194"/>
      <c r="O197" s="194"/>
      <c r="P197" s="194"/>
      <c r="Q197" s="194"/>
      <c r="R197" s="194"/>
      <c r="S197" s="194"/>
      <c r="T197" s="194"/>
      <c r="U197" s="194"/>
      <c r="V197" s="194"/>
      <c r="W197" s="194"/>
      <c r="X197" s="194"/>
      <c r="Y197" s="194"/>
      <c r="Z197" s="194"/>
    </row>
    <row r="198" spans="1:26" ht="19.95" customHeight="1">
      <c r="A198" s="29" t="s">
        <v>704</v>
      </c>
      <c r="B198" s="108"/>
      <c r="C198" s="34" t="s">
        <v>742</v>
      </c>
      <c r="D198" s="89">
        <v>3</v>
      </c>
      <c r="E198" s="89">
        <v>2.65</v>
      </c>
      <c r="F198" s="89">
        <v>0.15</v>
      </c>
      <c r="G198" s="89">
        <v>0.3</v>
      </c>
      <c r="H198" s="151">
        <v>0.11924999999999999</v>
      </c>
      <c r="I198" s="151">
        <v>0.36</v>
      </c>
      <c r="J198" s="152"/>
      <c r="K198" s="152"/>
      <c r="L198" s="194"/>
      <c r="M198" s="194"/>
      <c r="N198" s="194"/>
      <c r="O198" s="194"/>
      <c r="P198" s="194"/>
      <c r="Q198" s="194"/>
      <c r="R198" s="194"/>
      <c r="S198" s="194"/>
      <c r="T198" s="194"/>
      <c r="U198" s="194"/>
      <c r="V198" s="194"/>
      <c r="W198" s="194"/>
      <c r="X198" s="194"/>
      <c r="Y198" s="194"/>
      <c r="Z198" s="194"/>
    </row>
    <row r="199" spans="1:26" ht="49.95" customHeight="1">
      <c r="A199" s="29" t="s">
        <v>44</v>
      </c>
      <c r="B199" s="33">
        <v>104737</v>
      </c>
      <c r="C199" s="156" t="s">
        <v>411</v>
      </c>
      <c r="D199" s="89"/>
      <c r="E199" s="89"/>
      <c r="F199" s="89"/>
      <c r="G199" s="89"/>
      <c r="H199" s="89"/>
      <c r="I199" s="89"/>
      <c r="J199" s="157">
        <v>2.56</v>
      </c>
      <c r="K199" s="152" t="s">
        <v>623</v>
      </c>
      <c r="L199" s="194"/>
      <c r="M199" s="194"/>
      <c r="N199" s="194"/>
      <c r="O199" s="194"/>
      <c r="P199" s="194"/>
      <c r="Q199" s="194"/>
      <c r="R199" s="194"/>
      <c r="S199" s="194"/>
      <c r="T199" s="194"/>
      <c r="U199" s="194"/>
      <c r="V199" s="194"/>
      <c r="W199" s="194"/>
      <c r="X199" s="194"/>
      <c r="Y199" s="194"/>
      <c r="Z199" s="194"/>
    </row>
    <row r="200" spans="1:26" ht="19.95" customHeight="1">
      <c r="A200" s="29" t="s">
        <v>705</v>
      </c>
      <c r="B200" s="108"/>
      <c r="C200" s="34" t="s">
        <v>635</v>
      </c>
      <c r="D200" s="89">
        <v>1</v>
      </c>
      <c r="E200" s="89">
        <v>2.56</v>
      </c>
      <c r="F200" s="89"/>
      <c r="G200" s="89"/>
      <c r="H200" s="89">
        <v>2.56</v>
      </c>
      <c r="I200" s="89">
        <v>2.56</v>
      </c>
      <c r="J200" s="152"/>
      <c r="K200" s="152"/>
      <c r="L200" s="194"/>
      <c r="M200" s="194"/>
      <c r="N200" s="194"/>
      <c r="O200" s="194"/>
      <c r="P200" s="194"/>
      <c r="Q200" s="194"/>
      <c r="R200" s="194"/>
      <c r="S200" s="194"/>
      <c r="T200" s="194"/>
      <c r="U200" s="194"/>
      <c r="V200" s="194"/>
      <c r="W200" s="194"/>
      <c r="X200" s="194"/>
      <c r="Y200" s="194"/>
      <c r="Z200" s="194"/>
    </row>
    <row r="201" spans="1:26" ht="25.05" customHeight="1">
      <c r="A201" s="91" t="s">
        <v>210</v>
      </c>
      <c r="B201" s="211" t="s">
        <v>40</v>
      </c>
      <c r="C201" s="211"/>
      <c r="D201" s="147"/>
      <c r="E201" s="147"/>
      <c r="F201" s="147"/>
      <c r="G201" s="147"/>
      <c r="H201" s="150"/>
      <c r="I201" s="150"/>
      <c r="J201" s="150"/>
      <c r="K201" s="150"/>
      <c r="L201" s="194"/>
      <c r="M201" s="194"/>
      <c r="N201" s="194"/>
      <c r="O201" s="194"/>
      <c r="P201" s="194"/>
      <c r="Q201" s="194"/>
      <c r="R201" s="194"/>
      <c r="S201" s="194"/>
      <c r="T201" s="194"/>
      <c r="U201" s="194"/>
      <c r="V201" s="194"/>
      <c r="W201" s="194"/>
      <c r="X201" s="194"/>
      <c r="Y201" s="194"/>
      <c r="Z201" s="194"/>
    </row>
    <row r="202" spans="1:26" ht="49.95" customHeight="1">
      <c r="A202" s="29" t="s">
        <v>211</v>
      </c>
      <c r="B202" s="33">
        <v>96619</v>
      </c>
      <c r="C202" s="156" t="s">
        <v>412</v>
      </c>
      <c r="D202" s="89"/>
      <c r="E202" s="89"/>
      <c r="F202" s="89"/>
      <c r="G202" s="89"/>
      <c r="H202" s="89"/>
      <c r="I202" s="89"/>
      <c r="J202" s="157">
        <v>2.38</v>
      </c>
      <c r="K202" s="152" t="s">
        <v>610</v>
      </c>
      <c r="L202" s="194"/>
      <c r="M202" s="194"/>
      <c r="N202" s="194"/>
      <c r="O202" s="194"/>
      <c r="P202" s="194"/>
      <c r="Q202" s="194"/>
      <c r="R202" s="194"/>
      <c r="S202" s="194"/>
      <c r="T202" s="194"/>
      <c r="U202" s="194"/>
      <c r="V202" s="194"/>
      <c r="W202" s="194"/>
      <c r="X202" s="194"/>
      <c r="Y202" s="194"/>
      <c r="Z202" s="194"/>
    </row>
    <row r="203" spans="1:26" ht="19.95" customHeight="1">
      <c r="A203" s="29" t="s">
        <v>706</v>
      </c>
      <c r="B203" s="108"/>
      <c r="C203" s="34" t="s">
        <v>739</v>
      </c>
      <c r="D203" s="89">
        <v>4</v>
      </c>
      <c r="E203" s="89">
        <v>0.7</v>
      </c>
      <c r="F203" s="89">
        <v>0.85</v>
      </c>
      <c r="G203" s="89">
        <v>0.59499999999999997</v>
      </c>
      <c r="H203" s="151">
        <v>2.38</v>
      </c>
      <c r="I203" s="151">
        <v>2.38</v>
      </c>
      <c r="J203" s="152"/>
      <c r="K203" s="152"/>
      <c r="L203" s="194"/>
      <c r="M203" s="194"/>
      <c r="N203" s="194"/>
      <c r="O203" s="194"/>
      <c r="P203" s="194"/>
      <c r="Q203" s="194"/>
      <c r="R203" s="194"/>
      <c r="S203" s="194"/>
      <c r="T203" s="194"/>
      <c r="U203" s="194"/>
      <c r="V203" s="194"/>
      <c r="W203" s="194"/>
      <c r="X203" s="194"/>
      <c r="Y203" s="194"/>
      <c r="Z203" s="194"/>
    </row>
    <row r="204" spans="1:26" ht="49.95" customHeight="1">
      <c r="A204" s="29" t="s">
        <v>212</v>
      </c>
      <c r="B204" s="33">
        <v>101616</v>
      </c>
      <c r="C204" s="156" t="s">
        <v>413</v>
      </c>
      <c r="D204" s="89"/>
      <c r="E204" s="89"/>
      <c r="F204" s="89"/>
      <c r="G204" s="89"/>
      <c r="H204" s="89"/>
      <c r="I204" s="89"/>
      <c r="J204" s="157">
        <v>4.6100000000000003</v>
      </c>
      <c r="K204" s="152" t="s">
        <v>610</v>
      </c>
      <c r="L204" s="194"/>
      <c r="M204" s="194"/>
      <c r="N204" s="194"/>
      <c r="O204" s="194"/>
      <c r="P204" s="194"/>
      <c r="Q204" s="194"/>
      <c r="R204" s="194"/>
      <c r="S204" s="194"/>
      <c r="T204" s="194"/>
      <c r="U204" s="194"/>
      <c r="V204" s="194"/>
      <c r="W204" s="194"/>
      <c r="X204" s="194"/>
      <c r="Y204" s="194"/>
      <c r="Z204" s="194"/>
    </row>
    <row r="205" spans="1:26" ht="19.8" customHeight="1">
      <c r="A205" s="29" t="s">
        <v>707</v>
      </c>
      <c r="B205" s="108"/>
      <c r="C205" s="34" t="s">
        <v>740</v>
      </c>
      <c r="D205" s="89">
        <v>4</v>
      </c>
      <c r="E205" s="89">
        <v>0.7</v>
      </c>
      <c r="F205" s="89">
        <v>0.85</v>
      </c>
      <c r="G205" s="89"/>
      <c r="H205" s="151">
        <v>0.59499999999999997</v>
      </c>
      <c r="I205" s="151">
        <v>2.38</v>
      </c>
      <c r="J205" s="152"/>
      <c r="K205" s="152"/>
      <c r="L205" s="194"/>
      <c r="M205" s="194"/>
      <c r="N205" s="194"/>
      <c r="O205" s="194"/>
      <c r="P205" s="194"/>
      <c r="Q205" s="194"/>
      <c r="R205" s="194"/>
      <c r="S205" s="194"/>
      <c r="T205" s="194"/>
      <c r="U205" s="194"/>
      <c r="V205" s="194"/>
      <c r="W205" s="194"/>
      <c r="X205" s="194"/>
      <c r="Y205" s="194"/>
      <c r="Z205" s="194"/>
    </row>
    <row r="206" spans="1:26" ht="19.95" customHeight="1">
      <c r="A206" s="29" t="s">
        <v>708</v>
      </c>
      <c r="B206" s="108"/>
      <c r="C206" s="34" t="s">
        <v>741</v>
      </c>
      <c r="D206" s="89">
        <v>2</v>
      </c>
      <c r="E206" s="89">
        <v>3.45</v>
      </c>
      <c r="F206" s="89">
        <v>0.15</v>
      </c>
      <c r="G206" s="89"/>
      <c r="H206" s="151">
        <v>0.51749999999999996</v>
      </c>
      <c r="I206" s="151">
        <v>1.04</v>
      </c>
      <c r="J206" s="152"/>
      <c r="K206" s="152"/>
      <c r="L206" s="194"/>
      <c r="M206" s="194"/>
      <c r="N206" s="194"/>
      <c r="O206" s="194"/>
      <c r="P206" s="194"/>
      <c r="Q206" s="194"/>
      <c r="R206" s="194"/>
      <c r="S206" s="194"/>
      <c r="T206" s="194"/>
      <c r="U206" s="194"/>
      <c r="V206" s="194"/>
      <c r="W206" s="194"/>
      <c r="X206" s="194"/>
      <c r="Y206" s="194"/>
      <c r="Z206" s="194"/>
    </row>
    <row r="207" spans="1:26" ht="19.95" customHeight="1">
      <c r="A207" s="29" t="s">
        <v>709</v>
      </c>
      <c r="B207" s="108"/>
      <c r="C207" s="34" t="s">
        <v>743</v>
      </c>
      <c r="D207" s="89">
        <v>3</v>
      </c>
      <c r="E207" s="89">
        <v>2.65</v>
      </c>
      <c r="F207" s="89">
        <v>0.15</v>
      </c>
      <c r="G207" s="89"/>
      <c r="H207" s="151">
        <v>0.39750000000000002</v>
      </c>
      <c r="I207" s="151">
        <v>1.19</v>
      </c>
      <c r="J207" s="152"/>
      <c r="K207" s="152"/>
      <c r="L207" s="194"/>
      <c r="M207" s="194"/>
      <c r="N207" s="194"/>
      <c r="O207" s="194"/>
      <c r="P207" s="194"/>
      <c r="Q207" s="194"/>
      <c r="R207" s="194"/>
      <c r="S207" s="194"/>
      <c r="T207" s="194"/>
      <c r="U207" s="194"/>
      <c r="V207" s="194"/>
      <c r="W207" s="194"/>
      <c r="X207" s="194"/>
      <c r="Y207" s="194"/>
      <c r="Z207" s="194"/>
    </row>
    <row r="208" spans="1:26" ht="49.95" customHeight="1">
      <c r="A208" s="29" t="s">
        <v>213</v>
      </c>
      <c r="B208" s="33">
        <v>94971</v>
      </c>
      <c r="C208" s="156" t="s">
        <v>414</v>
      </c>
      <c r="D208" s="89"/>
      <c r="E208" s="89"/>
      <c r="F208" s="89"/>
      <c r="G208" s="89"/>
      <c r="H208" s="89"/>
      <c r="I208" s="89"/>
      <c r="J208" s="157">
        <v>1.32</v>
      </c>
      <c r="K208" s="152" t="s">
        <v>623</v>
      </c>
      <c r="L208" s="194"/>
      <c r="M208" s="194"/>
      <c r="N208" s="194"/>
      <c r="O208" s="194"/>
      <c r="P208" s="194"/>
      <c r="Q208" s="194"/>
      <c r="R208" s="194"/>
      <c r="S208" s="194"/>
      <c r="T208" s="194"/>
      <c r="U208" s="194"/>
      <c r="V208" s="194"/>
      <c r="W208" s="194"/>
      <c r="X208" s="194"/>
      <c r="Y208" s="194"/>
      <c r="Z208" s="194"/>
    </row>
    <row r="209" spans="1:26" ht="19.95" customHeight="1">
      <c r="A209" s="29" t="s">
        <v>710</v>
      </c>
      <c r="B209" s="108"/>
      <c r="C209" s="34" t="s">
        <v>744</v>
      </c>
      <c r="D209" s="89">
        <v>1</v>
      </c>
      <c r="E209" s="89">
        <v>0.6</v>
      </c>
      <c r="F209" s="89"/>
      <c r="G209" s="89"/>
      <c r="H209" s="89">
        <v>0.6</v>
      </c>
      <c r="I209" s="89">
        <v>0.6</v>
      </c>
      <c r="J209" s="152"/>
      <c r="K209" s="152"/>
      <c r="L209" s="194"/>
      <c r="M209" s="194"/>
      <c r="N209" s="194"/>
      <c r="O209" s="194"/>
      <c r="P209" s="194"/>
      <c r="Q209" s="194"/>
      <c r="R209" s="194"/>
      <c r="S209" s="194"/>
      <c r="T209" s="194"/>
      <c r="U209" s="194"/>
      <c r="V209" s="194"/>
      <c r="W209" s="194"/>
      <c r="X209" s="194"/>
      <c r="Y209" s="194"/>
      <c r="Z209" s="194"/>
    </row>
    <row r="210" spans="1:26" ht="19.95" customHeight="1">
      <c r="A210" s="29" t="s">
        <v>711</v>
      </c>
      <c r="B210" s="108"/>
      <c r="C210" s="34" t="s">
        <v>745</v>
      </c>
      <c r="D210" s="89">
        <v>1</v>
      </c>
      <c r="E210" s="89">
        <v>0.72</v>
      </c>
      <c r="F210" s="89"/>
      <c r="G210" s="89"/>
      <c r="H210" s="89">
        <v>0.72</v>
      </c>
      <c r="I210" s="89">
        <v>0.72</v>
      </c>
      <c r="J210" s="152"/>
      <c r="K210" s="152"/>
      <c r="L210" s="194"/>
      <c r="M210" s="194"/>
      <c r="N210" s="194"/>
      <c r="O210" s="194"/>
      <c r="P210" s="194"/>
      <c r="Q210" s="194"/>
      <c r="R210" s="194"/>
      <c r="S210" s="194"/>
      <c r="T210" s="194"/>
      <c r="U210" s="194"/>
      <c r="V210" s="194"/>
      <c r="W210" s="194"/>
      <c r="X210" s="194"/>
      <c r="Y210" s="194"/>
      <c r="Z210" s="194"/>
    </row>
    <row r="211" spans="1:26" ht="49.95" customHeight="1">
      <c r="A211" s="29" t="s">
        <v>214</v>
      </c>
      <c r="B211" s="33">
        <v>103670</v>
      </c>
      <c r="C211" s="156" t="s">
        <v>415</v>
      </c>
      <c r="D211" s="89"/>
      <c r="E211" s="89"/>
      <c r="F211" s="89"/>
      <c r="G211" s="89"/>
      <c r="H211" s="89"/>
      <c r="I211" s="89"/>
      <c r="J211" s="157">
        <v>1.32</v>
      </c>
      <c r="K211" s="152" t="s">
        <v>623</v>
      </c>
      <c r="L211" s="194"/>
      <c r="M211" s="194"/>
      <c r="N211" s="194"/>
      <c r="O211" s="194"/>
      <c r="P211" s="194"/>
      <c r="Q211" s="194"/>
      <c r="R211" s="194"/>
      <c r="S211" s="194"/>
      <c r="T211" s="194"/>
      <c r="U211" s="194"/>
      <c r="V211" s="194"/>
      <c r="W211" s="194"/>
      <c r="X211" s="194"/>
      <c r="Y211" s="194"/>
      <c r="Z211" s="194"/>
    </row>
    <row r="212" spans="1:26" ht="19.8" customHeight="1">
      <c r="A212" s="29" t="s">
        <v>712</v>
      </c>
      <c r="B212" s="108"/>
      <c r="C212" s="34" t="s">
        <v>688</v>
      </c>
      <c r="D212" s="89">
        <v>1</v>
      </c>
      <c r="E212" s="89">
        <v>1.32</v>
      </c>
      <c r="F212" s="89"/>
      <c r="G212" s="89"/>
      <c r="H212" s="89">
        <v>1.32</v>
      </c>
      <c r="I212" s="89">
        <v>1.32</v>
      </c>
      <c r="J212" s="152"/>
      <c r="K212" s="152"/>
      <c r="L212" s="194"/>
      <c r="M212" s="194"/>
      <c r="N212" s="194"/>
      <c r="O212" s="194"/>
      <c r="P212" s="194"/>
      <c r="Q212" s="194"/>
      <c r="R212" s="194"/>
      <c r="S212" s="194"/>
      <c r="T212" s="194"/>
      <c r="U212" s="194"/>
      <c r="V212" s="194"/>
      <c r="W212" s="194"/>
      <c r="X212" s="194"/>
      <c r="Y212" s="194"/>
      <c r="Z212" s="194"/>
    </row>
    <row r="213" spans="1:26" ht="49.95" customHeight="1">
      <c r="A213" s="29" t="s">
        <v>215</v>
      </c>
      <c r="B213" s="33">
        <v>104927</v>
      </c>
      <c r="C213" s="156" t="s">
        <v>416</v>
      </c>
      <c r="D213" s="89"/>
      <c r="E213" s="89"/>
      <c r="F213" s="89"/>
      <c r="G213" s="89"/>
      <c r="H213" s="89"/>
      <c r="I213" s="89"/>
      <c r="J213" s="157">
        <v>3.1</v>
      </c>
      <c r="K213" s="152" t="s">
        <v>610</v>
      </c>
      <c r="L213" s="194"/>
      <c r="M213" s="194"/>
      <c r="N213" s="194"/>
      <c r="O213" s="194"/>
      <c r="P213" s="194"/>
      <c r="Q213" s="194"/>
      <c r="R213" s="194"/>
      <c r="S213" s="194"/>
      <c r="T213" s="194"/>
      <c r="U213" s="194"/>
      <c r="V213" s="194"/>
      <c r="W213" s="194"/>
      <c r="X213" s="194"/>
      <c r="Y213" s="194"/>
      <c r="Z213" s="194"/>
    </row>
    <row r="214" spans="1:26" ht="19.8" customHeight="1">
      <c r="A214" s="29" t="s">
        <v>713</v>
      </c>
      <c r="B214" s="108"/>
      <c r="C214" s="34" t="s">
        <v>744</v>
      </c>
      <c r="D214" s="89">
        <v>1</v>
      </c>
      <c r="E214" s="89">
        <v>3.1</v>
      </c>
      <c r="F214" s="89"/>
      <c r="G214" s="89"/>
      <c r="H214" s="89">
        <v>3.1</v>
      </c>
      <c r="I214" s="89">
        <v>3.1</v>
      </c>
      <c r="J214" s="152"/>
      <c r="K214" s="152"/>
      <c r="L214" s="194"/>
      <c r="M214" s="194"/>
      <c r="N214" s="194"/>
      <c r="O214" s="194"/>
      <c r="P214" s="194"/>
      <c r="Q214" s="194"/>
      <c r="R214" s="194"/>
      <c r="S214" s="194"/>
      <c r="T214" s="194"/>
      <c r="U214" s="194"/>
      <c r="V214" s="194"/>
      <c r="W214" s="194"/>
      <c r="X214" s="194"/>
      <c r="Y214" s="194"/>
      <c r="Z214" s="194"/>
    </row>
    <row r="215" spans="1:26" ht="49.95" customHeight="1">
      <c r="A215" s="29" t="s">
        <v>216</v>
      </c>
      <c r="B215" s="33">
        <v>96542</v>
      </c>
      <c r="C215" s="156" t="s">
        <v>526</v>
      </c>
      <c r="D215" s="89"/>
      <c r="E215" s="89"/>
      <c r="F215" s="89"/>
      <c r="G215" s="89"/>
      <c r="H215" s="89"/>
      <c r="I215" s="89"/>
      <c r="J215" s="157">
        <v>11.93</v>
      </c>
      <c r="K215" s="152" t="s">
        <v>610</v>
      </c>
      <c r="L215" s="194"/>
      <c r="M215" s="194"/>
      <c r="N215" s="194"/>
      <c r="O215" s="194"/>
      <c r="P215" s="194"/>
      <c r="Q215" s="194"/>
      <c r="R215" s="194"/>
      <c r="S215" s="194"/>
      <c r="T215" s="194"/>
      <c r="U215" s="194"/>
      <c r="V215" s="194"/>
      <c r="W215" s="194"/>
      <c r="X215" s="194"/>
      <c r="Y215" s="194"/>
      <c r="Z215" s="194"/>
    </row>
    <row r="216" spans="1:26" ht="19.8" customHeight="1">
      <c r="A216" s="29" t="s">
        <v>714</v>
      </c>
      <c r="B216" s="108"/>
      <c r="C216" s="34" t="s">
        <v>745</v>
      </c>
      <c r="D216" s="89">
        <v>1</v>
      </c>
      <c r="E216" s="89">
        <v>11.93</v>
      </c>
      <c r="F216" s="89"/>
      <c r="G216" s="89"/>
      <c r="H216" s="89">
        <v>11.93</v>
      </c>
      <c r="I216" s="89">
        <v>11.93</v>
      </c>
      <c r="J216" s="152"/>
      <c r="K216" s="152"/>
      <c r="L216" s="194"/>
      <c r="M216" s="194"/>
      <c r="N216" s="194"/>
      <c r="O216" s="194"/>
      <c r="P216" s="194"/>
      <c r="Q216" s="194"/>
      <c r="R216" s="194"/>
      <c r="S216" s="194"/>
      <c r="T216" s="194"/>
      <c r="U216" s="194"/>
      <c r="V216" s="194"/>
      <c r="W216" s="194"/>
      <c r="X216" s="194"/>
      <c r="Y216" s="194"/>
      <c r="Z216" s="194"/>
    </row>
    <row r="217" spans="1:26" ht="49.95" customHeight="1">
      <c r="A217" s="29" t="s">
        <v>217</v>
      </c>
      <c r="B217" s="33">
        <v>104917</v>
      </c>
      <c r="C217" s="156" t="s">
        <v>418</v>
      </c>
      <c r="D217" s="89"/>
      <c r="E217" s="89"/>
      <c r="F217" s="89"/>
      <c r="G217" s="89"/>
      <c r="H217" s="89"/>
      <c r="I217" s="89"/>
      <c r="J217" s="157">
        <v>17.600000000000001</v>
      </c>
      <c r="K217" s="152" t="s">
        <v>42</v>
      </c>
      <c r="L217" s="194"/>
      <c r="M217" s="194"/>
      <c r="N217" s="194"/>
      <c r="O217" s="194"/>
      <c r="P217" s="194"/>
      <c r="Q217" s="194"/>
      <c r="R217" s="194"/>
      <c r="S217" s="194"/>
      <c r="T217" s="194"/>
      <c r="U217" s="194"/>
      <c r="V217" s="194"/>
      <c r="W217" s="194"/>
      <c r="X217" s="194"/>
      <c r="Y217" s="194"/>
      <c r="Z217" s="194"/>
    </row>
    <row r="218" spans="1:26" ht="19.8" customHeight="1">
      <c r="A218" s="29" t="s">
        <v>715</v>
      </c>
      <c r="B218" s="108"/>
      <c r="C218" s="34" t="s">
        <v>685</v>
      </c>
      <c r="D218" s="89">
        <v>1</v>
      </c>
      <c r="E218" s="89">
        <v>17.600000000000001</v>
      </c>
      <c r="F218" s="89"/>
      <c r="G218" s="89"/>
      <c r="H218" s="89">
        <v>17.600000000000001</v>
      </c>
      <c r="I218" s="89">
        <v>17.600000000000001</v>
      </c>
      <c r="J218" s="152"/>
      <c r="K218" s="152"/>
      <c r="L218" s="194"/>
      <c r="M218" s="194"/>
      <c r="N218" s="194"/>
      <c r="O218" s="194"/>
      <c r="P218" s="194"/>
      <c r="Q218" s="194"/>
      <c r="R218" s="194"/>
      <c r="S218" s="194"/>
      <c r="T218" s="194"/>
      <c r="U218" s="194"/>
      <c r="V218" s="194"/>
      <c r="W218" s="194"/>
      <c r="X218" s="194"/>
      <c r="Y218" s="194"/>
      <c r="Z218" s="194"/>
    </row>
    <row r="219" spans="1:26" ht="49.95" customHeight="1">
      <c r="A219" s="29" t="s">
        <v>218</v>
      </c>
      <c r="B219" s="33">
        <v>104916</v>
      </c>
      <c r="C219" s="156" t="s">
        <v>419</v>
      </c>
      <c r="D219" s="89"/>
      <c r="E219" s="89"/>
      <c r="F219" s="89"/>
      <c r="G219" s="89"/>
      <c r="H219" s="89"/>
      <c r="I219" s="89"/>
      <c r="J219" s="157">
        <v>11.2</v>
      </c>
      <c r="K219" s="152" t="s">
        <v>42</v>
      </c>
      <c r="L219" s="194"/>
      <c r="M219" s="194"/>
      <c r="N219" s="194"/>
      <c r="O219" s="194"/>
      <c r="P219" s="194"/>
      <c r="Q219" s="194"/>
      <c r="R219" s="194"/>
      <c r="S219" s="194"/>
      <c r="T219" s="194"/>
      <c r="U219" s="194"/>
      <c r="V219" s="194"/>
      <c r="W219" s="194"/>
      <c r="X219" s="194"/>
      <c r="Y219" s="194"/>
      <c r="Z219" s="194"/>
    </row>
    <row r="220" spans="1:26" ht="19.8" customHeight="1">
      <c r="A220" s="29" t="s">
        <v>716</v>
      </c>
      <c r="B220" s="108"/>
      <c r="C220" s="34" t="s">
        <v>689</v>
      </c>
      <c r="D220" s="89">
        <v>1</v>
      </c>
      <c r="E220" s="89">
        <v>11.2</v>
      </c>
      <c r="F220" s="89"/>
      <c r="G220" s="89"/>
      <c r="H220" s="89">
        <v>11.2</v>
      </c>
      <c r="I220" s="89">
        <v>11.2</v>
      </c>
      <c r="J220" s="152"/>
      <c r="K220" s="152"/>
      <c r="L220" s="194"/>
      <c r="M220" s="194"/>
      <c r="N220" s="194"/>
      <c r="O220" s="194"/>
      <c r="P220" s="194"/>
      <c r="Q220" s="194"/>
      <c r="R220" s="194"/>
      <c r="S220" s="194"/>
      <c r="T220" s="194"/>
      <c r="U220" s="194"/>
      <c r="V220" s="194"/>
      <c r="W220" s="194"/>
      <c r="X220" s="194"/>
      <c r="Y220" s="194"/>
      <c r="Z220" s="194"/>
    </row>
    <row r="221" spans="1:26" ht="49.95" customHeight="1">
      <c r="A221" s="29" t="s">
        <v>219</v>
      </c>
      <c r="B221" s="33">
        <v>104918</v>
      </c>
      <c r="C221" s="156" t="s">
        <v>420</v>
      </c>
      <c r="D221" s="89"/>
      <c r="E221" s="89"/>
      <c r="F221" s="89"/>
      <c r="G221" s="89"/>
      <c r="H221" s="89"/>
      <c r="I221" s="89"/>
      <c r="J221" s="157">
        <v>28.8</v>
      </c>
      <c r="K221" s="152" t="s">
        <v>42</v>
      </c>
      <c r="L221" s="194"/>
      <c r="M221" s="194"/>
      <c r="N221" s="194"/>
      <c r="O221" s="194"/>
      <c r="P221" s="194"/>
      <c r="Q221" s="194"/>
      <c r="R221" s="194"/>
      <c r="S221" s="194"/>
      <c r="T221" s="194"/>
      <c r="U221" s="194"/>
      <c r="V221" s="194"/>
      <c r="W221" s="194"/>
      <c r="X221" s="194"/>
      <c r="Y221" s="194"/>
      <c r="Z221" s="194"/>
    </row>
    <row r="222" spans="1:26" ht="19.8" customHeight="1">
      <c r="A222" s="29" t="s">
        <v>717</v>
      </c>
      <c r="B222" s="108"/>
      <c r="C222" s="34" t="s">
        <v>689</v>
      </c>
      <c r="D222" s="89">
        <v>1</v>
      </c>
      <c r="E222" s="89">
        <v>28.8</v>
      </c>
      <c r="F222" s="89"/>
      <c r="G222" s="89"/>
      <c r="H222" s="89">
        <v>28.8</v>
      </c>
      <c r="I222" s="89">
        <v>28.8</v>
      </c>
      <c r="J222" s="152"/>
      <c r="K222" s="152"/>
      <c r="L222" s="194"/>
      <c r="M222" s="194"/>
      <c r="N222" s="194"/>
      <c r="O222" s="194"/>
      <c r="P222" s="194"/>
      <c r="Q222" s="194"/>
      <c r="R222" s="194"/>
      <c r="S222" s="194"/>
      <c r="T222" s="194"/>
      <c r="U222" s="194"/>
      <c r="V222" s="194"/>
      <c r="W222" s="194"/>
      <c r="X222" s="194"/>
      <c r="Y222" s="194"/>
      <c r="Z222" s="194"/>
    </row>
    <row r="223" spans="1:26" ht="49.95" customHeight="1">
      <c r="A223" s="29" t="s">
        <v>220</v>
      </c>
      <c r="B223" s="33">
        <v>98557</v>
      </c>
      <c r="C223" s="155" t="s">
        <v>421</v>
      </c>
      <c r="D223" s="89"/>
      <c r="E223" s="89"/>
      <c r="F223" s="138" t="s">
        <v>692</v>
      </c>
      <c r="G223" s="89"/>
      <c r="H223" s="89"/>
      <c r="I223" s="89"/>
      <c r="J223" s="157">
        <v>13.37</v>
      </c>
      <c r="K223" s="152" t="s">
        <v>610</v>
      </c>
      <c r="L223" s="194"/>
      <c r="M223" s="194"/>
      <c r="N223" s="194"/>
      <c r="O223" s="194"/>
      <c r="P223" s="194"/>
      <c r="Q223" s="194"/>
      <c r="R223" s="194"/>
      <c r="S223" s="194"/>
      <c r="T223" s="194"/>
      <c r="U223" s="194"/>
      <c r="V223" s="194"/>
      <c r="W223" s="194"/>
      <c r="X223" s="194"/>
      <c r="Y223" s="194"/>
      <c r="Z223" s="194"/>
    </row>
    <row r="224" spans="1:26" ht="19.8" customHeight="1">
      <c r="A224" s="29" t="s">
        <v>718</v>
      </c>
      <c r="B224" s="108"/>
      <c r="C224" s="34" t="s">
        <v>746</v>
      </c>
      <c r="D224" s="89">
        <v>2</v>
      </c>
      <c r="E224" s="89">
        <v>3.45</v>
      </c>
      <c r="F224" s="89">
        <v>0.9</v>
      </c>
      <c r="G224" s="89"/>
      <c r="H224" s="151"/>
      <c r="I224" s="151"/>
      <c r="J224" s="152"/>
      <c r="K224" s="152"/>
      <c r="L224" s="194"/>
      <c r="M224" s="194"/>
      <c r="N224" s="194"/>
      <c r="O224" s="194"/>
      <c r="P224" s="194"/>
      <c r="Q224" s="194"/>
      <c r="R224" s="194"/>
      <c r="S224" s="194"/>
      <c r="T224" s="194"/>
      <c r="U224" s="194"/>
      <c r="V224" s="194"/>
      <c r="W224" s="194"/>
      <c r="X224" s="194"/>
      <c r="Y224" s="194"/>
      <c r="Z224" s="194"/>
    </row>
    <row r="225" spans="1:26" ht="19.8" customHeight="1">
      <c r="A225" s="29" t="s">
        <v>719</v>
      </c>
      <c r="B225" s="108"/>
      <c r="C225" s="34" t="s">
        <v>747</v>
      </c>
      <c r="D225" s="89">
        <v>3</v>
      </c>
      <c r="E225" s="89">
        <v>2.65</v>
      </c>
      <c r="F225" s="89">
        <v>0.9</v>
      </c>
      <c r="G225" s="89"/>
      <c r="H225" s="151"/>
      <c r="I225" s="151"/>
      <c r="J225" s="152"/>
      <c r="K225" s="152"/>
      <c r="L225" s="194"/>
      <c r="M225" s="194"/>
      <c r="N225" s="194"/>
      <c r="O225" s="194"/>
      <c r="P225" s="194"/>
      <c r="Q225" s="194"/>
      <c r="R225" s="194"/>
      <c r="S225" s="194"/>
      <c r="T225" s="194"/>
      <c r="U225" s="194"/>
      <c r="V225" s="194"/>
      <c r="W225" s="194"/>
      <c r="X225" s="194"/>
      <c r="Y225" s="194"/>
      <c r="Z225" s="194"/>
    </row>
    <row r="226" spans="1:26" ht="25.05" customHeight="1">
      <c r="A226" s="91" t="s">
        <v>221</v>
      </c>
      <c r="B226" s="211" t="s">
        <v>39</v>
      </c>
      <c r="C226" s="211"/>
      <c r="D226" s="147"/>
      <c r="E226" s="147"/>
      <c r="F226" s="147"/>
      <c r="G226" s="147"/>
      <c r="H226" s="150"/>
      <c r="I226" s="150"/>
      <c r="J226" s="150"/>
      <c r="K226" s="150"/>
      <c r="L226" s="194"/>
      <c r="M226" s="194"/>
      <c r="N226" s="194"/>
      <c r="O226" s="194"/>
      <c r="P226" s="194"/>
      <c r="Q226" s="194"/>
      <c r="R226" s="194"/>
      <c r="S226" s="194"/>
      <c r="T226" s="194"/>
      <c r="U226" s="194"/>
      <c r="V226" s="194"/>
      <c r="W226" s="194"/>
      <c r="X226" s="194"/>
      <c r="Y226" s="194"/>
      <c r="Z226" s="194"/>
    </row>
    <row r="227" spans="1:26" ht="49.95" customHeight="1">
      <c r="A227" s="29" t="s">
        <v>222</v>
      </c>
      <c r="B227" s="33">
        <v>92429</v>
      </c>
      <c r="C227" s="156" t="s">
        <v>422</v>
      </c>
      <c r="D227" s="89"/>
      <c r="E227" s="89"/>
      <c r="F227" s="89"/>
      <c r="G227" s="89"/>
      <c r="H227" s="89"/>
      <c r="I227" s="89"/>
      <c r="J227" s="157">
        <v>18.72</v>
      </c>
      <c r="K227" s="152" t="s">
        <v>610</v>
      </c>
      <c r="L227" s="194"/>
      <c r="M227" s="194"/>
      <c r="N227" s="194"/>
      <c r="O227" s="194"/>
      <c r="P227" s="194"/>
      <c r="Q227" s="194"/>
      <c r="R227" s="194"/>
      <c r="S227" s="194"/>
      <c r="T227" s="194"/>
      <c r="U227" s="194"/>
      <c r="V227" s="194"/>
      <c r="W227" s="194"/>
      <c r="X227" s="194"/>
      <c r="Y227" s="194"/>
      <c r="Z227" s="194"/>
    </row>
    <row r="228" spans="1:26" ht="19.8" customHeight="1">
      <c r="A228" s="29" t="s">
        <v>720</v>
      </c>
      <c r="B228" s="108"/>
      <c r="C228" s="34" t="s">
        <v>748</v>
      </c>
      <c r="D228" s="89">
        <v>1</v>
      </c>
      <c r="E228" s="89">
        <v>18.72</v>
      </c>
      <c r="F228" s="89"/>
      <c r="G228" s="89"/>
      <c r="H228" s="89">
        <v>18.72</v>
      </c>
      <c r="I228" s="89">
        <v>18.72</v>
      </c>
      <c r="J228" s="152"/>
      <c r="K228" s="152"/>
      <c r="L228" s="194"/>
      <c r="M228" s="194"/>
      <c r="N228" s="194"/>
      <c r="O228" s="194"/>
      <c r="P228" s="194"/>
      <c r="Q228" s="194"/>
      <c r="R228" s="194"/>
      <c r="S228" s="194"/>
      <c r="T228" s="194"/>
      <c r="U228" s="194"/>
      <c r="V228" s="194"/>
      <c r="W228" s="194"/>
      <c r="X228" s="194"/>
      <c r="Y228" s="194"/>
      <c r="Z228" s="194"/>
    </row>
    <row r="229" spans="1:26" ht="49.95" customHeight="1">
      <c r="A229" s="29" t="s">
        <v>223</v>
      </c>
      <c r="B229" s="33">
        <v>92476</v>
      </c>
      <c r="C229" s="172" t="s">
        <v>423</v>
      </c>
      <c r="D229" s="89"/>
      <c r="E229" s="89"/>
      <c r="F229" s="89"/>
      <c r="G229" s="89"/>
      <c r="H229" s="89"/>
      <c r="I229" s="89"/>
      <c r="J229" s="157">
        <v>17.04</v>
      </c>
      <c r="K229" s="152" t="s">
        <v>610</v>
      </c>
      <c r="L229" s="194"/>
      <c r="M229" s="194"/>
      <c r="N229" s="194"/>
      <c r="O229" s="194"/>
      <c r="P229" s="194"/>
      <c r="Q229" s="194"/>
      <c r="R229" s="194"/>
      <c r="S229" s="194"/>
      <c r="T229" s="194"/>
      <c r="U229" s="194"/>
      <c r="V229" s="194"/>
      <c r="W229" s="194"/>
      <c r="X229" s="194"/>
      <c r="Y229" s="194"/>
      <c r="Z229" s="194"/>
    </row>
    <row r="230" spans="1:26" ht="19.8" customHeight="1">
      <c r="A230" s="29" t="s">
        <v>721</v>
      </c>
      <c r="B230" s="108"/>
      <c r="C230" s="34" t="s">
        <v>749</v>
      </c>
      <c r="D230" s="89">
        <v>1</v>
      </c>
      <c r="E230" s="89">
        <v>9.83</v>
      </c>
      <c r="F230" s="89"/>
      <c r="G230" s="89"/>
      <c r="H230" s="89">
        <v>9.83</v>
      </c>
      <c r="I230" s="89">
        <v>9.83</v>
      </c>
      <c r="J230" s="152"/>
      <c r="K230" s="152"/>
      <c r="L230" s="194"/>
      <c r="M230" s="194"/>
      <c r="N230" s="194"/>
      <c r="O230" s="194"/>
      <c r="P230" s="194"/>
      <c r="Q230" s="194"/>
      <c r="R230" s="194"/>
      <c r="S230" s="194"/>
      <c r="T230" s="194"/>
      <c r="U230" s="194"/>
      <c r="V230" s="194"/>
      <c r="W230" s="194"/>
      <c r="X230" s="194"/>
      <c r="Y230" s="194"/>
      <c r="Z230" s="194"/>
    </row>
    <row r="231" spans="1:26" ht="19.8" customHeight="1">
      <c r="A231" s="29" t="s">
        <v>722</v>
      </c>
      <c r="B231" s="108"/>
      <c r="C231" s="34" t="s">
        <v>750</v>
      </c>
      <c r="D231" s="89">
        <v>1</v>
      </c>
      <c r="E231" s="89">
        <v>7.21</v>
      </c>
      <c r="F231" s="89"/>
      <c r="G231" s="89"/>
      <c r="H231" s="89">
        <v>7.21</v>
      </c>
      <c r="I231" s="89">
        <v>7.21</v>
      </c>
      <c r="J231" s="152"/>
      <c r="K231" s="152"/>
      <c r="L231" s="194"/>
      <c r="M231" s="194"/>
      <c r="N231" s="194"/>
      <c r="O231" s="194"/>
      <c r="P231" s="194"/>
      <c r="Q231" s="194"/>
      <c r="R231" s="194"/>
      <c r="S231" s="194"/>
      <c r="T231" s="194"/>
      <c r="U231" s="194"/>
      <c r="V231" s="194"/>
      <c r="W231" s="194"/>
      <c r="X231" s="194"/>
      <c r="Y231" s="194"/>
      <c r="Z231" s="194"/>
    </row>
    <row r="232" spans="1:26" ht="49.95" customHeight="1">
      <c r="A232" s="29" t="s">
        <v>224</v>
      </c>
      <c r="B232" s="33">
        <v>92759</v>
      </c>
      <c r="C232" s="156" t="s">
        <v>425</v>
      </c>
      <c r="D232" s="89"/>
      <c r="E232" s="89"/>
      <c r="F232" s="89"/>
      <c r="G232" s="89"/>
      <c r="H232" s="89"/>
      <c r="I232" s="89"/>
      <c r="J232" s="157">
        <v>43.2</v>
      </c>
      <c r="K232" s="152" t="s">
        <v>42</v>
      </c>
      <c r="L232" s="194"/>
      <c r="M232" s="194"/>
      <c r="N232" s="194"/>
      <c r="O232" s="194"/>
      <c r="P232" s="194"/>
      <c r="Q232" s="194"/>
      <c r="R232" s="194"/>
      <c r="S232" s="194"/>
      <c r="T232" s="194"/>
      <c r="U232" s="194"/>
      <c r="V232" s="194"/>
      <c r="W232" s="194"/>
      <c r="X232" s="194"/>
      <c r="Y232" s="194"/>
      <c r="Z232" s="194"/>
    </row>
    <row r="233" spans="1:26" ht="19.8" customHeight="1">
      <c r="A233" s="29" t="s">
        <v>723</v>
      </c>
      <c r="B233" s="108"/>
      <c r="C233" s="34" t="s">
        <v>693</v>
      </c>
      <c r="D233" s="89">
        <v>1</v>
      </c>
      <c r="E233" s="89">
        <v>21.2</v>
      </c>
      <c r="F233" s="89"/>
      <c r="G233" s="89"/>
      <c r="H233" s="89">
        <v>21.2</v>
      </c>
      <c r="I233" s="89">
        <v>21.2</v>
      </c>
      <c r="J233" s="152"/>
      <c r="K233" s="152"/>
      <c r="L233" s="194"/>
      <c r="M233" s="194"/>
      <c r="N233" s="194"/>
      <c r="O233" s="194"/>
      <c r="P233" s="194"/>
      <c r="Q233" s="194"/>
      <c r="R233" s="194"/>
      <c r="S233" s="194"/>
      <c r="T233" s="194"/>
      <c r="U233" s="194"/>
      <c r="V233" s="194"/>
      <c r="W233" s="194"/>
      <c r="X233" s="194"/>
      <c r="Y233" s="194"/>
      <c r="Z233" s="194"/>
    </row>
    <row r="234" spans="1:26" ht="19.8" customHeight="1">
      <c r="A234" s="29" t="s">
        <v>724</v>
      </c>
      <c r="B234" s="108"/>
      <c r="C234" s="34" t="s">
        <v>749</v>
      </c>
      <c r="D234" s="89">
        <v>1</v>
      </c>
      <c r="E234" s="89">
        <v>9.1</v>
      </c>
      <c r="F234" s="89"/>
      <c r="G234" s="89"/>
      <c r="H234" s="89">
        <v>9.1</v>
      </c>
      <c r="I234" s="89">
        <v>9.1</v>
      </c>
      <c r="J234" s="152"/>
      <c r="K234" s="152"/>
      <c r="L234" s="194"/>
      <c r="M234" s="194"/>
      <c r="N234" s="194"/>
      <c r="O234" s="194"/>
      <c r="P234" s="194"/>
      <c r="Q234" s="194"/>
      <c r="R234" s="194"/>
      <c r="S234" s="194"/>
      <c r="T234" s="194"/>
      <c r="U234" s="194"/>
      <c r="V234" s="194"/>
      <c r="W234" s="194"/>
      <c r="X234" s="194"/>
      <c r="Y234" s="194"/>
      <c r="Z234" s="194"/>
    </row>
    <row r="235" spans="1:26" ht="19.8" customHeight="1">
      <c r="A235" s="29" t="s">
        <v>725</v>
      </c>
      <c r="B235" s="108"/>
      <c r="C235" s="34" t="s">
        <v>750</v>
      </c>
      <c r="D235" s="89">
        <v>1</v>
      </c>
      <c r="E235" s="89">
        <v>12.9</v>
      </c>
      <c r="F235" s="89"/>
      <c r="G235" s="89"/>
      <c r="H235" s="89">
        <v>12.9</v>
      </c>
      <c r="I235" s="89">
        <v>12.9</v>
      </c>
      <c r="J235" s="152"/>
      <c r="K235" s="152"/>
      <c r="L235" s="194"/>
      <c r="M235" s="194"/>
      <c r="N235" s="194"/>
      <c r="O235" s="194"/>
      <c r="P235" s="194"/>
      <c r="Q235" s="194"/>
      <c r="R235" s="194"/>
      <c r="S235" s="194"/>
      <c r="T235" s="194"/>
      <c r="U235" s="194"/>
      <c r="V235" s="194"/>
      <c r="W235" s="194"/>
      <c r="X235" s="194"/>
      <c r="Y235" s="194"/>
      <c r="Z235" s="194"/>
    </row>
    <row r="236" spans="1:26" ht="49.95" customHeight="1">
      <c r="A236" s="29" t="s">
        <v>225</v>
      </c>
      <c r="B236" s="33">
        <v>104108</v>
      </c>
      <c r="C236" s="172" t="s">
        <v>426</v>
      </c>
      <c r="D236" s="89"/>
      <c r="E236" s="89"/>
      <c r="F236" s="89"/>
      <c r="G236" s="89"/>
      <c r="H236" s="89"/>
      <c r="I236" s="89"/>
      <c r="J236" s="157">
        <v>69.900000000000006</v>
      </c>
      <c r="K236" s="152" t="s">
        <v>42</v>
      </c>
      <c r="L236" s="194"/>
      <c r="M236" s="194"/>
      <c r="N236" s="194"/>
      <c r="O236" s="194"/>
      <c r="P236" s="194"/>
      <c r="Q236" s="194"/>
      <c r="R236" s="194"/>
      <c r="S236" s="194"/>
      <c r="T236" s="194"/>
      <c r="U236" s="194"/>
      <c r="V236" s="194"/>
      <c r="W236" s="194"/>
      <c r="X236" s="194"/>
      <c r="Y236" s="194"/>
      <c r="Z236" s="194"/>
    </row>
    <row r="237" spans="1:26" ht="19.8" customHeight="1">
      <c r="A237" s="29" t="s">
        <v>726</v>
      </c>
      <c r="B237" s="108"/>
      <c r="C237" s="34" t="s">
        <v>693</v>
      </c>
      <c r="D237" s="89">
        <v>1</v>
      </c>
      <c r="E237" s="89">
        <v>60.3</v>
      </c>
      <c r="F237" s="89"/>
      <c r="G237" s="89"/>
      <c r="H237" s="89">
        <v>60.3</v>
      </c>
      <c r="I237" s="89">
        <v>60.3</v>
      </c>
      <c r="J237" s="152"/>
      <c r="K237" s="152"/>
      <c r="L237" s="194"/>
      <c r="M237" s="194"/>
      <c r="N237" s="194"/>
      <c r="O237" s="194"/>
      <c r="P237" s="194"/>
      <c r="Q237" s="194"/>
      <c r="R237" s="194"/>
      <c r="S237" s="194"/>
      <c r="T237" s="194"/>
      <c r="U237" s="194"/>
      <c r="V237" s="194"/>
      <c r="W237" s="194"/>
      <c r="X237" s="194"/>
      <c r="Y237" s="194"/>
      <c r="Z237" s="194"/>
    </row>
    <row r="238" spans="1:26" ht="19.8" customHeight="1">
      <c r="A238" s="29" t="s">
        <v>727</v>
      </c>
      <c r="B238" s="108"/>
      <c r="C238" s="34" t="s">
        <v>697</v>
      </c>
      <c r="D238" s="89">
        <v>1</v>
      </c>
      <c r="E238" s="89">
        <v>9.6</v>
      </c>
      <c r="F238" s="89"/>
      <c r="G238" s="89"/>
      <c r="H238" s="89">
        <v>9.6</v>
      </c>
      <c r="I238" s="89">
        <v>9.6</v>
      </c>
      <c r="J238" s="152"/>
      <c r="K238" s="152"/>
      <c r="L238" s="194"/>
      <c r="M238" s="194"/>
      <c r="N238" s="194"/>
      <c r="O238" s="194"/>
      <c r="P238" s="194"/>
      <c r="Q238" s="194"/>
      <c r="R238" s="194"/>
      <c r="S238" s="194"/>
      <c r="T238" s="194"/>
      <c r="U238" s="194"/>
      <c r="V238" s="194"/>
      <c r="W238" s="194"/>
      <c r="X238" s="194"/>
      <c r="Y238" s="194"/>
      <c r="Z238" s="194"/>
    </row>
    <row r="239" spans="1:26" ht="49.95" customHeight="1">
      <c r="A239" s="29" t="s">
        <v>226</v>
      </c>
      <c r="B239" s="33">
        <v>92761</v>
      </c>
      <c r="C239" s="172" t="s">
        <v>427</v>
      </c>
      <c r="D239" s="89"/>
      <c r="E239" s="89"/>
      <c r="F239" s="89"/>
      <c r="G239" s="89"/>
      <c r="H239" s="89"/>
      <c r="I239" s="89"/>
      <c r="J239" s="157">
        <v>36.5</v>
      </c>
      <c r="K239" s="152" t="s">
        <v>42</v>
      </c>
      <c r="L239" s="194"/>
      <c r="M239" s="194"/>
      <c r="N239" s="194"/>
      <c r="O239" s="194"/>
      <c r="P239" s="194"/>
      <c r="Q239" s="194"/>
      <c r="R239" s="194"/>
      <c r="S239" s="194"/>
      <c r="T239" s="194"/>
      <c r="U239" s="194"/>
      <c r="V239" s="194"/>
      <c r="W239" s="194"/>
      <c r="X239" s="194"/>
      <c r="Y239" s="194"/>
      <c r="Z239" s="194"/>
    </row>
    <row r="240" spans="1:26" ht="19.8" customHeight="1">
      <c r="A240" s="29" t="s">
        <v>728</v>
      </c>
      <c r="B240" s="108"/>
      <c r="C240" s="34" t="s">
        <v>749</v>
      </c>
      <c r="D240" s="89">
        <v>1</v>
      </c>
      <c r="E240" s="89">
        <v>15.5</v>
      </c>
      <c r="F240" s="89"/>
      <c r="G240" s="89"/>
      <c r="H240" s="89">
        <v>15.5</v>
      </c>
      <c r="I240" s="89">
        <v>15.5</v>
      </c>
      <c r="J240" s="152"/>
      <c r="K240" s="152"/>
      <c r="L240" s="194"/>
      <c r="M240" s="194"/>
      <c r="N240" s="194"/>
      <c r="O240" s="194"/>
      <c r="P240" s="194"/>
      <c r="Q240" s="194"/>
      <c r="R240" s="194"/>
      <c r="S240" s="194"/>
      <c r="T240" s="194"/>
      <c r="U240" s="194"/>
      <c r="V240" s="194"/>
      <c r="W240" s="194"/>
      <c r="X240" s="194"/>
      <c r="Y240" s="194"/>
      <c r="Z240" s="194"/>
    </row>
    <row r="241" spans="1:26" ht="19.8" customHeight="1">
      <c r="A241" s="29" t="s">
        <v>729</v>
      </c>
      <c r="B241" s="108"/>
      <c r="C241" s="34" t="s">
        <v>750</v>
      </c>
      <c r="D241" s="89">
        <v>1</v>
      </c>
      <c r="E241" s="89">
        <v>21</v>
      </c>
      <c r="F241" s="89"/>
      <c r="G241" s="89"/>
      <c r="H241" s="89">
        <v>21</v>
      </c>
      <c r="I241" s="89">
        <v>21</v>
      </c>
      <c r="J241" s="152"/>
      <c r="K241" s="152"/>
      <c r="L241" s="194"/>
      <c r="M241" s="194"/>
      <c r="N241" s="194"/>
      <c r="O241" s="194"/>
      <c r="P241" s="194"/>
      <c r="Q241" s="194"/>
      <c r="R241" s="194"/>
      <c r="S241" s="194"/>
      <c r="T241" s="194"/>
      <c r="U241" s="194"/>
      <c r="V241" s="194"/>
      <c r="W241" s="194"/>
      <c r="X241" s="194"/>
      <c r="Y241" s="194"/>
      <c r="Z241" s="194"/>
    </row>
    <row r="242" spans="1:26" ht="49.95" customHeight="1">
      <c r="A242" s="29" t="s">
        <v>227</v>
      </c>
      <c r="B242" s="33">
        <v>94971</v>
      </c>
      <c r="C242" s="156" t="s">
        <v>414</v>
      </c>
      <c r="D242" s="89"/>
      <c r="E242" s="89"/>
      <c r="F242" s="89"/>
      <c r="G242" s="89"/>
      <c r="H242" s="89"/>
      <c r="I242" s="89"/>
      <c r="J242" s="157">
        <v>2.61</v>
      </c>
      <c r="K242" s="152" t="s">
        <v>623</v>
      </c>
      <c r="L242" s="194"/>
      <c r="M242" s="194"/>
      <c r="N242" s="194"/>
      <c r="O242" s="194"/>
      <c r="P242" s="194"/>
      <c r="Q242" s="194"/>
      <c r="R242" s="194"/>
      <c r="S242" s="194"/>
      <c r="T242" s="194"/>
      <c r="U242" s="194"/>
      <c r="V242" s="194"/>
      <c r="W242" s="194"/>
      <c r="X242" s="194"/>
      <c r="Y242" s="194"/>
      <c r="Z242" s="194"/>
    </row>
    <row r="243" spans="1:26" ht="19.8" customHeight="1">
      <c r="A243" s="29" t="s">
        <v>730</v>
      </c>
      <c r="B243" s="108"/>
      <c r="C243" s="34" t="s">
        <v>693</v>
      </c>
      <c r="D243" s="89">
        <v>1</v>
      </c>
      <c r="E243" s="89">
        <v>0.94</v>
      </c>
      <c r="F243" s="89"/>
      <c r="G243" s="89"/>
      <c r="H243" s="89">
        <v>0.94</v>
      </c>
      <c r="I243" s="89">
        <v>0.94</v>
      </c>
      <c r="J243" s="152"/>
      <c r="K243" s="152"/>
      <c r="L243" s="194"/>
      <c r="M243" s="194"/>
      <c r="N243" s="194"/>
      <c r="O243" s="194"/>
      <c r="P243" s="194"/>
      <c r="Q243" s="194"/>
      <c r="R243" s="194"/>
      <c r="S243" s="194"/>
      <c r="T243" s="194"/>
      <c r="U243" s="194"/>
      <c r="V243" s="194"/>
      <c r="W243" s="194"/>
      <c r="X243" s="194"/>
      <c r="Y243" s="194"/>
      <c r="Z243" s="194"/>
    </row>
    <row r="244" spans="1:26" ht="19.8" customHeight="1">
      <c r="A244" s="29" t="s">
        <v>731</v>
      </c>
      <c r="B244" s="108"/>
      <c r="C244" s="34" t="s">
        <v>749</v>
      </c>
      <c r="D244" s="89">
        <v>1</v>
      </c>
      <c r="E244" s="89">
        <v>0.59</v>
      </c>
      <c r="F244" s="89"/>
      <c r="G244" s="89"/>
      <c r="H244" s="89">
        <v>0.59</v>
      </c>
      <c r="I244" s="89">
        <v>0.59</v>
      </c>
      <c r="J244" s="152"/>
      <c r="K244" s="152"/>
      <c r="L244" s="194"/>
      <c r="M244" s="194"/>
      <c r="N244" s="194"/>
      <c r="O244" s="194"/>
      <c r="P244" s="194"/>
      <c r="Q244" s="194"/>
      <c r="R244" s="194"/>
      <c r="S244" s="194"/>
      <c r="T244" s="194"/>
      <c r="U244" s="194"/>
      <c r="V244" s="194"/>
      <c r="W244" s="194"/>
      <c r="X244" s="194"/>
      <c r="Y244" s="194"/>
      <c r="Z244" s="194"/>
    </row>
    <row r="245" spans="1:26" ht="19.8" customHeight="1">
      <c r="A245" s="29" t="s">
        <v>732</v>
      </c>
      <c r="B245" s="108"/>
      <c r="C245" s="34" t="s">
        <v>750</v>
      </c>
      <c r="D245" s="89">
        <v>1</v>
      </c>
      <c r="E245" s="89">
        <v>0.39</v>
      </c>
      <c r="F245" s="89"/>
      <c r="G245" s="89"/>
      <c r="H245" s="89">
        <v>0.39</v>
      </c>
      <c r="I245" s="89">
        <v>0.39</v>
      </c>
      <c r="J245" s="152"/>
      <c r="K245" s="152"/>
      <c r="L245" s="194"/>
      <c r="M245" s="194"/>
      <c r="N245" s="194"/>
      <c r="O245" s="194"/>
      <c r="P245" s="194"/>
      <c r="Q245" s="194"/>
      <c r="R245" s="194"/>
      <c r="S245" s="194"/>
      <c r="T245" s="194"/>
      <c r="U245" s="194"/>
      <c r="V245" s="194"/>
      <c r="W245" s="194"/>
      <c r="X245" s="194"/>
      <c r="Y245" s="194"/>
      <c r="Z245" s="194"/>
    </row>
    <row r="246" spans="1:26" ht="19.8" customHeight="1">
      <c r="A246" s="29" t="s">
        <v>733</v>
      </c>
      <c r="B246" s="108"/>
      <c r="C246" s="34" t="s">
        <v>699</v>
      </c>
      <c r="D246" s="89">
        <v>1</v>
      </c>
      <c r="E246" s="89">
        <v>0.69</v>
      </c>
      <c r="F246" s="89"/>
      <c r="G246" s="89"/>
      <c r="H246" s="89">
        <v>0.69</v>
      </c>
      <c r="I246" s="89">
        <v>0.69</v>
      </c>
      <c r="J246" s="152"/>
      <c r="K246" s="152"/>
      <c r="L246" s="194"/>
      <c r="M246" s="194"/>
      <c r="N246" s="194"/>
      <c r="O246" s="194"/>
      <c r="P246" s="194"/>
      <c r="Q246" s="194"/>
      <c r="R246" s="194"/>
      <c r="S246" s="194"/>
      <c r="T246" s="194"/>
      <c r="U246" s="194"/>
      <c r="V246" s="194"/>
      <c r="W246" s="194"/>
      <c r="X246" s="194"/>
      <c r="Y246" s="194"/>
      <c r="Z246" s="194"/>
    </row>
    <row r="247" spans="1:26" ht="49.95" customHeight="1">
      <c r="A247" s="29" t="s">
        <v>228</v>
      </c>
      <c r="B247" s="33">
        <v>103670</v>
      </c>
      <c r="C247" s="172" t="s">
        <v>415</v>
      </c>
      <c r="D247" s="89"/>
      <c r="E247" s="89"/>
      <c r="F247" s="89"/>
      <c r="G247" s="89"/>
      <c r="H247" s="89"/>
      <c r="I247" s="89"/>
      <c r="J247" s="157">
        <v>2.61</v>
      </c>
      <c r="K247" s="152" t="s">
        <v>623</v>
      </c>
      <c r="L247" s="194"/>
      <c r="M247" s="194"/>
      <c r="N247" s="194"/>
      <c r="O247" s="194"/>
      <c r="P247" s="194"/>
      <c r="Q247" s="194"/>
      <c r="R247" s="194"/>
      <c r="S247" s="194"/>
      <c r="T247" s="194"/>
      <c r="U247" s="194"/>
      <c r="V247" s="194"/>
      <c r="W247" s="194"/>
      <c r="X247" s="194"/>
      <c r="Y247" s="194"/>
      <c r="Z247" s="194"/>
    </row>
    <row r="248" spans="1:26" ht="19.8" customHeight="1">
      <c r="A248" s="29" t="s">
        <v>734</v>
      </c>
      <c r="B248" s="108"/>
      <c r="C248" s="34" t="s">
        <v>693</v>
      </c>
      <c r="D248" s="89">
        <v>1</v>
      </c>
      <c r="E248" s="89">
        <v>0.94</v>
      </c>
      <c r="F248" s="89"/>
      <c r="G248" s="89"/>
      <c r="H248" s="89">
        <v>0.94</v>
      </c>
      <c r="I248" s="89">
        <v>0.94</v>
      </c>
      <c r="J248" s="152"/>
      <c r="K248" s="152"/>
      <c r="L248" s="194"/>
      <c r="M248" s="194"/>
      <c r="N248" s="194"/>
      <c r="O248" s="194"/>
      <c r="P248" s="194"/>
      <c r="Q248" s="194"/>
      <c r="R248" s="194"/>
      <c r="S248" s="194"/>
      <c r="T248" s="194"/>
      <c r="U248" s="194"/>
      <c r="V248" s="194"/>
      <c r="W248" s="194"/>
      <c r="X248" s="194"/>
      <c r="Y248" s="194"/>
      <c r="Z248" s="194"/>
    </row>
    <row r="249" spans="1:26" ht="19.8" customHeight="1">
      <c r="A249" s="29" t="s">
        <v>751</v>
      </c>
      <c r="B249" s="108"/>
      <c r="C249" s="34" t="s">
        <v>749</v>
      </c>
      <c r="D249" s="89">
        <v>1</v>
      </c>
      <c r="E249" s="89">
        <v>0.59</v>
      </c>
      <c r="F249" s="89"/>
      <c r="G249" s="89"/>
      <c r="H249" s="89">
        <v>0.59</v>
      </c>
      <c r="I249" s="89">
        <v>0.59</v>
      </c>
      <c r="J249" s="152"/>
      <c r="K249" s="152"/>
      <c r="L249" s="194"/>
      <c r="M249" s="194"/>
      <c r="N249" s="194"/>
      <c r="O249" s="194"/>
      <c r="P249" s="194"/>
      <c r="Q249" s="194"/>
      <c r="R249" s="194"/>
      <c r="S249" s="194"/>
      <c r="T249" s="194"/>
      <c r="U249" s="194"/>
      <c r="V249" s="194"/>
      <c r="W249" s="194"/>
      <c r="X249" s="194"/>
      <c r="Y249" s="194"/>
      <c r="Z249" s="194"/>
    </row>
    <row r="250" spans="1:26" ht="19.8" customHeight="1">
      <c r="A250" s="29" t="s">
        <v>752</v>
      </c>
      <c r="B250" s="108"/>
      <c r="C250" s="34" t="s">
        <v>750</v>
      </c>
      <c r="D250" s="89">
        <v>1</v>
      </c>
      <c r="E250" s="89">
        <v>0.39</v>
      </c>
      <c r="F250" s="89"/>
      <c r="G250" s="89"/>
      <c r="H250" s="89">
        <v>0.39</v>
      </c>
      <c r="I250" s="89">
        <v>0.39</v>
      </c>
      <c r="J250" s="152"/>
      <c r="K250" s="152"/>
      <c r="L250" s="194"/>
      <c r="M250" s="194"/>
      <c r="N250" s="194"/>
      <c r="O250" s="194"/>
      <c r="P250" s="194"/>
      <c r="Q250" s="194"/>
      <c r="R250" s="194"/>
      <c r="S250" s="194"/>
      <c r="T250" s="194"/>
      <c r="U250" s="194"/>
      <c r="V250" s="194"/>
      <c r="W250" s="194"/>
      <c r="X250" s="194"/>
      <c r="Y250" s="194"/>
      <c r="Z250" s="194"/>
    </row>
    <row r="251" spans="1:26" ht="19.8" customHeight="1">
      <c r="A251" s="29" t="s">
        <v>753</v>
      </c>
      <c r="B251" s="108"/>
      <c r="C251" s="34" t="s">
        <v>699</v>
      </c>
      <c r="D251" s="89">
        <v>1</v>
      </c>
      <c r="E251" s="89">
        <v>0.69</v>
      </c>
      <c r="F251" s="89"/>
      <c r="G251" s="89"/>
      <c r="H251" s="89">
        <v>0.69</v>
      </c>
      <c r="I251" s="89">
        <v>0.69</v>
      </c>
      <c r="J251" s="152"/>
      <c r="K251" s="152"/>
      <c r="L251" s="194"/>
      <c r="M251" s="194"/>
      <c r="N251" s="194"/>
      <c r="O251" s="194"/>
      <c r="P251" s="194"/>
      <c r="Q251" s="194"/>
      <c r="R251" s="194"/>
      <c r="S251" s="194"/>
      <c r="T251" s="194"/>
      <c r="U251" s="194"/>
      <c r="V251" s="194"/>
      <c r="W251" s="194"/>
      <c r="X251" s="194"/>
      <c r="Y251" s="194"/>
      <c r="Z251" s="194"/>
    </row>
    <row r="252" spans="1:26" ht="49.95" customHeight="1">
      <c r="A252" s="29" t="s">
        <v>229</v>
      </c>
      <c r="B252" s="33">
        <v>92486</v>
      </c>
      <c r="C252" s="156" t="s">
        <v>424</v>
      </c>
      <c r="D252" s="89"/>
      <c r="E252" s="89"/>
      <c r="F252" s="89"/>
      <c r="G252" s="89"/>
      <c r="H252" s="89"/>
      <c r="I252" s="89"/>
      <c r="J252" s="157">
        <v>8.67</v>
      </c>
      <c r="K252" s="152" t="s">
        <v>610</v>
      </c>
      <c r="L252" s="194"/>
      <c r="M252" s="194"/>
      <c r="N252" s="194"/>
      <c r="O252" s="194"/>
      <c r="P252" s="194"/>
      <c r="Q252" s="194"/>
      <c r="R252" s="194"/>
      <c r="S252" s="194"/>
      <c r="T252" s="194"/>
      <c r="U252" s="194"/>
      <c r="V252" s="194"/>
      <c r="W252" s="194"/>
      <c r="X252" s="194"/>
      <c r="Y252" s="194"/>
      <c r="Z252" s="194"/>
    </row>
    <row r="253" spans="1:26" ht="19.8" customHeight="1">
      <c r="A253" s="29" t="s">
        <v>735</v>
      </c>
      <c r="B253" s="108"/>
      <c r="C253" s="34"/>
      <c r="D253" s="89">
        <v>1</v>
      </c>
      <c r="E253" s="89">
        <v>8.67</v>
      </c>
      <c r="F253" s="89"/>
      <c r="G253" s="89"/>
      <c r="H253" s="89">
        <v>8.67</v>
      </c>
      <c r="I253" s="89">
        <v>8.67</v>
      </c>
      <c r="J253" s="152"/>
      <c r="K253" s="152"/>
      <c r="L253" s="194"/>
      <c r="M253" s="194"/>
      <c r="N253" s="194"/>
      <c r="O253" s="194"/>
      <c r="P253" s="194"/>
      <c r="Q253" s="194"/>
      <c r="R253" s="194"/>
      <c r="S253" s="194"/>
      <c r="T253" s="194"/>
      <c r="U253" s="194"/>
      <c r="V253" s="194"/>
      <c r="W253" s="194"/>
      <c r="X253" s="194"/>
      <c r="Y253" s="194"/>
      <c r="Z253" s="194"/>
    </row>
    <row r="254" spans="1:26" ht="49.95" customHeight="1">
      <c r="A254" s="29" t="s">
        <v>230</v>
      </c>
      <c r="B254" s="33">
        <v>92769</v>
      </c>
      <c r="C254" s="172" t="s">
        <v>430</v>
      </c>
      <c r="D254" s="89"/>
      <c r="E254" s="89"/>
      <c r="F254" s="89"/>
      <c r="G254" s="89"/>
      <c r="H254" s="89"/>
      <c r="I254" s="89"/>
      <c r="J254" s="157">
        <v>16.3</v>
      </c>
      <c r="K254" s="152" t="s">
        <v>42</v>
      </c>
      <c r="L254" s="194"/>
      <c r="M254" s="194"/>
      <c r="N254" s="194"/>
      <c r="O254" s="194"/>
      <c r="P254" s="194"/>
      <c r="Q254" s="194"/>
      <c r="R254" s="194"/>
      <c r="S254" s="194"/>
      <c r="T254" s="194"/>
      <c r="U254" s="194"/>
      <c r="V254" s="194"/>
      <c r="W254" s="194"/>
      <c r="X254" s="194"/>
      <c r="Y254" s="194"/>
      <c r="Z254" s="194"/>
    </row>
    <row r="255" spans="1:26" ht="19.8" customHeight="1">
      <c r="A255" s="29" t="s">
        <v>736</v>
      </c>
      <c r="B255" s="108"/>
      <c r="C255" s="34"/>
      <c r="D255" s="89">
        <v>1</v>
      </c>
      <c r="E255" s="89">
        <v>16.3</v>
      </c>
      <c r="F255" s="89"/>
      <c r="G255" s="89"/>
      <c r="H255" s="89">
        <v>16.3</v>
      </c>
      <c r="I255" s="89">
        <v>16.3</v>
      </c>
      <c r="J255" s="152"/>
      <c r="K255" s="152"/>
      <c r="L255" s="194"/>
      <c r="M255" s="194"/>
      <c r="N255" s="194"/>
      <c r="O255" s="194"/>
      <c r="P255" s="194"/>
      <c r="Q255" s="194"/>
      <c r="R255" s="194"/>
      <c r="S255" s="194"/>
      <c r="T255" s="194"/>
      <c r="U255" s="194"/>
      <c r="V255" s="194"/>
      <c r="W255" s="194"/>
      <c r="X255" s="194"/>
      <c r="Y255" s="194"/>
      <c r="Z255" s="194"/>
    </row>
    <row r="256" spans="1:26" ht="49.95" customHeight="1">
      <c r="A256" s="29" t="s">
        <v>231</v>
      </c>
      <c r="B256" s="33">
        <v>92770</v>
      </c>
      <c r="C256" s="172" t="s">
        <v>527</v>
      </c>
      <c r="D256" s="89"/>
      <c r="E256" s="89"/>
      <c r="F256" s="89"/>
      <c r="G256" s="89"/>
      <c r="H256" s="89"/>
      <c r="I256" s="89"/>
      <c r="J256" s="157">
        <v>34.6</v>
      </c>
      <c r="K256" s="152" t="s">
        <v>42</v>
      </c>
      <c r="L256" s="194"/>
      <c r="M256" s="194"/>
      <c r="N256" s="194"/>
      <c r="O256" s="194"/>
      <c r="P256" s="194"/>
      <c r="Q256" s="194"/>
      <c r="R256" s="194"/>
      <c r="S256" s="194"/>
      <c r="T256" s="194"/>
      <c r="U256" s="194"/>
      <c r="V256" s="194"/>
      <c r="W256" s="194"/>
      <c r="X256" s="194"/>
      <c r="Y256" s="194"/>
      <c r="Z256" s="194"/>
    </row>
    <row r="257" spans="1:26" ht="19.8" customHeight="1">
      <c r="A257" s="29" t="s">
        <v>737</v>
      </c>
      <c r="B257" s="108"/>
      <c r="C257" s="34"/>
      <c r="D257" s="89">
        <v>1</v>
      </c>
      <c r="E257" s="89">
        <v>34.6</v>
      </c>
      <c r="F257" s="89"/>
      <c r="G257" s="89"/>
      <c r="H257" s="89">
        <v>34.6</v>
      </c>
      <c r="I257" s="89">
        <v>34.6</v>
      </c>
      <c r="J257" s="152"/>
      <c r="K257" s="152"/>
      <c r="L257" s="194"/>
      <c r="M257" s="194"/>
      <c r="N257" s="194"/>
      <c r="O257" s="194"/>
      <c r="P257" s="194"/>
      <c r="Q257" s="194"/>
      <c r="R257" s="194"/>
      <c r="S257" s="194"/>
      <c r="T257" s="194"/>
      <c r="U257" s="194"/>
      <c r="V257" s="194"/>
      <c r="W257" s="194"/>
      <c r="X257" s="194"/>
      <c r="Y257" s="194"/>
      <c r="Z257" s="194"/>
    </row>
    <row r="258" spans="1:26" ht="25.05" customHeight="1">
      <c r="A258" s="91" t="s">
        <v>232</v>
      </c>
      <c r="B258" s="211" t="s">
        <v>105</v>
      </c>
      <c r="C258" s="211"/>
      <c r="D258" s="147"/>
      <c r="E258" s="147"/>
      <c r="F258" s="147"/>
      <c r="G258" s="147"/>
      <c r="H258" s="150"/>
      <c r="I258" s="150"/>
      <c r="J258" s="150"/>
      <c r="K258" s="150"/>
      <c r="L258" s="194"/>
      <c r="M258" s="194"/>
      <c r="N258" s="194"/>
      <c r="O258" s="194"/>
      <c r="P258" s="194"/>
      <c r="Q258" s="194"/>
      <c r="R258" s="194"/>
      <c r="S258" s="194"/>
      <c r="T258" s="194"/>
      <c r="U258" s="194"/>
      <c r="V258" s="194"/>
      <c r="W258" s="194"/>
      <c r="X258" s="194"/>
      <c r="Y258" s="194"/>
      <c r="Z258" s="194"/>
    </row>
    <row r="259" spans="1:26" ht="49.95" customHeight="1">
      <c r="A259" s="29" t="s">
        <v>233</v>
      </c>
      <c r="B259" s="33">
        <v>103356</v>
      </c>
      <c r="C259" s="156" t="s">
        <v>431</v>
      </c>
      <c r="D259" s="89"/>
      <c r="E259" s="89"/>
      <c r="F259" s="89"/>
      <c r="G259" s="89"/>
      <c r="H259" s="89"/>
      <c r="I259" s="89"/>
      <c r="J259" s="157"/>
      <c r="K259" s="152"/>
      <c r="L259" s="194"/>
      <c r="M259" s="194"/>
      <c r="N259" s="194"/>
      <c r="O259" s="194"/>
      <c r="P259" s="194"/>
      <c r="Q259" s="194"/>
      <c r="R259" s="194"/>
      <c r="S259" s="194"/>
      <c r="T259" s="194"/>
      <c r="U259" s="194"/>
      <c r="V259" s="194"/>
      <c r="W259" s="194"/>
      <c r="X259" s="194"/>
      <c r="Y259" s="194"/>
      <c r="Z259" s="194"/>
    </row>
    <row r="260" spans="1:26" ht="49.95" customHeight="1">
      <c r="A260" s="29" t="s">
        <v>234</v>
      </c>
      <c r="B260" s="33">
        <v>105023</v>
      </c>
      <c r="C260" s="156" t="s">
        <v>432</v>
      </c>
      <c r="D260" s="89"/>
      <c r="E260" s="89"/>
      <c r="F260" s="89"/>
      <c r="G260" s="89"/>
      <c r="H260" s="89"/>
      <c r="I260" s="89"/>
      <c r="J260" s="157"/>
      <c r="K260" s="152"/>
      <c r="L260" s="194"/>
      <c r="M260" s="194"/>
      <c r="N260" s="194"/>
      <c r="O260" s="194"/>
      <c r="P260" s="194"/>
      <c r="Q260" s="194"/>
      <c r="R260" s="194"/>
      <c r="S260" s="194"/>
      <c r="T260" s="194"/>
      <c r="U260" s="194"/>
      <c r="V260" s="194"/>
      <c r="W260" s="194"/>
      <c r="X260" s="194"/>
      <c r="Y260" s="194"/>
      <c r="Z260" s="194"/>
    </row>
    <row r="261" spans="1:26" ht="49.95" customHeight="1">
      <c r="A261" s="29" t="s">
        <v>235</v>
      </c>
      <c r="B261" s="33">
        <v>105029</v>
      </c>
      <c r="C261" s="156" t="s">
        <v>433</v>
      </c>
      <c r="D261" s="89"/>
      <c r="E261" s="89"/>
      <c r="F261" s="89"/>
      <c r="G261" s="89"/>
      <c r="H261" s="89"/>
      <c r="I261" s="89"/>
      <c r="J261" s="157"/>
      <c r="K261" s="152"/>
      <c r="L261" s="194"/>
      <c r="M261" s="194"/>
      <c r="N261" s="194"/>
      <c r="O261" s="194"/>
      <c r="P261" s="194"/>
      <c r="Q261" s="194"/>
      <c r="R261" s="194"/>
      <c r="S261" s="194"/>
      <c r="T261" s="194"/>
      <c r="U261" s="194"/>
      <c r="V261" s="194"/>
      <c r="W261" s="194"/>
      <c r="X261" s="194"/>
      <c r="Y261" s="194"/>
      <c r="Z261" s="194"/>
    </row>
    <row r="262" spans="1:26" ht="25.05" customHeight="1">
      <c r="A262" s="91" t="s">
        <v>236</v>
      </c>
      <c r="B262" s="211" t="s">
        <v>45</v>
      </c>
      <c r="C262" s="211"/>
      <c r="D262" s="147"/>
      <c r="E262" s="147"/>
      <c r="F262" s="147"/>
      <c r="G262" s="147"/>
      <c r="H262" s="150"/>
      <c r="I262" s="150"/>
      <c r="J262" s="150"/>
      <c r="K262" s="150"/>
      <c r="L262" s="194"/>
      <c r="M262" s="194"/>
      <c r="N262" s="194"/>
      <c r="O262" s="194"/>
      <c r="P262" s="194"/>
      <c r="Q262" s="194"/>
      <c r="R262" s="194"/>
      <c r="S262" s="194"/>
      <c r="T262" s="194"/>
      <c r="U262" s="194"/>
      <c r="V262" s="194"/>
      <c r="W262" s="194"/>
      <c r="X262" s="194"/>
      <c r="Y262" s="194"/>
      <c r="Z262" s="194"/>
    </row>
    <row r="263" spans="1:26" ht="49.95" customHeight="1">
      <c r="A263" s="29" t="s">
        <v>237</v>
      </c>
      <c r="B263" s="89">
        <v>87878</v>
      </c>
      <c r="C263" s="156" t="s">
        <v>434</v>
      </c>
      <c r="D263" s="89"/>
      <c r="E263" s="89"/>
      <c r="F263" s="89"/>
      <c r="G263" s="89"/>
      <c r="H263" s="89"/>
      <c r="I263" s="89"/>
      <c r="J263" s="157"/>
      <c r="K263" s="152"/>
      <c r="L263" s="194"/>
      <c r="M263" s="194"/>
      <c r="N263" s="194"/>
      <c r="O263" s="194"/>
      <c r="P263" s="194"/>
      <c r="Q263" s="194"/>
      <c r="R263" s="194"/>
      <c r="S263" s="194"/>
      <c r="T263" s="194"/>
      <c r="U263" s="194"/>
      <c r="V263" s="194"/>
      <c r="W263" s="194"/>
      <c r="X263" s="194"/>
      <c r="Y263" s="194"/>
      <c r="Z263" s="194"/>
    </row>
    <row r="264" spans="1:26" ht="49.95" customHeight="1">
      <c r="A264" s="29" t="s">
        <v>238</v>
      </c>
      <c r="B264" s="89">
        <v>87545</v>
      </c>
      <c r="C264" s="156" t="s">
        <v>435</v>
      </c>
      <c r="D264" s="89"/>
      <c r="E264" s="89"/>
      <c r="F264" s="89"/>
      <c r="G264" s="89"/>
      <c r="H264" s="89"/>
      <c r="I264" s="89"/>
      <c r="J264" s="157"/>
      <c r="K264" s="152"/>
      <c r="L264" s="194"/>
      <c r="M264" s="194"/>
      <c r="N264" s="194"/>
      <c r="O264" s="194"/>
      <c r="P264" s="194"/>
      <c r="Q264" s="194"/>
      <c r="R264" s="194"/>
      <c r="S264" s="194"/>
      <c r="T264" s="194"/>
      <c r="U264" s="194"/>
      <c r="V264" s="194"/>
      <c r="W264" s="194"/>
      <c r="X264" s="194"/>
      <c r="Y264" s="194"/>
      <c r="Z264" s="194"/>
    </row>
    <row r="265" spans="1:26" ht="49.95" customHeight="1">
      <c r="A265" s="29" t="s">
        <v>239</v>
      </c>
      <c r="B265" s="89">
        <v>87529</v>
      </c>
      <c r="C265" s="156" t="s">
        <v>436</v>
      </c>
      <c r="D265" s="89"/>
      <c r="E265" s="89"/>
      <c r="F265" s="89"/>
      <c r="G265" s="89"/>
      <c r="H265" s="89"/>
      <c r="I265" s="89"/>
      <c r="J265" s="157"/>
      <c r="K265" s="152"/>
      <c r="L265" s="194"/>
      <c r="M265" s="194"/>
      <c r="N265" s="194"/>
      <c r="O265" s="194"/>
      <c r="P265" s="194"/>
      <c r="Q265" s="194"/>
      <c r="R265" s="194"/>
      <c r="S265" s="194"/>
      <c r="T265" s="194"/>
      <c r="U265" s="194"/>
      <c r="V265" s="194"/>
      <c r="W265" s="194"/>
      <c r="X265" s="194"/>
      <c r="Y265" s="194"/>
      <c r="Z265" s="194"/>
    </row>
    <row r="266" spans="1:26" ht="49.95" customHeight="1">
      <c r="A266" s="29" t="s">
        <v>240</v>
      </c>
      <c r="B266" s="89">
        <v>87908</v>
      </c>
      <c r="C266" s="156" t="s">
        <v>438</v>
      </c>
      <c r="D266" s="89"/>
      <c r="E266" s="89"/>
      <c r="F266" s="89"/>
      <c r="G266" s="89"/>
      <c r="H266" s="89"/>
      <c r="I266" s="89"/>
      <c r="J266" s="157"/>
      <c r="K266" s="152"/>
      <c r="L266" s="194"/>
      <c r="M266" s="194"/>
      <c r="N266" s="194"/>
      <c r="O266" s="194"/>
      <c r="P266" s="194"/>
      <c r="Q266" s="194"/>
      <c r="R266" s="194"/>
      <c r="S266" s="194"/>
      <c r="T266" s="194"/>
      <c r="U266" s="194"/>
      <c r="V266" s="194"/>
      <c r="W266" s="194"/>
      <c r="X266" s="194"/>
      <c r="Y266" s="194"/>
      <c r="Z266" s="194"/>
    </row>
    <row r="267" spans="1:26" ht="49.95" customHeight="1">
      <c r="A267" s="29" t="s">
        <v>241</v>
      </c>
      <c r="B267" s="89">
        <v>104218</v>
      </c>
      <c r="C267" s="156" t="s">
        <v>439</v>
      </c>
      <c r="D267" s="89"/>
      <c r="E267" s="89"/>
      <c r="F267" s="89"/>
      <c r="G267" s="89"/>
      <c r="H267" s="89"/>
      <c r="I267" s="89"/>
      <c r="J267" s="157"/>
      <c r="K267" s="152"/>
      <c r="L267" s="194"/>
      <c r="M267" s="194"/>
      <c r="N267" s="194"/>
      <c r="O267" s="194"/>
      <c r="P267" s="194"/>
      <c r="Q267" s="194"/>
      <c r="R267" s="194"/>
      <c r="S267" s="194"/>
      <c r="T267" s="194"/>
      <c r="U267" s="194"/>
      <c r="V267" s="194"/>
      <c r="W267" s="194"/>
      <c r="X267" s="194"/>
      <c r="Y267" s="194"/>
      <c r="Z267" s="194"/>
    </row>
    <row r="268" spans="1:26" ht="49.95" customHeight="1">
      <c r="A268" s="29" t="s">
        <v>242</v>
      </c>
      <c r="B268" s="89">
        <v>88497</v>
      </c>
      <c r="C268" s="156" t="s">
        <v>528</v>
      </c>
      <c r="D268" s="89"/>
      <c r="E268" s="89"/>
      <c r="F268" s="89"/>
      <c r="G268" s="89"/>
      <c r="H268" s="89"/>
      <c r="I268" s="89"/>
      <c r="J268" s="157"/>
      <c r="K268" s="152"/>
      <c r="L268" s="194"/>
      <c r="M268" s="194"/>
      <c r="N268" s="194"/>
      <c r="O268" s="194"/>
      <c r="P268" s="194"/>
      <c r="Q268" s="194"/>
      <c r="R268" s="194"/>
      <c r="S268" s="194"/>
      <c r="T268" s="194"/>
      <c r="U268" s="194"/>
      <c r="V268" s="194"/>
      <c r="W268" s="194"/>
      <c r="X268" s="194"/>
      <c r="Y268" s="194"/>
      <c r="Z268" s="194"/>
    </row>
    <row r="269" spans="1:26" ht="49.95" customHeight="1">
      <c r="A269" s="29" t="s">
        <v>243</v>
      </c>
      <c r="B269" s="89">
        <v>88489</v>
      </c>
      <c r="C269" s="156" t="s">
        <v>529</v>
      </c>
      <c r="D269" s="89"/>
      <c r="E269" s="89"/>
      <c r="F269" s="89"/>
      <c r="G269" s="89"/>
      <c r="H269" s="89"/>
      <c r="I269" s="89"/>
      <c r="J269" s="157"/>
      <c r="K269" s="152"/>
      <c r="L269" s="194"/>
      <c r="M269" s="194"/>
      <c r="N269" s="194"/>
      <c r="O269" s="194"/>
      <c r="P269" s="194"/>
      <c r="Q269" s="194"/>
      <c r="R269" s="194"/>
      <c r="S269" s="194"/>
      <c r="T269" s="194"/>
      <c r="U269" s="194"/>
      <c r="V269" s="194"/>
      <c r="W269" s="194"/>
      <c r="X269" s="194"/>
      <c r="Y269" s="194"/>
      <c r="Z269" s="194"/>
    </row>
    <row r="270" spans="1:26" ht="25.05" customHeight="1">
      <c r="A270" s="91" t="s">
        <v>244</v>
      </c>
      <c r="B270" s="211" t="s">
        <v>245</v>
      </c>
      <c r="C270" s="211"/>
      <c r="D270" s="147"/>
      <c r="E270" s="147"/>
      <c r="F270" s="147"/>
      <c r="G270" s="147"/>
      <c r="H270" s="150"/>
      <c r="I270" s="150"/>
      <c r="J270" s="150"/>
      <c r="K270" s="150"/>
      <c r="L270" s="194"/>
      <c r="M270" s="194"/>
      <c r="N270" s="194"/>
      <c r="O270" s="194"/>
      <c r="P270" s="194"/>
      <c r="Q270" s="194"/>
      <c r="R270" s="194"/>
      <c r="S270" s="194"/>
      <c r="T270" s="194"/>
      <c r="U270" s="194"/>
      <c r="V270" s="194"/>
      <c r="W270" s="194"/>
      <c r="X270" s="194"/>
      <c r="Y270" s="194"/>
      <c r="Z270" s="194"/>
    </row>
    <row r="271" spans="1:26" ht="49.95" customHeight="1">
      <c r="A271" s="29" t="s">
        <v>246</v>
      </c>
      <c r="B271" s="40">
        <v>88485</v>
      </c>
      <c r="C271" s="156" t="s">
        <v>530</v>
      </c>
      <c r="D271" s="89"/>
      <c r="E271" s="89"/>
      <c r="F271" s="89"/>
      <c r="G271" s="89"/>
      <c r="H271" s="89"/>
      <c r="I271" s="89"/>
      <c r="J271" s="157"/>
      <c r="K271" s="152"/>
      <c r="L271" s="194"/>
      <c r="M271" s="194"/>
      <c r="N271" s="194"/>
      <c r="O271" s="194"/>
      <c r="P271" s="194"/>
      <c r="Q271" s="194"/>
      <c r="R271" s="194"/>
      <c r="S271" s="194"/>
      <c r="T271" s="194"/>
      <c r="U271" s="194"/>
      <c r="V271" s="194"/>
      <c r="W271" s="194"/>
      <c r="X271" s="194"/>
      <c r="Y271" s="194"/>
      <c r="Z271" s="194"/>
    </row>
    <row r="272" spans="1:26" ht="49.95" customHeight="1">
      <c r="A272" s="29" t="s">
        <v>247</v>
      </c>
      <c r="B272" s="40">
        <v>88497</v>
      </c>
      <c r="C272" s="156" t="s">
        <v>528</v>
      </c>
      <c r="D272" s="89"/>
      <c r="E272" s="89"/>
      <c r="F272" s="89"/>
      <c r="G272" s="89"/>
      <c r="H272" s="89"/>
      <c r="I272" s="89"/>
      <c r="J272" s="157"/>
      <c r="K272" s="152"/>
      <c r="L272" s="194"/>
      <c r="M272" s="194"/>
      <c r="N272" s="194"/>
      <c r="O272" s="194"/>
      <c r="P272" s="194"/>
      <c r="Q272" s="194"/>
      <c r="R272" s="194"/>
      <c r="S272" s="194"/>
      <c r="T272" s="194"/>
      <c r="U272" s="194"/>
      <c r="V272" s="194"/>
      <c r="W272" s="194"/>
      <c r="X272" s="194"/>
      <c r="Y272" s="194"/>
      <c r="Z272" s="194"/>
    </row>
    <row r="273" spans="1:26" ht="49.95" customHeight="1">
      <c r="A273" s="29" t="s">
        <v>248</v>
      </c>
      <c r="B273" s="40">
        <v>88489</v>
      </c>
      <c r="C273" s="156" t="s">
        <v>529</v>
      </c>
      <c r="D273" s="89"/>
      <c r="E273" s="89"/>
      <c r="F273" s="89"/>
      <c r="G273" s="89"/>
      <c r="H273" s="89"/>
      <c r="I273" s="89"/>
      <c r="J273" s="157"/>
      <c r="K273" s="152"/>
      <c r="L273" s="194"/>
      <c r="M273" s="194"/>
      <c r="N273" s="194"/>
      <c r="O273" s="194"/>
      <c r="P273" s="194"/>
      <c r="Q273" s="194"/>
      <c r="R273" s="194"/>
      <c r="S273" s="194"/>
      <c r="T273" s="194"/>
      <c r="U273" s="194"/>
      <c r="V273" s="194"/>
      <c r="W273" s="194"/>
      <c r="X273" s="194"/>
      <c r="Y273" s="194"/>
      <c r="Z273" s="194"/>
    </row>
    <row r="274" spans="1:26" ht="49.95" customHeight="1">
      <c r="A274" s="29" t="s">
        <v>249</v>
      </c>
      <c r="B274" s="40">
        <v>96486</v>
      </c>
      <c r="C274" s="156" t="s">
        <v>442</v>
      </c>
      <c r="D274" s="89"/>
      <c r="E274" s="89"/>
      <c r="F274" s="89"/>
      <c r="G274" s="89"/>
      <c r="H274" s="89"/>
      <c r="I274" s="89"/>
      <c r="J274" s="157"/>
      <c r="K274" s="152"/>
      <c r="L274" s="194"/>
      <c r="M274" s="194"/>
      <c r="N274" s="194"/>
      <c r="O274" s="194"/>
      <c r="P274" s="194"/>
      <c r="Q274" s="194"/>
      <c r="R274" s="194"/>
      <c r="S274" s="194"/>
      <c r="T274" s="194"/>
      <c r="U274" s="194"/>
      <c r="V274" s="194"/>
      <c r="W274" s="194"/>
      <c r="X274" s="194"/>
      <c r="Y274" s="194"/>
      <c r="Z274" s="194"/>
    </row>
    <row r="275" spans="1:26" ht="25.05" customHeight="1">
      <c r="A275" s="91" t="s">
        <v>250</v>
      </c>
      <c r="B275" s="211" t="s">
        <v>46</v>
      </c>
      <c r="C275" s="211"/>
      <c r="D275" s="147"/>
      <c r="E275" s="147"/>
      <c r="F275" s="147"/>
      <c r="G275" s="147"/>
      <c r="H275" s="150"/>
      <c r="I275" s="150"/>
      <c r="J275" s="150"/>
      <c r="K275" s="150"/>
      <c r="L275" s="194"/>
      <c r="M275" s="194"/>
      <c r="N275" s="194"/>
      <c r="O275" s="194"/>
      <c r="P275" s="194"/>
      <c r="Q275" s="194"/>
      <c r="R275" s="194"/>
      <c r="S275" s="194"/>
      <c r="T275" s="194"/>
      <c r="U275" s="194"/>
      <c r="V275" s="194"/>
      <c r="W275" s="194"/>
      <c r="X275" s="194"/>
      <c r="Y275" s="194"/>
      <c r="Z275" s="194"/>
    </row>
    <row r="276" spans="1:26" ht="49.95" customHeight="1">
      <c r="A276" s="29" t="s">
        <v>251</v>
      </c>
      <c r="B276" s="40">
        <v>95241</v>
      </c>
      <c r="C276" s="156" t="s">
        <v>444</v>
      </c>
      <c r="D276" s="89"/>
      <c r="E276" s="89"/>
      <c r="F276" s="89"/>
      <c r="G276" s="89"/>
      <c r="H276" s="89"/>
      <c r="I276" s="89"/>
      <c r="J276" s="157"/>
      <c r="K276" s="152"/>
      <c r="L276" s="194"/>
      <c r="M276" s="194"/>
      <c r="N276" s="194"/>
      <c r="O276" s="194"/>
      <c r="P276" s="194"/>
      <c r="Q276" s="194"/>
      <c r="R276" s="194"/>
      <c r="S276" s="194"/>
      <c r="T276" s="194"/>
      <c r="U276" s="194"/>
      <c r="V276" s="194"/>
      <c r="W276" s="194"/>
      <c r="X276" s="194"/>
      <c r="Y276" s="194"/>
      <c r="Z276" s="194"/>
    </row>
    <row r="277" spans="1:26" ht="49.95" customHeight="1">
      <c r="A277" s="29" t="s">
        <v>252</v>
      </c>
      <c r="B277" s="40">
        <v>87622</v>
      </c>
      <c r="C277" s="156" t="s">
        <v>445</v>
      </c>
      <c r="D277" s="89"/>
      <c r="E277" s="89"/>
      <c r="F277" s="89"/>
      <c r="G277" s="89"/>
      <c r="H277" s="89"/>
      <c r="I277" s="89"/>
      <c r="J277" s="157"/>
      <c r="K277" s="152"/>
      <c r="L277" s="194"/>
      <c r="M277" s="194"/>
      <c r="N277" s="194"/>
      <c r="O277" s="194"/>
      <c r="P277" s="194"/>
      <c r="Q277" s="194"/>
      <c r="R277" s="194"/>
      <c r="S277" s="194"/>
      <c r="T277" s="194"/>
      <c r="U277" s="194"/>
      <c r="V277" s="194"/>
      <c r="W277" s="194"/>
      <c r="X277" s="194"/>
      <c r="Y277" s="194"/>
      <c r="Z277" s="194"/>
    </row>
    <row r="278" spans="1:26" ht="49.95" customHeight="1">
      <c r="A278" s="29" t="s">
        <v>253</v>
      </c>
      <c r="B278" s="40" t="s">
        <v>409</v>
      </c>
      <c r="C278" s="156" t="s">
        <v>437</v>
      </c>
      <c r="D278" s="89"/>
      <c r="E278" s="89"/>
      <c r="F278" s="89"/>
      <c r="G278" s="89"/>
      <c r="H278" s="89"/>
      <c r="I278" s="89"/>
      <c r="J278" s="157"/>
      <c r="K278" s="152"/>
      <c r="L278" s="194"/>
      <c r="M278" s="194"/>
      <c r="N278" s="194"/>
      <c r="O278" s="194"/>
      <c r="P278" s="194"/>
      <c r="Q278" s="194"/>
      <c r="R278" s="194"/>
      <c r="S278" s="194"/>
      <c r="T278" s="194"/>
      <c r="U278" s="194"/>
      <c r="V278" s="194"/>
      <c r="W278" s="194"/>
      <c r="X278" s="194"/>
      <c r="Y278" s="194"/>
      <c r="Z278" s="194"/>
    </row>
    <row r="279" spans="1:26" ht="25.05" customHeight="1">
      <c r="A279" s="91" t="s">
        <v>254</v>
      </c>
      <c r="B279" s="211" t="s">
        <v>125</v>
      </c>
      <c r="C279" s="211"/>
      <c r="D279" s="147"/>
      <c r="E279" s="147"/>
      <c r="F279" s="147"/>
      <c r="G279" s="147"/>
      <c r="H279" s="150"/>
      <c r="I279" s="150"/>
      <c r="J279" s="150"/>
      <c r="K279" s="150"/>
      <c r="L279" s="194"/>
      <c r="M279" s="194"/>
      <c r="N279" s="194"/>
      <c r="O279" s="194"/>
      <c r="P279" s="194"/>
      <c r="Q279" s="194"/>
      <c r="R279" s="194"/>
      <c r="S279" s="194"/>
      <c r="T279" s="194"/>
      <c r="U279" s="194"/>
      <c r="V279" s="194"/>
      <c r="W279" s="194"/>
      <c r="X279" s="194"/>
      <c r="Y279" s="194"/>
      <c r="Z279" s="194"/>
    </row>
    <row r="280" spans="1:26" ht="25.05" customHeight="1">
      <c r="A280" s="91" t="s">
        <v>255</v>
      </c>
      <c r="B280" s="211" t="s">
        <v>47</v>
      </c>
      <c r="C280" s="211"/>
      <c r="D280" s="147"/>
      <c r="E280" s="147"/>
      <c r="F280" s="147"/>
      <c r="G280" s="147"/>
      <c r="H280" s="150"/>
      <c r="I280" s="150"/>
      <c r="J280" s="150"/>
      <c r="K280" s="150"/>
      <c r="L280" s="194"/>
      <c r="M280" s="194"/>
      <c r="N280" s="194"/>
      <c r="O280" s="194"/>
      <c r="P280" s="194"/>
      <c r="Q280" s="194"/>
      <c r="R280" s="194"/>
      <c r="S280" s="194"/>
      <c r="T280" s="194"/>
      <c r="U280" s="194"/>
      <c r="V280" s="194"/>
      <c r="W280" s="194"/>
      <c r="X280" s="194"/>
      <c r="Y280" s="194"/>
      <c r="Z280" s="194"/>
    </row>
    <row r="281" spans="1:26" ht="49.95" customHeight="1">
      <c r="A281" s="29" t="s">
        <v>256</v>
      </c>
      <c r="B281" s="40">
        <v>102611</v>
      </c>
      <c r="C281" s="155" t="s">
        <v>531</v>
      </c>
      <c r="D281" s="89"/>
      <c r="E281" s="89"/>
      <c r="F281" s="89"/>
      <c r="G281" s="89"/>
      <c r="H281" s="89"/>
      <c r="I281" s="89"/>
      <c r="J281" s="157"/>
      <c r="K281" s="152"/>
      <c r="L281" s="194"/>
      <c r="M281" s="194"/>
      <c r="N281" s="194"/>
      <c r="O281" s="194"/>
      <c r="P281" s="194"/>
      <c r="Q281" s="194"/>
      <c r="R281" s="194"/>
      <c r="S281" s="194"/>
      <c r="T281" s="194"/>
      <c r="U281" s="194"/>
      <c r="V281" s="194"/>
      <c r="W281" s="194"/>
      <c r="X281" s="194"/>
      <c r="Y281" s="194"/>
      <c r="Z281" s="194"/>
    </row>
    <row r="282" spans="1:26" ht="49.95" customHeight="1">
      <c r="A282" s="29" t="s">
        <v>257</v>
      </c>
      <c r="B282" s="40">
        <v>11762</v>
      </c>
      <c r="C282" s="155" t="s">
        <v>532</v>
      </c>
      <c r="D282" s="89"/>
      <c r="E282" s="89"/>
      <c r="F282" s="89"/>
      <c r="G282" s="89"/>
      <c r="H282" s="89"/>
      <c r="I282" s="89"/>
      <c r="J282" s="157"/>
      <c r="K282" s="152"/>
      <c r="L282" s="194"/>
      <c r="M282" s="194"/>
      <c r="N282" s="194"/>
      <c r="O282" s="194"/>
      <c r="P282" s="194"/>
      <c r="Q282" s="194"/>
      <c r="R282" s="194"/>
      <c r="S282" s="194"/>
      <c r="T282" s="194"/>
      <c r="U282" s="194"/>
      <c r="V282" s="194"/>
      <c r="W282" s="194"/>
      <c r="X282" s="194"/>
      <c r="Y282" s="194"/>
      <c r="Z282" s="194"/>
    </row>
    <row r="283" spans="1:26" ht="49.95" customHeight="1">
      <c r="A283" s="29" t="s">
        <v>258</v>
      </c>
      <c r="B283" s="40">
        <v>86888</v>
      </c>
      <c r="C283" s="155" t="s">
        <v>448</v>
      </c>
      <c r="D283" s="89"/>
      <c r="E283" s="89"/>
      <c r="F283" s="89"/>
      <c r="G283" s="89"/>
      <c r="H283" s="89"/>
      <c r="I283" s="89"/>
      <c r="J283" s="157"/>
      <c r="K283" s="152"/>
      <c r="L283" s="194"/>
      <c r="M283" s="194"/>
      <c r="N283" s="194"/>
      <c r="O283" s="194"/>
      <c r="P283" s="194"/>
      <c r="Q283" s="194"/>
      <c r="R283" s="194"/>
      <c r="S283" s="194"/>
      <c r="T283" s="194"/>
      <c r="U283" s="194"/>
      <c r="V283" s="194"/>
      <c r="W283" s="194"/>
      <c r="X283" s="194"/>
      <c r="Y283" s="194"/>
      <c r="Z283" s="194"/>
    </row>
    <row r="284" spans="1:26" ht="49.95" customHeight="1">
      <c r="A284" s="29" t="s">
        <v>259</v>
      </c>
      <c r="B284" s="40">
        <v>1370</v>
      </c>
      <c r="C284" s="155" t="s">
        <v>449</v>
      </c>
      <c r="D284" s="89"/>
      <c r="E284" s="89"/>
      <c r="F284" s="89"/>
      <c r="G284" s="89"/>
      <c r="H284" s="89"/>
      <c r="I284" s="89"/>
      <c r="J284" s="157"/>
      <c r="K284" s="152"/>
      <c r="L284" s="194"/>
      <c r="M284" s="194"/>
      <c r="N284" s="194"/>
      <c r="O284" s="194"/>
      <c r="P284" s="194"/>
      <c r="Q284" s="194"/>
      <c r="R284" s="194"/>
      <c r="S284" s="194"/>
      <c r="T284" s="194"/>
      <c r="U284" s="194"/>
      <c r="V284" s="194"/>
      <c r="W284" s="194"/>
      <c r="X284" s="194"/>
      <c r="Y284" s="194"/>
      <c r="Z284" s="194"/>
    </row>
    <row r="285" spans="1:26" ht="49.95" customHeight="1">
      <c r="A285" s="29" t="s">
        <v>260</v>
      </c>
      <c r="B285" s="40">
        <v>10427</v>
      </c>
      <c r="C285" s="155" t="s">
        <v>450</v>
      </c>
      <c r="D285" s="89"/>
      <c r="E285" s="89"/>
      <c r="F285" s="89"/>
      <c r="G285" s="89"/>
      <c r="H285" s="89"/>
      <c r="I285" s="89"/>
      <c r="J285" s="157"/>
      <c r="K285" s="152"/>
      <c r="L285" s="194"/>
      <c r="M285" s="194"/>
      <c r="N285" s="194"/>
      <c r="O285" s="194"/>
      <c r="P285" s="194"/>
      <c r="Q285" s="194"/>
      <c r="R285" s="194"/>
      <c r="S285" s="194"/>
      <c r="T285" s="194"/>
      <c r="U285" s="194"/>
      <c r="V285" s="194"/>
      <c r="W285" s="194"/>
      <c r="X285" s="194"/>
      <c r="Y285" s="194"/>
      <c r="Z285" s="194"/>
    </row>
    <row r="286" spans="1:26" ht="49.95" customHeight="1">
      <c r="A286" s="29" t="s">
        <v>261</v>
      </c>
      <c r="B286" s="40">
        <v>6136</v>
      </c>
      <c r="C286" s="155" t="s">
        <v>451</v>
      </c>
      <c r="D286" s="89"/>
      <c r="E286" s="89"/>
      <c r="F286" s="89"/>
      <c r="G286" s="89"/>
      <c r="H286" s="89"/>
      <c r="I286" s="89"/>
      <c r="J286" s="157"/>
      <c r="K286" s="152"/>
      <c r="L286" s="194"/>
      <c r="M286" s="194"/>
      <c r="N286" s="194"/>
      <c r="O286" s="194"/>
      <c r="P286" s="194"/>
      <c r="Q286" s="194"/>
      <c r="R286" s="194"/>
      <c r="S286" s="194"/>
      <c r="T286" s="194"/>
      <c r="U286" s="194"/>
      <c r="V286" s="194"/>
      <c r="W286" s="194"/>
      <c r="X286" s="194"/>
      <c r="Y286" s="194"/>
      <c r="Z286" s="194"/>
    </row>
    <row r="287" spans="1:26" ht="49.95" customHeight="1">
      <c r="A287" s="29" t="s">
        <v>262</v>
      </c>
      <c r="B287" s="40">
        <v>86886</v>
      </c>
      <c r="C287" s="155" t="s">
        <v>452</v>
      </c>
      <c r="D287" s="89"/>
      <c r="E287" s="89"/>
      <c r="F287" s="89"/>
      <c r="G287" s="89"/>
      <c r="H287" s="89"/>
      <c r="I287" s="89"/>
      <c r="J287" s="157"/>
      <c r="K287" s="152"/>
      <c r="L287" s="194"/>
      <c r="M287" s="194"/>
      <c r="N287" s="194"/>
      <c r="O287" s="194"/>
      <c r="P287" s="194"/>
      <c r="Q287" s="194"/>
      <c r="R287" s="194"/>
      <c r="S287" s="194"/>
      <c r="T287" s="194"/>
      <c r="U287" s="194"/>
      <c r="V287" s="194"/>
      <c r="W287" s="194"/>
      <c r="X287" s="194"/>
      <c r="Y287" s="194"/>
      <c r="Z287" s="194"/>
    </row>
    <row r="288" spans="1:26" ht="49.95" customHeight="1">
      <c r="A288" s="29" t="s">
        <v>263</v>
      </c>
      <c r="B288" s="40">
        <v>100860</v>
      </c>
      <c r="C288" s="155" t="s">
        <v>533</v>
      </c>
      <c r="D288" s="89"/>
      <c r="E288" s="89"/>
      <c r="F288" s="89"/>
      <c r="G288" s="89"/>
      <c r="H288" s="89"/>
      <c r="I288" s="89"/>
      <c r="J288" s="157"/>
      <c r="K288" s="152"/>
      <c r="L288" s="194"/>
      <c r="M288" s="194"/>
      <c r="N288" s="194"/>
      <c r="O288" s="194"/>
      <c r="P288" s="194"/>
      <c r="Q288" s="194"/>
      <c r="R288" s="194"/>
      <c r="S288" s="194"/>
      <c r="T288" s="194"/>
      <c r="U288" s="194"/>
      <c r="V288" s="194"/>
      <c r="W288" s="194"/>
      <c r="X288" s="194"/>
      <c r="Y288" s="194"/>
      <c r="Z288" s="194"/>
    </row>
    <row r="289" spans="1:26" ht="49.95" customHeight="1">
      <c r="A289" s="29" t="s">
        <v>264</v>
      </c>
      <c r="B289" s="40">
        <v>89987</v>
      </c>
      <c r="C289" s="155" t="s">
        <v>534</v>
      </c>
      <c r="D289" s="89"/>
      <c r="E289" s="89"/>
      <c r="F289" s="89"/>
      <c r="G289" s="89"/>
      <c r="H289" s="89"/>
      <c r="I289" s="89"/>
      <c r="J289" s="157"/>
      <c r="K289" s="152"/>
      <c r="L289" s="194"/>
      <c r="M289" s="194"/>
      <c r="N289" s="194"/>
      <c r="O289" s="194"/>
      <c r="P289" s="194"/>
      <c r="Q289" s="194"/>
      <c r="R289" s="194"/>
      <c r="S289" s="194"/>
      <c r="T289" s="194"/>
      <c r="U289" s="194"/>
      <c r="V289" s="194"/>
      <c r="W289" s="194"/>
      <c r="X289" s="194"/>
      <c r="Y289" s="194"/>
      <c r="Z289" s="194"/>
    </row>
    <row r="290" spans="1:26" ht="49.95" customHeight="1">
      <c r="A290" s="29" t="s">
        <v>265</v>
      </c>
      <c r="B290" s="40">
        <v>89351</v>
      </c>
      <c r="C290" s="155" t="s">
        <v>535</v>
      </c>
      <c r="D290" s="89"/>
      <c r="E290" s="89"/>
      <c r="F290" s="89"/>
      <c r="G290" s="89"/>
      <c r="H290" s="89"/>
      <c r="I290" s="89"/>
      <c r="J290" s="157"/>
      <c r="K290" s="152"/>
      <c r="L290" s="194"/>
      <c r="M290" s="194"/>
      <c r="N290" s="194"/>
      <c r="O290" s="194"/>
      <c r="P290" s="194"/>
      <c r="Q290" s="194"/>
      <c r="R290" s="194"/>
      <c r="S290" s="194"/>
      <c r="T290" s="194"/>
      <c r="U290" s="194"/>
      <c r="V290" s="194"/>
      <c r="W290" s="194"/>
      <c r="X290" s="194"/>
      <c r="Y290" s="194"/>
      <c r="Z290" s="194"/>
    </row>
    <row r="291" spans="1:26" ht="49.95" customHeight="1">
      <c r="A291" s="29" t="s">
        <v>266</v>
      </c>
      <c r="B291" s="40">
        <v>94489</v>
      </c>
      <c r="C291" s="155" t="s">
        <v>458</v>
      </c>
      <c r="D291" s="89"/>
      <c r="E291" s="89"/>
      <c r="F291" s="89"/>
      <c r="G291" s="89"/>
      <c r="H291" s="89"/>
      <c r="I291" s="89"/>
      <c r="J291" s="157"/>
      <c r="K291" s="152"/>
      <c r="L291" s="194"/>
      <c r="M291" s="194"/>
      <c r="N291" s="194"/>
      <c r="O291" s="194"/>
      <c r="P291" s="194"/>
      <c r="Q291" s="194"/>
      <c r="R291" s="194"/>
      <c r="S291" s="194"/>
      <c r="T291" s="194"/>
      <c r="U291" s="194"/>
      <c r="V291" s="194"/>
      <c r="W291" s="194"/>
      <c r="X291" s="194"/>
      <c r="Y291" s="194"/>
      <c r="Z291" s="194"/>
    </row>
    <row r="292" spans="1:26" ht="49.95" customHeight="1">
      <c r="A292" s="29" t="s">
        <v>267</v>
      </c>
      <c r="B292" s="40">
        <v>94490</v>
      </c>
      <c r="C292" s="155" t="s">
        <v>536</v>
      </c>
      <c r="D292" s="89"/>
      <c r="E292" s="89"/>
      <c r="F292" s="89"/>
      <c r="G292" s="89"/>
      <c r="H292" s="89"/>
      <c r="I292" s="89"/>
      <c r="J292" s="157"/>
      <c r="K292" s="152"/>
      <c r="L292" s="194"/>
      <c r="M292" s="194"/>
      <c r="N292" s="194"/>
      <c r="O292" s="194"/>
      <c r="P292" s="194"/>
      <c r="Q292" s="194"/>
      <c r="R292" s="194"/>
      <c r="S292" s="194"/>
      <c r="T292" s="194"/>
      <c r="U292" s="194"/>
      <c r="V292" s="194"/>
      <c r="W292" s="194"/>
      <c r="X292" s="194"/>
      <c r="Y292" s="194"/>
      <c r="Z292" s="194"/>
    </row>
    <row r="293" spans="1:26" ht="49.95" customHeight="1">
      <c r="A293" s="29" t="s">
        <v>268</v>
      </c>
      <c r="B293" s="40">
        <v>94656</v>
      </c>
      <c r="C293" s="155" t="s">
        <v>459</v>
      </c>
      <c r="D293" s="89"/>
      <c r="E293" s="89"/>
      <c r="F293" s="89"/>
      <c r="G293" s="89"/>
      <c r="H293" s="89"/>
      <c r="I293" s="89"/>
      <c r="J293" s="157"/>
      <c r="K293" s="152"/>
      <c r="L293" s="194"/>
      <c r="M293" s="194"/>
      <c r="N293" s="194"/>
      <c r="O293" s="194"/>
      <c r="P293" s="194"/>
      <c r="Q293" s="194"/>
      <c r="R293" s="194"/>
      <c r="S293" s="194"/>
      <c r="T293" s="194"/>
      <c r="U293" s="194"/>
      <c r="V293" s="194"/>
      <c r="W293" s="194"/>
      <c r="X293" s="194"/>
      <c r="Y293" s="194"/>
      <c r="Z293" s="194"/>
    </row>
    <row r="294" spans="1:26" ht="49.95" customHeight="1">
      <c r="A294" s="29" t="s">
        <v>269</v>
      </c>
      <c r="B294" s="40">
        <v>89364</v>
      </c>
      <c r="C294" s="155" t="s">
        <v>461</v>
      </c>
      <c r="D294" s="89"/>
      <c r="E294" s="89"/>
      <c r="F294" s="89"/>
      <c r="G294" s="89"/>
      <c r="H294" s="89"/>
      <c r="I294" s="89"/>
      <c r="J294" s="157"/>
      <c r="K294" s="152"/>
      <c r="L294" s="194"/>
      <c r="M294" s="194"/>
      <c r="N294" s="194"/>
      <c r="O294" s="194"/>
      <c r="P294" s="194"/>
      <c r="Q294" s="194"/>
      <c r="R294" s="194"/>
      <c r="S294" s="194"/>
      <c r="T294" s="194"/>
      <c r="U294" s="194"/>
      <c r="V294" s="194"/>
      <c r="W294" s="194"/>
      <c r="X294" s="194"/>
      <c r="Y294" s="194"/>
      <c r="Z294" s="194"/>
    </row>
    <row r="295" spans="1:26" ht="49.95" customHeight="1">
      <c r="A295" s="29" t="s">
        <v>270</v>
      </c>
      <c r="B295" s="40">
        <v>89365</v>
      </c>
      <c r="C295" s="155" t="s">
        <v>537</v>
      </c>
      <c r="D295" s="89"/>
      <c r="E295" s="89"/>
      <c r="F295" s="89"/>
      <c r="G295" s="89"/>
      <c r="H295" s="89"/>
      <c r="I295" s="89"/>
      <c r="J295" s="157"/>
      <c r="K295" s="152"/>
      <c r="L295" s="194"/>
      <c r="M295" s="194"/>
      <c r="N295" s="194"/>
      <c r="O295" s="194"/>
      <c r="P295" s="194"/>
      <c r="Q295" s="194"/>
      <c r="R295" s="194"/>
      <c r="S295" s="194"/>
      <c r="T295" s="194"/>
      <c r="U295" s="194"/>
      <c r="V295" s="194"/>
      <c r="W295" s="194"/>
      <c r="X295" s="194"/>
      <c r="Y295" s="194"/>
      <c r="Z295" s="194"/>
    </row>
    <row r="296" spans="1:26" ht="49.95" customHeight="1">
      <c r="A296" s="29" t="s">
        <v>271</v>
      </c>
      <c r="B296" s="40">
        <v>89363</v>
      </c>
      <c r="C296" s="155" t="s">
        <v>463</v>
      </c>
      <c r="D296" s="89"/>
      <c r="E296" s="89"/>
      <c r="F296" s="89"/>
      <c r="G296" s="89"/>
      <c r="H296" s="89"/>
      <c r="I296" s="89"/>
      <c r="J296" s="157"/>
      <c r="K296" s="152"/>
      <c r="L296" s="194"/>
      <c r="M296" s="194"/>
      <c r="N296" s="194"/>
      <c r="O296" s="194"/>
      <c r="P296" s="194"/>
      <c r="Q296" s="194"/>
      <c r="R296" s="194"/>
      <c r="S296" s="194"/>
      <c r="T296" s="194"/>
      <c r="U296" s="194"/>
      <c r="V296" s="194"/>
      <c r="W296" s="194"/>
      <c r="X296" s="194"/>
      <c r="Y296" s="194"/>
      <c r="Z296" s="194"/>
    </row>
    <row r="297" spans="1:26" ht="49.95" customHeight="1">
      <c r="A297" s="29" t="s">
        <v>272</v>
      </c>
      <c r="B297" s="40">
        <v>89408</v>
      </c>
      <c r="C297" s="155" t="s">
        <v>464</v>
      </c>
      <c r="D297" s="89"/>
      <c r="E297" s="89"/>
      <c r="F297" s="89"/>
      <c r="G297" s="89"/>
      <c r="H297" s="89"/>
      <c r="I297" s="89"/>
      <c r="J297" s="157"/>
      <c r="K297" s="152"/>
      <c r="L297" s="194"/>
      <c r="M297" s="194"/>
      <c r="N297" s="194"/>
      <c r="O297" s="194"/>
      <c r="P297" s="194"/>
      <c r="Q297" s="194"/>
      <c r="R297" s="194"/>
      <c r="S297" s="194"/>
      <c r="T297" s="194"/>
      <c r="U297" s="194"/>
      <c r="V297" s="194"/>
      <c r="W297" s="194"/>
      <c r="X297" s="194"/>
      <c r="Y297" s="194"/>
      <c r="Z297" s="194"/>
    </row>
    <row r="298" spans="1:26" ht="49.95" customHeight="1">
      <c r="A298" s="29" t="s">
        <v>273</v>
      </c>
      <c r="B298" s="40">
        <v>89367</v>
      </c>
      <c r="C298" s="155" t="s">
        <v>538</v>
      </c>
      <c r="D298" s="89"/>
      <c r="E298" s="89"/>
      <c r="F298" s="89"/>
      <c r="G298" s="89"/>
      <c r="H298" s="89"/>
      <c r="I298" s="89"/>
      <c r="J298" s="157"/>
      <c r="K298" s="152"/>
      <c r="L298" s="194"/>
      <c r="M298" s="194"/>
      <c r="N298" s="194"/>
      <c r="O298" s="194"/>
      <c r="P298" s="194"/>
      <c r="Q298" s="194"/>
      <c r="R298" s="194"/>
      <c r="S298" s="194"/>
      <c r="T298" s="194"/>
      <c r="U298" s="194"/>
      <c r="V298" s="194"/>
      <c r="W298" s="194"/>
      <c r="X298" s="194"/>
      <c r="Y298" s="194"/>
      <c r="Z298" s="194"/>
    </row>
    <row r="299" spans="1:26" ht="49.95" customHeight="1">
      <c r="A299" s="29" t="s">
        <v>274</v>
      </c>
      <c r="B299" s="40">
        <v>89528</v>
      </c>
      <c r="C299" s="155" t="s">
        <v>539</v>
      </c>
      <c r="D299" s="89"/>
      <c r="E299" s="89"/>
      <c r="F299" s="89"/>
      <c r="G299" s="89"/>
      <c r="H299" s="89"/>
      <c r="I299" s="89"/>
      <c r="J299" s="157"/>
      <c r="K299" s="152"/>
      <c r="L299" s="194"/>
      <c r="M299" s="194"/>
      <c r="N299" s="194"/>
      <c r="O299" s="194"/>
      <c r="P299" s="194"/>
      <c r="Q299" s="194"/>
      <c r="R299" s="194"/>
      <c r="S299" s="194"/>
      <c r="T299" s="194"/>
      <c r="U299" s="194"/>
      <c r="V299" s="194"/>
      <c r="W299" s="194"/>
      <c r="X299" s="194"/>
      <c r="Y299" s="194"/>
      <c r="Z299" s="194"/>
    </row>
    <row r="300" spans="1:26" ht="49.95" customHeight="1">
      <c r="A300" s="29" t="s">
        <v>275</v>
      </c>
      <c r="B300" s="40">
        <v>89381</v>
      </c>
      <c r="C300" s="155" t="s">
        <v>540</v>
      </c>
      <c r="D300" s="89"/>
      <c r="E300" s="89"/>
      <c r="F300" s="89"/>
      <c r="G300" s="89"/>
      <c r="H300" s="89"/>
      <c r="I300" s="89"/>
      <c r="J300" s="157"/>
      <c r="K300" s="152"/>
      <c r="L300" s="194"/>
      <c r="M300" s="194"/>
      <c r="N300" s="194"/>
      <c r="O300" s="194"/>
      <c r="P300" s="194"/>
      <c r="Q300" s="194"/>
      <c r="R300" s="194"/>
      <c r="S300" s="194"/>
      <c r="T300" s="194"/>
      <c r="U300" s="194"/>
      <c r="V300" s="194"/>
      <c r="W300" s="194"/>
      <c r="X300" s="194"/>
      <c r="Y300" s="194"/>
      <c r="Z300" s="194"/>
    </row>
    <row r="301" spans="1:26" ht="49.95" customHeight="1">
      <c r="A301" s="29" t="s">
        <v>276</v>
      </c>
      <c r="B301" s="40">
        <v>89617</v>
      </c>
      <c r="C301" s="155" t="s">
        <v>467</v>
      </c>
      <c r="D301" s="89"/>
      <c r="E301" s="89"/>
      <c r="F301" s="89"/>
      <c r="G301" s="89"/>
      <c r="H301" s="89"/>
      <c r="I301" s="89"/>
      <c r="J301" s="157"/>
      <c r="K301" s="152"/>
      <c r="L301" s="194"/>
      <c r="M301" s="194"/>
      <c r="N301" s="194"/>
      <c r="O301" s="194"/>
      <c r="P301" s="194"/>
      <c r="Q301" s="194"/>
      <c r="R301" s="194"/>
      <c r="S301" s="194"/>
      <c r="T301" s="194"/>
      <c r="U301" s="194"/>
      <c r="V301" s="194"/>
      <c r="W301" s="194"/>
      <c r="X301" s="194"/>
      <c r="Y301" s="194"/>
      <c r="Z301" s="194"/>
    </row>
    <row r="302" spans="1:26" ht="49.95" customHeight="1">
      <c r="A302" s="29" t="s">
        <v>277</v>
      </c>
      <c r="B302" s="40">
        <v>89620</v>
      </c>
      <c r="C302" s="155" t="s">
        <v>541</v>
      </c>
      <c r="D302" s="89"/>
      <c r="E302" s="89"/>
      <c r="F302" s="89"/>
      <c r="G302" s="89"/>
      <c r="H302" s="89"/>
      <c r="I302" s="89"/>
      <c r="J302" s="157"/>
      <c r="K302" s="152"/>
      <c r="L302" s="194"/>
      <c r="M302" s="194"/>
      <c r="N302" s="194"/>
      <c r="O302" s="194"/>
      <c r="P302" s="194"/>
      <c r="Q302" s="194"/>
      <c r="R302" s="194"/>
      <c r="S302" s="194"/>
      <c r="T302" s="194"/>
      <c r="U302" s="194"/>
      <c r="V302" s="194"/>
      <c r="W302" s="194"/>
      <c r="X302" s="194"/>
      <c r="Y302" s="194"/>
      <c r="Z302" s="194"/>
    </row>
    <row r="303" spans="1:26" ht="49.95" customHeight="1">
      <c r="A303" s="29" t="s">
        <v>278</v>
      </c>
      <c r="B303" s="40">
        <v>89446</v>
      </c>
      <c r="C303" s="155" t="s">
        <v>469</v>
      </c>
      <c r="D303" s="89"/>
      <c r="E303" s="89"/>
      <c r="F303" s="89"/>
      <c r="G303" s="89"/>
      <c r="H303" s="89"/>
      <c r="I303" s="89"/>
      <c r="J303" s="157"/>
      <c r="K303" s="152"/>
      <c r="L303" s="194"/>
      <c r="M303" s="194"/>
      <c r="N303" s="194"/>
      <c r="O303" s="194"/>
      <c r="P303" s="194"/>
      <c r="Q303" s="194"/>
      <c r="R303" s="194"/>
      <c r="S303" s="194"/>
      <c r="T303" s="194"/>
      <c r="U303" s="194"/>
      <c r="V303" s="194"/>
      <c r="W303" s="194"/>
      <c r="X303" s="194"/>
      <c r="Y303" s="194"/>
      <c r="Z303" s="194"/>
    </row>
    <row r="304" spans="1:26" ht="49.95" customHeight="1">
      <c r="A304" s="29" t="s">
        <v>279</v>
      </c>
      <c r="B304" s="54">
        <v>89447</v>
      </c>
      <c r="C304" s="156" t="s">
        <v>542</v>
      </c>
      <c r="D304" s="89"/>
      <c r="E304" s="89"/>
      <c r="F304" s="89"/>
      <c r="G304" s="89"/>
      <c r="H304" s="89"/>
      <c r="I304" s="89"/>
      <c r="J304" s="157"/>
      <c r="K304" s="152"/>
      <c r="L304" s="194"/>
      <c r="M304" s="194"/>
      <c r="N304" s="194"/>
      <c r="O304" s="194"/>
      <c r="P304" s="194"/>
      <c r="Q304" s="194"/>
      <c r="R304" s="194"/>
      <c r="S304" s="194"/>
      <c r="T304" s="194"/>
      <c r="U304" s="194"/>
      <c r="V304" s="194"/>
      <c r="W304" s="194"/>
      <c r="X304" s="194"/>
      <c r="Y304" s="194"/>
      <c r="Z304" s="194"/>
    </row>
    <row r="305" spans="1:26" ht="25.05" customHeight="1">
      <c r="A305" s="91" t="s">
        <v>280</v>
      </c>
      <c r="B305" s="211" t="s">
        <v>281</v>
      </c>
      <c r="C305" s="211"/>
      <c r="D305" s="147"/>
      <c r="E305" s="147"/>
      <c r="F305" s="147"/>
      <c r="G305" s="147"/>
      <c r="H305" s="150"/>
      <c r="I305" s="150"/>
      <c r="J305" s="150"/>
      <c r="K305" s="150"/>
      <c r="L305" s="194"/>
      <c r="M305" s="194"/>
      <c r="N305" s="194"/>
      <c r="O305" s="194"/>
      <c r="P305" s="194"/>
      <c r="Q305" s="194"/>
      <c r="R305" s="194"/>
      <c r="S305" s="194"/>
      <c r="T305" s="194"/>
      <c r="U305" s="194"/>
      <c r="V305" s="194"/>
      <c r="W305" s="194"/>
      <c r="X305" s="194"/>
      <c r="Y305" s="194"/>
      <c r="Z305" s="194"/>
    </row>
    <row r="306" spans="1:26" ht="49.95" customHeight="1">
      <c r="A306" s="29" t="s">
        <v>282</v>
      </c>
      <c r="B306" s="33">
        <v>91893</v>
      </c>
      <c r="C306" s="156" t="s">
        <v>543</v>
      </c>
      <c r="D306" s="89"/>
      <c r="E306" s="89"/>
      <c r="F306" s="89"/>
      <c r="G306" s="89"/>
      <c r="H306" s="89"/>
      <c r="I306" s="89"/>
      <c r="J306" s="157"/>
      <c r="K306" s="152"/>
      <c r="L306" s="194"/>
      <c r="M306" s="194"/>
      <c r="N306" s="194"/>
      <c r="O306" s="194"/>
      <c r="P306" s="194"/>
      <c r="Q306" s="194"/>
      <c r="R306" s="194"/>
      <c r="S306" s="194"/>
      <c r="T306" s="194"/>
      <c r="U306" s="194"/>
      <c r="V306" s="194"/>
      <c r="W306" s="194"/>
      <c r="X306" s="194"/>
      <c r="Y306" s="194"/>
      <c r="Z306" s="194"/>
    </row>
    <row r="307" spans="1:26" ht="49.95" customHeight="1">
      <c r="A307" s="29" t="s">
        <v>283</v>
      </c>
      <c r="B307" s="89">
        <v>95741</v>
      </c>
      <c r="C307" s="156" t="s">
        <v>544</v>
      </c>
      <c r="D307" s="89"/>
      <c r="E307" s="89"/>
      <c r="F307" s="89"/>
      <c r="G307" s="89"/>
      <c r="H307" s="89"/>
      <c r="I307" s="89"/>
      <c r="J307" s="157"/>
      <c r="K307" s="152"/>
      <c r="L307" s="194"/>
      <c r="M307" s="194"/>
      <c r="N307" s="194"/>
      <c r="O307" s="194"/>
      <c r="P307" s="194"/>
      <c r="Q307" s="194"/>
      <c r="R307" s="194"/>
      <c r="S307" s="194"/>
      <c r="T307" s="194"/>
      <c r="U307" s="194"/>
      <c r="V307" s="194"/>
      <c r="W307" s="194"/>
      <c r="X307" s="194"/>
      <c r="Y307" s="194"/>
      <c r="Z307" s="194"/>
    </row>
    <row r="308" spans="1:26" ht="49.95" customHeight="1">
      <c r="A308" s="29" t="s">
        <v>284</v>
      </c>
      <c r="B308" s="33">
        <v>104447</v>
      </c>
      <c r="C308" s="156" t="s">
        <v>545</v>
      </c>
      <c r="D308" s="89"/>
      <c r="E308" s="89"/>
      <c r="F308" s="89"/>
      <c r="G308" s="89"/>
      <c r="H308" s="89"/>
      <c r="I308" s="89"/>
      <c r="J308" s="157"/>
      <c r="K308" s="152"/>
      <c r="L308" s="194"/>
      <c r="M308" s="194"/>
      <c r="N308" s="194"/>
      <c r="O308" s="194"/>
      <c r="P308" s="194"/>
      <c r="Q308" s="194"/>
      <c r="R308" s="194"/>
      <c r="S308" s="194"/>
      <c r="T308" s="194"/>
      <c r="U308" s="194"/>
      <c r="V308" s="194"/>
      <c r="W308" s="194"/>
      <c r="X308" s="194"/>
      <c r="Y308" s="194"/>
      <c r="Z308" s="194"/>
    </row>
    <row r="309" spans="1:26" ht="49.95" customHeight="1">
      <c r="A309" s="29" t="s">
        <v>285</v>
      </c>
      <c r="B309" s="33">
        <v>91953</v>
      </c>
      <c r="C309" s="156" t="s">
        <v>478</v>
      </c>
      <c r="D309" s="89"/>
      <c r="E309" s="89"/>
      <c r="F309" s="89"/>
      <c r="G309" s="89"/>
      <c r="H309" s="89"/>
      <c r="I309" s="89"/>
      <c r="J309" s="157"/>
      <c r="K309" s="152"/>
      <c r="L309" s="194"/>
      <c r="M309" s="194"/>
      <c r="N309" s="194"/>
      <c r="O309" s="194"/>
      <c r="P309" s="194"/>
      <c r="Q309" s="194"/>
      <c r="R309" s="194"/>
      <c r="S309" s="194"/>
      <c r="T309" s="194"/>
      <c r="U309" s="194"/>
      <c r="V309" s="194"/>
      <c r="W309" s="194"/>
      <c r="X309" s="194"/>
      <c r="Y309" s="194"/>
      <c r="Z309" s="194"/>
    </row>
    <row r="310" spans="1:26" ht="49.95" customHeight="1">
      <c r="A310" s="29" t="s">
        <v>286</v>
      </c>
      <c r="B310" s="33">
        <v>92023</v>
      </c>
      <c r="C310" s="156" t="s">
        <v>546</v>
      </c>
      <c r="D310" s="89"/>
      <c r="E310" s="89"/>
      <c r="F310" s="89"/>
      <c r="G310" s="89"/>
      <c r="H310" s="89"/>
      <c r="I310" s="89"/>
      <c r="J310" s="157"/>
      <c r="K310" s="152"/>
      <c r="L310" s="194"/>
      <c r="M310" s="194"/>
      <c r="N310" s="194"/>
      <c r="O310" s="194"/>
      <c r="P310" s="194"/>
      <c r="Q310" s="194"/>
      <c r="R310" s="194"/>
      <c r="S310" s="194"/>
      <c r="T310" s="194"/>
      <c r="U310" s="194"/>
      <c r="V310" s="194"/>
      <c r="W310" s="194"/>
      <c r="X310" s="194"/>
      <c r="Y310" s="194"/>
      <c r="Z310" s="194"/>
    </row>
    <row r="311" spans="1:26" ht="49.95" customHeight="1">
      <c r="A311" s="29" t="s">
        <v>287</v>
      </c>
      <c r="B311" s="33">
        <v>1872</v>
      </c>
      <c r="C311" s="156" t="s">
        <v>547</v>
      </c>
      <c r="D311" s="89"/>
      <c r="E311" s="89"/>
      <c r="F311" s="89"/>
      <c r="G311" s="89"/>
      <c r="H311" s="89"/>
      <c r="I311" s="89"/>
      <c r="J311" s="157"/>
      <c r="K311" s="152"/>
      <c r="L311" s="194"/>
      <c r="M311" s="194"/>
      <c r="N311" s="194"/>
      <c r="O311" s="194"/>
      <c r="P311" s="194"/>
      <c r="Q311" s="194"/>
      <c r="R311" s="194"/>
      <c r="S311" s="194"/>
      <c r="T311" s="194"/>
      <c r="U311" s="194"/>
      <c r="V311" s="194"/>
      <c r="W311" s="194"/>
      <c r="X311" s="194"/>
      <c r="Y311" s="194"/>
      <c r="Z311" s="194"/>
    </row>
    <row r="312" spans="1:26" ht="49.95" customHeight="1">
      <c r="A312" s="29" t="s">
        <v>288</v>
      </c>
      <c r="B312" s="33">
        <v>101876</v>
      </c>
      <c r="C312" s="156" t="s">
        <v>548</v>
      </c>
      <c r="D312" s="89"/>
      <c r="E312" s="89"/>
      <c r="F312" s="89"/>
      <c r="G312" s="89"/>
      <c r="H312" s="89"/>
      <c r="I312" s="89"/>
      <c r="J312" s="157"/>
      <c r="K312" s="152"/>
      <c r="L312" s="194"/>
      <c r="M312" s="194"/>
      <c r="N312" s="194"/>
      <c r="O312" s="194"/>
      <c r="P312" s="194"/>
      <c r="Q312" s="194"/>
      <c r="R312" s="194"/>
      <c r="S312" s="194"/>
      <c r="T312" s="194"/>
      <c r="U312" s="194"/>
      <c r="V312" s="194"/>
      <c r="W312" s="194"/>
      <c r="X312" s="194"/>
      <c r="Y312" s="194"/>
      <c r="Z312" s="194"/>
    </row>
    <row r="313" spans="1:26" ht="49.95" customHeight="1">
      <c r="A313" s="29" t="s">
        <v>289</v>
      </c>
      <c r="B313" s="33">
        <v>91996</v>
      </c>
      <c r="C313" s="156" t="s">
        <v>549</v>
      </c>
      <c r="D313" s="89"/>
      <c r="E313" s="89"/>
      <c r="F313" s="89"/>
      <c r="G313" s="89"/>
      <c r="H313" s="89"/>
      <c r="I313" s="89"/>
      <c r="J313" s="157"/>
      <c r="K313" s="152"/>
      <c r="L313" s="194"/>
      <c r="M313" s="194"/>
      <c r="N313" s="194"/>
      <c r="O313" s="194"/>
      <c r="P313" s="194"/>
      <c r="Q313" s="194"/>
      <c r="R313" s="194"/>
      <c r="S313" s="194"/>
      <c r="T313" s="194"/>
      <c r="U313" s="194"/>
      <c r="V313" s="194"/>
      <c r="W313" s="194"/>
      <c r="X313" s="194"/>
      <c r="Y313" s="194"/>
      <c r="Z313" s="194"/>
    </row>
    <row r="314" spans="1:26" ht="49.95" customHeight="1">
      <c r="A314" s="29" t="s">
        <v>290</v>
      </c>
      <c r="B314" s="33">
        <v>92004</v>
      </c>
      <c r="C314" s="156" t="s">
        <v>484</v>
      </c>
      <c r="D314" s="89"/>
      <c r="E314" s="89"/>
      <c r="F314" s="89"/>
      <c r="G314" s="89"/>
      <c r="H314" s="89"/>
      <c r="I314" s="89"/>
      <c r="J314" s="157"/>
      <c r="K314" s="152"/>
      <c r="L314" s="194"/>
      <c r="M314" s="194"/>
      <c r="N314" s="194"/>
      <c r="O314" s="194"/>
      <c r="P314" s="194"/>
      <c r="Q314" s="194"/>
      <c r="R314" s="194"/>
      <c r="S314" s="194"/>
      <c r="T314" s="194"/>
      <c r="U314" s="194"/>
      <c r="V314" s="194"/>
      <c r="W314" s="194"/>
      <c r="X314" s="194"/>
      <c r="Y314" s="194"/>
      <c r="Z314" s="194"/>
    </row>
    <row r="315" spans="1:26" ht="49.95" customHeight="1">
      <c r="A315" s="29" t="s">
        <v>291</v>
      </c>
      <c r="B315" s="89">
        <v>91924</v>
      </c>
      <c r="C315" s="156" t="s">
        <v>486</v>
      </c>
      <c r="D315" s="89"/>
      <c r="E315" s="89"/>
      <c r="F315" s="89"/>
      <c r="G315" s="89"/>
      <c r="H315" s="89"/>
      <c r="I315" s="89"/>
      <c r="J315" s="157"/>
      <c r="K315" s="152"/>
      <c r="L315" s="194"/>
      <c r="M315" s="194"/>
      <c r="N315" s="194"/>
      <c r="O315" s="194"/>
      <c r="P315" s="194"/>
      <c r="Q315" s="194"/>
      <c r="R315" s="194"/>
      <c r="S315" s="194"/>
      <c r="T315" s="194"/>
      <c r="U315" s="194"/>
      <c r="V315" s="194"/>
      <c r="W315" s="194"/>
      <c r="X315" s="194"/>
      <c r="Y315" s="194"/>
      <c r="Z315" s="194"/>
    </row>
    <row r="316" spans="1:26" ht="49.95" customHeight="1">
      <c r="A316" s="29" t="s">
        <v>292</v>
      </c>
      <c r="B316" s="33">
        <v>91926</v>
      </c>
      <c r="C316" s="156" t="s">
        <v>487</v>
      </c>
      <c r="D316" s="89"/>
      <c r="E316" s="89"/>
      <c r="F316" s="89"/>
      <c r="G316" s="89"/>
      <c r="H316" s="89"/>
      <c r="I316" s="89"/>
      <c r="J316" s="157"/>
      <c r="K316" s="152"/>
      <c r="L316" s="194"/>
      <c r="M316" s="194"/>
      <c r="N316" s="194"/>
      <c r="O316" s="194"/>
      <c r="P316" s="194"/>
      <c r="Q316" s="194"/>
      <c r="R316" s="194"/>
      <c r="S316" s="194"/>
      <c r="T316" s="194"/>
      <c r="U316" s="194"/>
      <c r="V316" s="194"/>
      <c r="W316" s="194"/>
      <c r="X316" s="194"/>
      <c r="Y316" s="194"/>
      <c r="Z316" s="194"/>
    </row>
    <row r="317" spans="1:26" ht="49.95" customHeight="1">
      <c r="A317" s="29" t="s">
        <v>293</v>
      </c>
      <c r="B317" s="33">
        <v>91931</v>
      </c>
      <c r="C317" s="156" t="s">
        <v>485</v>
      </c>
      <c r="D317" s="89"/>
      <c r="E317" s="89"/>
      <c r="F317" s="89"/>
      <c r="G317" s="89"/>
      <c r="H317" s="89"/>
      <c r="I317" s="89"/>
      <c r="J317" s="157"/>
      <c r="K317" s="152"/>
      <c r="L317" s="194"/>
      <c r="M317" s="194"/>
      <c r="N317" s="194"/>
      <c r="O317" s="194"/>
      <c r="P317" s="194"/>
      <c r="Q317" s="194"/>
      <c r="R317" s="194"/>
      <c r="S317" s="194"/>
      <c r="T317" s="194"/>
      <c r="U317" s="194"/>
      <c r="V317" s="194"/>
      <c r="W317" s="194"/>
      <c r="X317" s="194"/>
      <c r="Y317" s="194"/>
      <c r="Z317" s="194"/>
    </row>
    <row r="318" spans="1:26" ht="49.95" customHeight="1">
      <c r="A318" s="29" t="s">
        <v>294</v>
      </c>
      <c r="B318" s="33">
        <v>91869</v>
      </c>
      <c r="C318" s="156" t="s">
        <v>550</v>
      </c>
      <c r="D318" s="89"/>
      <c r="E318" s="89"/>
      <c r="F318" s="89"/>
      <c r="G318" s="89"/>
      <c r="H318" s="89"/>
      <c r="I318" s="89"/>
      <c r="J318" s="157"/>
      <c r="K318" s="152"/>
      <c r="L318" s="194"/>
      <c r="M318" s="194"/>
      <c r="N318" s="194"/>
      <c r="O318" s="194"/>
      <c r="P318" s="194"/>
      <c r="Q318" s="194"/>
      <c r="R318" s="194"/>
      <c r="S318" s="194"/>
      <c r="T318" s="194"/>
      <c r="U318" s="194"/>
      <c r="V318" s="194"/>
      <c r="W318" s="194"/>
      <c r="X318" s="194"/>
      <c r="Y318" s="194"/>
      <c r="Z318" s="194"/>
    </row>
    <row r="319" spans="1:26" ht="49.95" customHeight="1">
      <c r="A319" s="29" t="s">
        <v>295</v>
      </c>
      <c r="B319" s="33">
        <v>95728</v>
      </c>
      <c r="C319" s="156" t="s">
        <v>551</v>
      </c>
      <c r="D319" s="89"/>
      <c r="E319" s="89"/>
      <c r="F319" s="89"/>
      <c r="G319" s="89"/>
      <c r="H319" s="89"/>
      <c r="I319" s="89"/>
      <c r="J319" s="157"/>
      <c r="K319" s="152"/>
      <c r="L319" s="194"/>
      <c r="M319" s="194"/>
      <c r="N319" s="194"/>
      <c r="O319" s="194"/>
      <c r="P319" s="194"/>
      <c r="Q319" s="194"/>
      <c r="R319" s="194"/>
      <c r="S319" s="194"/>
      <c r="T319" s="194"/>
      <c r="U319" s="194"/>
      <c r="V319" s="194"/>
      <c r="W319" s="194"/>
      <c r="X319" s="194"/>
      <c r="Y319" s="194"/>
      <c r="Z319" s="194"/>
    </row>
    <row r="320" spans="1:26" ht="49.95" customHeight="1">
      <c r="A320" s="29" t="s">
        <v>296</v>
      </c>
      <c r="B320" s="33">
        <v>91854</v>
      </c>
      <c r="C320" s="156" t="s">
        <v>490</v>
      </c>
      <c r="D320" s="89"/>
      <c r="E320" s="89"/>
      <c r="F320" s="89"/>
      <c r="G320" s="89"/>
      <c r="H320" s="89"/>
      <c r="I320" s="89"/>
      <c r="J320" s="157"/>
      <c r="K320" s="152"/>
      <c r="L320" s="194"/>
      <c r="M320" s="194"/>
      <c r="N320" s="194"/>
      <c r="O320" s="194"/>
      <c r="P320" s="194"/>
      <c r="Q320" s="194"/>
      <c r="R320" s="194"/>
      <c r="S320" s="194"/>
      <c r="T320" s="194"/>
      <c r="U320" s="194"/>
      <c r="V320" s="194"/>
      <c r="W320" s="194"/>
      <c r="X320" s="194"/>
      <c r="Y320" s="194"/>
      <c r="Z320" s="194"/>
    </row>
    <row r="321" spans="1:26" ht="49.95" customHeight="1">
      <c r="A321" s="29" t="s">
        <v>297</v>
      </c>
      <c r="B321" s="33">
        <v>39469</v>
      </c>
      <c r="C321" s="156" t="s">
        <v>552</v>
      </c>
      <c r="D321" s="89"/>
      <c r="E321" s="89"/>
      <c r="F321" s="89"/>
      <c r="G321" s="89"/>
      <c r="H321" s="89"/>
      <c r="I321" s="89"/>
      <c r="J321" s="157"/>
      <c r="K321" s="152"/>
      <c r="L321" s="194"/>
      <c r="M321" s="194"/>
      <c r="N321" s="194"/>
      <c r="O321" s="194"/>
      <c r="P321" s="194"/>
      <c r="Q321" s="194"/>
      <c r="R321" s="194"/>
      <c r="S321" s="194"/>
      <c r="T321" s="194"/>
      <c r="U321" s="194"/>
      <c r="V321" s="194"/>
      <c r="W321" s="194"/>
      <c r="X321" s="194"/>
      <c r="Y321" s="194"/>
      <c r="Z321" s="194"/>
    </row>
    <row r="322" spans="1:26" ht="49.95" customHeight="1">
      <c r="A322" s="29" t="s">
        <v>298</v>
      </c>
      <c r="B322" s="33">
        <v>39470</v>
      </c>
      <c r="C322" s="156" t="s">
        <v>473</v>
      </c>
      <c r="D322" s="89"/>
      <c r="E322" s="89"/>
      <c r="F322" s="89"/>
      <c r="G322" s="89"/>
      <c r="H322" s="89"/>
      <c r="I322" s="89"/>
      <c r="J322" s="157"/>
      <c r="K322" s="152"/>
      <c r="L322" s="194"/>
      <c r="M322" s="194"/>
      <c r="N322" s="194"/>
      <c r="O322" s="194"/>
      <c r="P322" s="194"/>
      <c r="Q322" s="194"/>
      <c r="R322" s="194"/>
      <c r="S322" s="194"/>
      <c r="T322" s="194"/>
      <c r="U322" s="194"/>
      <c r="V322" s="194"/>
      <c r="W322" s="194"/>
      <c r="X322" s="194"/>
      <c r="Y322" s="194"/>
      <c r="Z322" s="194"/>
    </row>
    <row r="323" spans="1:26" ht="49.95" customHeight="1">
      <c r="A323" s="29" t="s">
        <v>299</v>
      </c>
      <c r="B323" s="33">
        <v>16</v>
      </c>
      <c r="C323" s="156" t="s">
        <v>474</v>
      </c>
      <c r="D323" s="89"/>
      <c r="E323" s="89"/>
      <c r="F323" s="89"/>
      <c r="G323" s="89"/>
      <c r="H323" s="89"/>
      <c r="I323" s="89"/>
      <c r="J323" s="157"/>
      <c r="K323" s="152"/>
      <c r="L323" s="194"/>
      <c r="M323" s="194"/>
      <c r="N323" s="194"/>
      <c r="O323" s="194"/>
      <c r="P323" s="194"/>
      <c r="Q323" s="194"/>
      <c r="R323" s="194"/>
      <c r="S323" s="194"/>
      <c r="T323" s="194"/>
      <c r="U323" s="194"/>
      <c r="V323" s="194"/>
      <c r="W323" s="194"/>
      <c r="X323" s="194"/>
      <c r="Y323" s="194"/>
      <c r="Z323" s="194"/>
    </row>
    <row r="324" spans="1:26" ht="49.95" customHeight="1">
      <c r="A324" s="29" t="s">
        <v>300</v>
      </c>
      <c r="B324" s="33">
        <v>93653</v>
      </c>
      <c r="C324" s="156" t="s">
        <v>475</v>
      </c>
      <c r="D324" s="89"/>
      <c r="E324" s="89"/>
      <c r="F324" s="89"/>
      <c r="G324" s="89"/>
      <c r="H324" s="89"/>
      <c r="I324" s="89"/>
      <c r="J324" s="157"/>
      <c r="K324" s="152"/>
      <c r="L324" s="194"/>
      <c r="M324" s="194"/>
      <c r="N324" s="194"/>
      <c r="O324" s="194"/>
      <c r="P324" s="194"/>
      <c r="Q324" s="194"/>
      <c r="R324" s="194"/>
      <c r="S324" s="194"/>
      <c r="T324" s="194"/>
      <c r="U324" s="194"/>
      <c r="V324" s="194"/>
      <c r="W324" s="194"/>
      <c r="X324" s="194"/>
      <c r="Y324" s="194"/>
      <c r="Z324" s="194"/>
    </row>
    <row r="325" spans="1:26" ht="49.95" customHeight="1">
      <c r="A325" s="29" t="s">
        <v>301</v>
      </c>
      <c r="B325" s="33">
        <v>93657</v>
      </c>
      <c r="C325" s="156" t="s">
        <v>477</v>
      </c>
      <c r="D325" s="89"/>
      <c r="E325" s="89"/>
      <c r="F325" s="89"/>
      <c r="G325" s="89"/>
      <c r="H325" s="89"/>
      <c r="I325" s="89"/>
      <c r="J325" s="157"/>
      <c r="K325" s="152"/>
      <c r="L325" s="194"/>
      <c r="M325" s="194"/>
      <c r="N325" s="194"/>
      <c r="O325" s="194"/>
      <c r="P325" s="194"/>
      <c r="Q325" s="194"/>
      <c r="R325" s="194"/>
      <c r="S325" s="194"/>
      <c r="T325" s="194"/>
      <c r="U325" s="194"/>
      <c r="V325" s="194"/>
      <c r="W325" s="194"/>
      <c r="X325" s="194"/>
      <c r="Y325" s="194"/>
      <c r="Z325" s="194"/>
    </row>
    <row r="326" spans="1:26" ht="25.05" customHeight="1">
      <c r="A326" s="91" t="s">
        <v>302</v>
      </c>
      <c r="B326" s="211" t="s">
        <v>303</v>
      </c>
      <c r="C326" s="211"/>
      <c r="D326" s="147"/>
      <c r="E326" s="147"/>
      <c r="F326" s="147"/>
      <c r="G326" s="147"/>
      <c r="H326" s="150"/>
      <c r="I326" s="150"/>
      <c r="J326" s="150"/>
      <c r="K326" s="150"/>
      <c r="L326" s="194"/>
      <c r="M326" s="194"/>
      <c r="N326" s="194"/>
      <c r="O326" s="194"/>
      <c r="P326" s="194"/>
      <c r="Q326" s="194"/>
      <c r="R326" s="194"/>
      <c r="S326" s="194"/>
      <c r="T326" s="194"/>
      <c r="U326" s="194"/>
      <c r="V326" s="194"/>
      <c r="W326" s="194"/>
      <c r="X326" s="194"/>
      <c r="Y326" s="194"/>
      <c r="Z326" s="194"/>
    </row>
    <row r="327" spans="1:26" ht="49.95" customHeight="1">
      <c r="A327" s="29" t="s">
        <v>304</v>
      </c>
      <c r="B327" s="33">
        <v>98102</v>
      </c>
      <c r="C327" s="156" t="s">
        <v>553</v>
      </c>
      <c r="D327" s="89"/>
      <c r="E327" s="89"/>
      <c r="F327" s="89"/>
      <c r="G327" s="89"/>
      <c r="H327" s="89"/>
      <c r="I327" s="89"/>
      <c r="J327" s="157"/>
      <c r="K327" s="152"/>
      <c r="L327" s="194"/>
      <c r="M327" s="194"/>
      <c r="N327" s="194"/>
      <c r="O327" s="194"/>
      <c r="P327" s="194"/>
      <c r="Q327" s="194"/>
      <c r="R327" s="194"/>
      <c r="S327" s="194"/>
      <c r="T327" s="194"/>
      <c r="U327" s="194"/>
      <c r="V327" s="194"/>
      <c r="W327" s="194"/>
      <c r="X327" s="194"/>
      <c r="Y327" s="194"/>
      <c r="Z327" s="194"/>
    </row>
    <row r="328" spans="1:26" ht="49.95" customHeight="1">
      <c r="A328" s="29" t="s">
        <v>305</v>
      </c>
      <c r="B328" s="89">
        <v>104063</v>
      </c>
      <c r="C328" s="156" t="s">
        <v>554</v>
      </c>
      <c r="D328" s="89"/>
      <c r="E328" s="89"/>
      <c r="F328" s="89"/>
      <c r="G328" s="89"/>
      <c r="H328" s="89"/>
      <c r="I328" s="89"/>
      <c r="J328" s="157"/>
      <c r="K328" s="152"/>
      <c r="L328" s="194"/>
      <c r="M328" s="194"/>
      <c r="N328" s="194"/>
      <c r="O328" s="194"/>
      <c r="P328" s="194"/>
      <c r="Q328" s="194"/>
      <c r="R328" s="194"/>
      <c r="S328" s="194"/>
      <c r="T328" s="194"/>
      <c r="U328" s="194"/>
      <c r="V328" s="194"/>
      <c r="W328" s="194"/>
      <c r="X328" s="194"/>
      <c r="Y328" s="194"/>
      <c r="Z328" s="194"/>
    </row>
    <row r="329" spans="1:26" ht="49.95" customHeight="1">
      <c r="A329" s="29" t="s">
        <v>306</v>
      </c>
      <c r="B329" s="33">
        <v>89726</v>
      </c>
      <c r="C329" s="156" t="s">
        <v>498</v>
      </c>
      <c r="D329" s="89"/>
      <c r="E329" s="89"/>
      <c r="F329" s="89"/>
      <c r="G329" s="89"/>
      <c r="H329" s="89"/>
      <c r="I329" s="89"/>
      <c r="J329" s="157"/>
      <c r="K329" s="152"/>
      <c r="L329" s="194"/>
      <c r="M329" s="194"/>
      <c r="N329" s="194"/>
      <c r="O329" s="194"/>
      <c r="P329" s="194"/>
      <c r="Q329" s="194"/>
      <c r="R329" s="194"/>
      <c r="S329" s="194"/>
      <c r="T329" s="194"/>
      <c r="U329" s="194"/>
      <c r="V329" s="194"/>
      <c r="W329" s="194"/>
      <c r="X329" s="194"/>
      <c r="Y329" s="194"/>
      <c r="Z329" s="194"/>
    </row>
    <row r="330" spans="1:26" ht="49.95" customHeight="1">
      <c r="A330" s="29" t="s">
        <v>307</v>
      </c>
      <c r="B330" s="33">
        <v>89732</v>
      </c>
      <c r="C330" s="156" t="s">
        <v>499</v>
      </c>
      <c r="D330" s="89"/>
      <c r="E330" s="89"/>
      <c r="F330" s="89"/>
      <c r="G330" s="89"/>
      <c r="H330" s="89"/>
      <c r="I330" s="89"/>
      <c r="J330" s="157"/>
      <c r="K330" s="152"/>
      <c r="L330" s="194"/>
      <c r="M330" s="194"/>
      <c r="N330" s="194"/>
      <c r="O330" s="194"/>
      <c r="P330" s="194"/>
      <c r="Q330" s="194"/>
      <c r="R330" s="194"/>
      <c r="S330" s="194"/>
      <c r="T330" s="194"/>
      <c r="U330" s="194"/>
      <c r="V330" s="194"/>
      <c r="W330" s="194"/>
      <c r="X330" s="194"/>
      <c r="Y330" s="194"/>
      <c r="Z330" s="194"/>
    </row>
    <row r="331" spans="1:26" ht="49.95" customHeight="1">
      <c r="A331" s="29" t="s">
        <v>308</v>
      </c>
      <c r="B331" s="33">
        <v>89724</v>
      </c>
      <c r="C331" s="156" t="s">
        <v>500</v>
      </c>
      <c r="D331" s="89"/>
      <c r="E331" s="89"/>
      <c r="F331" s="89"/>
      <c r="G331" s="89"/>
      <c r="H331" s="89"/>
      <c r="I331" s="89"/>
      <c r="J331" s="157"/>
      <c r="K331" s="152"/>
      <c r="L331" s="194"/>
      <c r="M331" s="194"/>
      <c r="N331" s="194"/>
      <c r="O331" s="194"/>
      <c r="P331" s="194"/>
      <c r="Q331" s="194"/>
      <c r="R331" s="194"/>
      <c r="S331" s="194"/>
      <c r="T331" s="194"/>
      <c r="U331" s="194"/>
      <c r="V331" s="194"/>
      <c r="W331" s="194"/>
      <c r="X331" s="194"/>
      <c r="Y331" s="194"/>
      <c r="Z331" s="194"/>
    </row>
    <row r="332" spans="1:26" ht="49.95" customHeight="1">
      <c r="A332" s="29" t="s">
        <v>309</v>
      </c>
      <c r="B332" s="33">
        <v>89731</v>
      </c>
      <c r="C332" s="156" t="s">
        <v>465</v>
      </c>
      <c r="D332" s="89"/>
      <c r="E332" s="89"/>
      <c r="F332" s="89"/>
      <c r="G332" s="89"/>
      <c r="H332" s="89"/>
      <c r="I332" s="89"/>
      <c r="J332" s="157"/>
      <c r="K332" s="152"/>
      <c r="L332" s="194"/>
      <c r="M332" s="194"/>
      <c r="N332" s="194"/>
      <c r="O332" s="194"/>
      <c r="P332" s="194"/>
      <c r="Q332" s="194"/>
      <c r="R332" s="194"/>
      <c r="S332" s="194"/>
      <c r="T332" s="194"/>
      <c r="U332" s="194"/>
      <c r="V332" s="194"/>
      <c r="W332" s="194"/>
      <c r="X332" s="194"/>
      <c r="Y332" s="194"/>
      <c r="Z332" s="194"/>
    </row>
    <row r="333" spans="1:26" ht="49.95" customHeight="1">
      <c r="A333" s="29" t="s">
        <v>310</v>
      </c>
      <c r="B333" s="33">
        <v>89744</v>
      </c>
      <c r="C333" s="156" t="s">
        <v>501</v>
      </c>
      <c r="D333" s="89"/>
      <c r="E333" s="89"/>
      <c r="F333" s="89"/>
      <c r="G333" s="89"/>
      <c r="H333" s="89"/>
      <c r="I333" s="89"/>
      <c r="J333" s="157"/>
      <c r="K333" s="152"/>
      <c r="L333" s="194"/>
      <c r="M333" s="194"/>
      <c r="N333" s="194"/>
      <c r="O333" s="194"/>
      <c r="P333" s="194"/>
      <c r="Q333" s="194"/>
      <c r="R333" s="194"/>
      <c r="S333" s="194"/>
      <c r="T333" s="194"/>
      <c r="U333" s="194"/>
      <c r="V333" s="194"/>
      <c r="W333" s="194"/>
      <c r="X333" s="194"/>
      <c r="Y333" s="194"/>
      <c r="Z333" s="194"/>
    </row>
    <row r="334" spans="1:26" ht="49.95" customHeight="1">
      <c r="A334" s="29" t="s">
        <v>311</v>
      </c>
      <c r="B334" s="33">
        <v>104353</v>
      </c>
      <c r="C334" s="156" t="s">
        <v>503</v>
      </c>
      <c r="D334" s="89"/>
      <c r="E334" s="89"/>
      <c r="F334" s="89"/>
      <c r="G334" s="89"/>
      <c r="H334" s="89"/>
      <c r="I334" s="89"/>
      <c r="J334" s="157"/>
      <c r="K334" s="152"/>
      <c r="L334" s="194"/>
      <c r="M334" s="194"/>
      <c r="N334" s="194"/>
      <c r="O334" s="194"/>
      <c r="P334" s="194"/>
      <c r="Q334" s="194"/>
      <c r="R334" s="194"/>
      <c r="S334" s="194"/>
      <c r="T334" s="194"/>
      <c r="U334" s="194"/>
      <c r="V334" s="194"/>
      <c r="W334" s="194"/>
      <c r="X334" s="194"/>
      <c r="Y334" s="194"/>
      <c r="Z334" s="194"/>
    </row>
    <row r="335" spans="1:26" ht="49.95" customHeight="1">
      <c r="A335" s="29" t="s">
        <v>312</v>
      </c>
      <c r="B335" s="33">
        <v>89779</v>
      </c>
      <c r="C335" s="156" t="s">
        <v>555</v>
      </c>
      <c r="D335" s="89"/>
      <c r="E335" s="89"/>
      <c r="F335" s="89"/>
      <c r="G335" s="89"/>
      <c r="H335" s="89"/>
      <c r="I335" s="89"/>
      <c r="J335" s="157"/>
      <c r="K335" s="152"/>
      <c r="L335" s="194"/>
      <c r="M335" s="194"/>
      <c r="N335" s="194"/>
      <c r="O335" s="194"/>
      <c r="P335" s="194"/>
      <c r="Q335" s="194"/>
      <c r="R335" s="194"/>
      <c r="S335" s="194"/>
      <c r="T335" s="194"/>
      <c r="U335" s="194"/>
      <c r="V335" s="194"/>
      <c r="W335" s="194"/>
      <c r="X335" s="194"/>
      <c r="Y335" s="194"/>
      <c r="Z335" s="194"/>
    </row>
    <row r="336" spans="1:26" ht="49.95" customHeight="1">
      <c r="A336" s="29" t="s">
        <v>313</v>
      </c>
      <c r="B336" s="89">
        <v>104348</v>
      </c>
      <c r="C336" s="156" t="s">
        <v>504</v>
      </c>
      <c r="D336" s="89"/>
      <c r="E336" s="89"/>
      <c r="F336" s="89"/>
      <c r="G336" s="89"/>
      <c r="H336" s="89"/>
      <c r="I336" s="89"/>
      <c r="J336" s="157"/>
      <c r="K336" s="152"/>
      <c r="L336" s="194"/>
      <c r="M336" s="194"/>
      <c r="N336" s="194"/>
      <c r="O336" s="194"/>
      <c r="P336" s="194"/>
      <c r="Q336" s="194"/>
      <c r="R336" s="194"/>
      <c r="S336" s="194"/>
      <c r="T336" s="194"/>
      <c r="U336" s="194"/>
      <c r="V336" s="194"/>
      <c r="W336" s="194"/>
      <c r="X336" s="194"/>
      <c r="Y336" s="194"/>
      <c r="Z336" s="194"/>
    </row>
    <row r="337" spans="1:26" ht="49.95" customHeight="1">
      <c r="A337" s="29" t="s">
        <v>314</v>
      </c>
      <c r="B337" s="33">
        <v>89696</v>
      </c>
      <c r="C337" s="156" t="s">
        <v>556</v>
      </c>
      <c r="D337" s="89"/>
      <c r="E337" s="89"/>
      <c r="F337" s="89"/>
      <c r="G337" s="89"/>
      <c r="H337" s="89"/>
      <c r="I337" s="89"/>
      <c r="J337" s="157"/>
      <c r="K337" s="152"/>
      <c r="L337" s="194"/>
      <c r="M337" s="194"/>
      <c r="N337" s="194"/>
      <c r="O337" s="194"/>
      <c r="P337" s="194"/>
      <c r="Q337" s="194"/>
      <c r="R337" s="194"/>
      <c r="S337" s="194"/>
      <c r="T337" s="194"/>
      <c r="U337" s="194"/>
      <c r="V337" s="194"/>
      <c r="W337" s="194"/>
      <c r="X337" s="194"/>
      <c r="Y337" s="194"/>
      <c r="Z337" s="194"/>
    </row>
    <row r="338" spans="1:26" ht="49.95" customHeight="1">
      <c r="A338" s="29" t="s">
        <v>315</v>
      </c>
      <c r="B338" s="33">
        <v>104329</v>
      </c>
      <c r="C338" s="156" t="s">
        <v>507</v>
      </c>
      <c r="D338" s="89"/>
      <c r="E338" s="89"/>
      <c r="F338" s="89"/>
      <c r="G338" s="89"/>
      <c r="H338" s="89"/>
      <c r="I338" s="89"/>
      <c r="J338" s="157"/>
      <c r="K338" s="152"/>
      <c r="L338" s="194"/>
      <c r="M338" s="194"/>
      <c r="N338" s="194"/>
      <c r="O338" s="194"/>
      <c r="P338" s="194"/>
      <c r="Q338" s="194"/>
      <c r="R338" s="194"/>
      <c r="S338" s="194"/>
      <c r="T338" s="194"/>
      <c r="U338" s="194"/>
      <c r="V338" s="194"/>
      <c r="W338" s="194"/>
      <c r="X338" s="194"/>
      <c r="Y338" s="194"/>
      <c r="Z338" s="194"/>
    </row>
    <row r="339" spans="1:26" ht="49.95" customHeight="1">
      <c r="A339" s="29" t="s">
        <v>316</v>
      </c>
      <c r="B339" s="89">
        <v>11745</v>
      </c>
      <c r="C339" s="156" t="s">
        <v>557</v>
      </c>
      <c r="D339" s="89"/>
      <c r="E339" s="89"/>
      <c r="F339" s="89"/>
      <c r="G339" s="89"/>
      <c r="H339" s="89"/>
      <c r="I339" s="89"/>
      <c r="J339" s="157"/>
      <c r="K339" s="152"/>
      <c r="L339" s="194"/>
      <c r="M339" s="194"/>
      <c r="N339" s="194"/>
      <c r="O339" s="194"/>
      <c r="P339" s="194"/>
      <c r="Q339" s="194"/>
      <c r="R339" s="194"/>
      <c r="S339" s="194"/>
      <c r="T339" s="194"/>
      <c r="U339" s="194"/>
      <c r="V339" s="194"/>
      <c r="W339" s="194"/>
      <c r="X339" s="194"/>
      <c r="Y339" s="194"/>
      <c r="Z339" s="194"/>
    </row>
    <row r="340" spans="1:26" ht="49.95" customHeight="1">
      <c r="A340" s="29" t="s">
        <v>317</v>
      </c>
      <c r="B340" s="33">
        <v>89711</v>
      </c>
      <c r="C340" s="156" t="s">
        <v>558</v>
      </c>
      <c r="D340" s="89"/>
      <c r="E340" s="89"/>
      <c r="F340" s="89"/>
      <c r="G340" s="89"/>
      <c r="H340" s="89"/>
      <c r="I340" s="89"/>
      <c r="J340" s="157"/>
      <c r="K340" s="152"/>
      <c r="L340" s="194"/>
      <c r="M340" s="194"/>
      <c r="N340" s="194"/>
      <c r="O340" s="194"/>
      <c r="P340" s="194"/>
      <c r="Q340" s="194"/>
      <c r="R340" s="194"/>
      <c r="S340" s="194"/>
      <c r="T340" s="194"/>
      <c r="U340" s="194"/>
      <c r="V340" s="194"/>
      <c r="W340" s="194"/>
      <c r="X340" s="194"/>
      <c r="Y340" s="194"/>
      <c r="Z340" s="194"/>
    </row>
    <row r="341" spans="1:26" ht="49.95" customHeight="1">
      <c r="A341" s="29" t="s">
        <v>318</v>
      </c>
      <c r="B341" s="33">
        <v>89712</v>
      </c>
      <c r="C341" s="156" t="s">
        <v>509</v>
      </c>
      <c r="D341" s="89"/>
      <c r="E341" s="89"/>
      <c r="F341" s="89"/>
      <c r="G341" s="89"/>
      <c r="H341" s="89"/>
      <c r="I341" s="89"/>
      <c r="J341" s="157"/>
      <c r="K341" s="152"/>
      <c r="L341" s="194"/>
      <c r="M341" s="194"/>
      <c r="N341" s="194"/>
      <c r="O341" s="194"/>
      <c r="P341" s="194"/>
      <c r="Q341" s="194"/>
      <c r="R341" s="194"/>
      <c r="S341" s="194"/>
      <c r="T341" s="194"/>
      <c r="U341" s="194"/>
      <c r="V341" s="194"/>
      <c r="W341" s="194"/>
      <c r="X341" s="194"/>
      <c r="Y341" s="194"/>
      <c r="Z341" s="194"/>
    </row>
    <row r="342" spans="1:26" ht="49.95" customHeight="1">
      <c r="A342" s="29" t="s">
        <v>319</v>
      </c>
      <c r="B342" s="33">
        <v>89714</v>
      </c>
      <c r="C342" s="156" t="s">
        <v>510</v>
      </c>
      <c r="D342" s="89"/>
      <c r="E342" s="89"/>
      <c r="F342" s="89"/>
      <c r="G342" s="89"/>
      <c r="H342" s="89"/>
      <c r="I342" s="89"/>
      <c r="J342" s="157"/>
      <c r="K342" s="152"/>
      <c r="L342" s="194"/>
      <c r="M342" s="194"/>
      <c r="N342" s="194"/>
      <c r="O342" s="194"/>
      <c r="P342" s="194"/>
      <c r="Q342" s="194"/>
      <c r="R342" s="194"/>
      <c r="S342" s="194"/>
      <c r="T342" s="194"/>
      <c r="U342" s="194"/>
      <c r="V342" s="194"/>
      <c r="W342" s="194"/>
      <c r="X342" s="194"/>
      <c r="Y342" s="194"/>
      <c r="Z342" s="194"/>
    </row>
    <row r="343" spans="1:26" ht="49.95" customHeight="1">
      <c r="A343" s="29" t="s">
        <v>320</v>
      </c>
      <c r="B343" s="33">
        <v>89696</v>
      </c>
      <c r="C343" s="156" t="s">
        <v>556</v>
      </c>
      <c r="D343" s="89"/>
      <c r="E343" s="89"/>
      <c r="F343" s="89"/>
      <c r="G343" s="89"/>
      <c r="H343" s="89"/>
      <c r="I343" s="89"/>
      <c r="J343" s="157"/>
      <c r="K343" s="152"/>
      <c r="L343" s="194"/>
      <c r="M343" s="194"/>
      <c r="N343" s="194"/>
      <c r="O343" s="194"/>
      <c r="P343" s="194"/>
      <c r="Q343" s="194"/>
      <c r="R343" s="194"/>
      <c r="S343" s="194"/>
      <c r="T343" s="194"/>
      <c r="U343" s="194"/>
      <c r="V343" s="194"/>
      <c r="W343" s="194"/>
      <c r="X343" s="194"/>
      <c r="Y343" s="194"/>
      <c r="Z343" s="194"/>
    </row>
    <row r="344" spans="1:26" ht="49.95" customHeight="1">
      <c r="A344" s="29" t="s">
        <v>321</v>
      </c>
      <c r="B344" s="33">
        <v>98083</v>
      </c>
      <c r="C344" s="156" t="s">
        <v>559</v>
      </c>
      <c r="D344" s="89"/>
      <c r="E344" s="89"/>
      <c r="F344" s="89"/>
      <c r="G344" s="89"/>
      <c r="H344" s="89"/>
      <c r="I344" s="89"/>
      <c r="J344" s="157"/>
      <c r="K344" s="152"/>
      <c r="L344" s="194"/>
      <c r="M344" s="194"/>
      <c r="N344" s="194"/>
      <c r="O344" s="194"/>
      <c r="P344" s="194"/>
      <c r="Q344" s="194"/>
      <c r="R344" s="194"/>
      <c r="S344" s="194"/>
      <c r="T344" s="194"/>
      <c r="U344" s="194"/>
      <c r="V344" s="194"/>
      <c r="W344" s="194"/>
      <c r="X344" s="194"/>
      <c r="Y344" s="194"/>
      <c r="Z344" s="194"/>
    </row>
    <row r="345" spans="1:26" ht="25.05" customHeight="1">
      <c r="A345" s="91" t="s">
        <v>322</v>
      </c>
      <c r="B345" s="211" t="s">
        <v>21</v>
      </c>
      <c r="C345" s="211"/>
      <c r="D345" s="147"/>
      <c r="E345" s="147"/>
      <c r="F345" s="147"/>
      <c r="G345" s="147"/>
      <c r="H345" s="150"/>
      <c r="I345" s="150"/>
      <c r="J345" s="150"/>
      <c r="K345" s="150"/>
      <c r="L345" s="194"/>
      <c r="M345" s="194"/>
      <c r="N345" s="194"/>
      <c r="O345" s="194"/>
      <c r="P345" s="194"/>
      <c r="Q345" s="194"/>
      <c r="R345" s="194"/>
      <c r="S345" s="194"/>
      <c r="T345" s="194"/>
      <c r="U345" s="194"/>
      <c r="V345" s="194"/>
      <c r="W345" s="194"/>
      <c r="X345" s="194"/>
      <c r="Y345" s="194"/>
      <c r="Z345" s="194"/>
    </row>
    <row r="346" spans="1:26" ht="49.95" customHeight="1">
      <c r="A346" s="29" t="s">
        <v>323</v>
      </c>
      <c r="B346" s="33">
        <v>94204</v>
      </c>
      <c r="C346" s="156" t="s">
        <v>517</v>
      </c>
      <c r="D346" s="89"/>
      <c r="E346" s="89"/>
      <c r="F346" s="89"/>
      <c r="G346" s="89"/>
      <c r="H346" s="89"/>
      <c r="I346" s="89"/>
      <c r="J346" s="157"/>
      <c r="K346" s="152"/>
      <c r="L346" s="194"/>
      <c r="M346" s="194"/>
      <c r="N346" s="194"/>
      <c r="O346" s="194"/>
      <c r="P346" s="194"/>
      <c r="Q346" s="194"/>
      <c r="R346" s="194"/>
      <c r="S346" s="194"/>
      <c r="T346" s="194"/>
      <c r="U346" s="194"/>
      <c r="V346" s="194"/>
      <c r="W346" s="194"/>
      <c r="X346" s="194"/>
      <c r="Y346" s="194"/>
      <c r="Z346" s="194"/>
    </row>
    <row r="347" spans="1:26" ht="49.95" customHeight="1">
      <c r="A347" s="29" t="s">
        <v>324</v>
      </c>
      <c r="B347" s="89">
        <v>92540</v>
      </c>
      <c r="C347" s="156" t="s">
        <v>518</v>
      </c>
      <c r="D347" s="89"/>
      <c r="E347" s="89"/>
      <c r="F347" s="89"/>
      <c r="G347" s="89"/>
      <c r="H347" s="89"/>
      <c r="I347" s="89"/>
      <c r="J347" s="157"/>
      <c r="K347" s="152"/>
      <c r="L347" s="194"/>
      <c r="M347" s="194"/>
      <c r="N347" s="194"/>
      <c r="O347" s="194"/>
      <c r="P347" s="194"/>
      <c r="Q347" s="194"/>
      <c r="R347" s="194"/>
      <c r="S347" s="194"/>
      <c r="T347" s="194"/>
      <c r="U347" s="194"/>
      <c r="V347" s="194"/>
      <c r="W347" s="194"/>
      <c r="X347" s="194"/>
      <c r="Y347" s="194"/>
      <c r="Z347" s="194"/>
    </row>
    <row r="348" spans="1:26" ht="49.95" customHeight="1">
      <c r="A348" s="29" t="s">
        <v>325</v>
      </c>
      <c r="B348" s="33">
        <v>92545</v>
      </c>
      <c r="C348" s="156" t="s">
        <v>560</v>
      </c>
      <c r="D348" s="89"/>
      <c r="E348" s="89"/>
      <c r="F348" s="89"/>
      <c r="G348" s="89"/>
      <c r="H348" s="89"/>
      <c r="I348" s="89"/>
      <c r="J348" s="157"/>
      <c r="K348" s="152"/>
      <c r="L348" s="194"/>
      <c r="M348" s="194"/>
      <c r="N348" s="194"/>
      <c r="O348" s="194"/>
      <c r="P348" s="194"/>
      <c r="Q348" s="194"/>
      <c r="R348" s="194"/>
      <c r="S348" s="194"/>
      <c r="T348" s="194"/>
      <c r="U348" s="194"/>
      <c r="V348" s="194"/>
      <c r="W348" s="194"/>
      <c r="X348" s="194"/>
      <c r="Y348" s="194"/>
      <c r="Z348" s="194"/>
    </row>
    <row r="349" spans="1:26" ht="49.95" customHeight="1">
      <c r="A349" s="29" t="s">
        <v>326</v>
      </c>
      <c r="B349" s="33">
        <v>94221</v>
      </c>
      <c r="C349" s="156" t="s">
        <v>561</v>
      </c>
      <c r="D349" s="89"/>
      <c r="E349" s="89"/>
      <c r="F349" s="89"/>
      <c r="G349" s="89"/>
      <c r="H349" s="89"/>
      <c r="I349" s="89"/>
      <c r="J349" s="157"/>
      <c r="K349" s="152"/>
      <c r="L349" s="194"/>
      <c r="M349" s="194"/>
      <c r="N349" s="194"/>
      <c r="O349" s="194"/>
      <c r="P349" s="194"/>
      <c r="Q349" s="194"/>
      <c r="R349" s="194"/>
      <c r="S349" s="194"/>
      <c r="T349" s="194"/>
      <c r="U349" s="194"/>
      <c r="V349" s="194"/>
      <c r="W349" s="194"/>
      <c r="X349" s="194"/>
      <c r="Y349" s="194"/>
      <c r="Z349" s="194"/>
    </row>
    <row r="350" spans="1:26" ht="49.95" customHeight="1">
      <c r="A350" s="29" t="s">
        <v>327</v>
      </c>
      <c r="B350" s="33">
        <v>102233</v>
      </c>
      <c r="C350" s="156" t="s">
        <v>521</v>
      </c>
      <c r="D350" s="89"/>
      <c r="E350" s="89"/>
      <c r="F350" s="89"/>
      <c r="G350" s="89"/>
      <c r="H350" s="89"/>
      <c r="I350" s="89"/>
      <c r="J350" s="157"/>
      <c r="K350" s="152"/>
      <c r="L350" s="194"/>
      <c r="M350" s="194"/>
      <c r="N350" s="194"/>
      <c r="O350" s="194"/>
      <c r="P350" s="194"/>
      <c r="Q350" s="194"/>
      <c r="R350" s="194"/>
      <c r="S350" s="194"/>
      <c r="T350" s="194"/>
      <c r="U350" s="194"/>
      <c r="V350" s="194"/>
      <c r="W350" s="194"/>
      <c r="X350" s="194"/>
      <c r="Y350" s="194"/>
      <c r="Z350" s="194"/>
    </row>
    <row r="351" spans="1:26" ht="25.05" customHeight="1">
      <c r="A351" s="91" t="s">
        <v>328</v>
      </c>
      <c r="B351" s="211" t="s">
        <v>48</v>
      </c>
      <c r="C351" s="211"/>
      <c r="D351" s="147"/>
      <c r="E351" s="147"/>
      <c r="F351" s="147"/>
      <c r="G351" s="147"/>
      <c r="H351" s="150"/>
      <c r="I351" s="150"/>
      <c r="J351" s="150"/>
      <c r="K351" s="150"/>
      <c r="L351" s="194"/>
      <c r="M351" s="194"/>
      <c r="N351" s="194"/>
      <c r="O351" s="194"/>
      <c r="P351" s="194"/>
      <c r="Q351" s="194"/>
      <c r="R351" s="194"/>
      <c r="S351" s="194"/>
      <c r="T351" s="194"/>
      <c r="U351" s="194"/>
      <c r="V351" s="194"/>
      <c r="W351" s="194"/>
      <c r="X351" s="194"/>
      <c r="Y351" s="194"/>
      <c r="Z351" s="194"/>
    </row>
    <row r="352" spans="1:26" ht="49.95" customHeight="1">
      <c r="A352" s="29" t="s">
        <v>329</v>
      </c>
      <c r="B352" s="33">
        <v>90822</v>
      </c>
      <c r="C352" s="156" t="s">
        <v>562</v>
      </c>
      <c r="D352" s="89"/>
      <c r="E352" s="89"/>
      <c r="F352" s="89"/>
      <c r="G352" s="89"/>
      <c r="H352" s="89"/>
      <c r="I352" s="89"/>
      <c r="J352" s="157"/>
      <c r="K352" s="152"/>
      <c r="L352" s="194"/>
      <c r="M352" s="194"/>
      <c r="N352" s="194"/>
      <c r="O352" s="194"/>
      <c r="P352" s="194"/>
      <c r="Q352" s="194"/>
      <c r="R352" s="194"/>
      <c r="S352" s="194"/>
      <c r="T352" s="194"/>
      <c r="U352" s="194"/>
      <c r="V352" s="194"/>
      <c r="W352" s="194"/>
      <c r="X352" s="194"/>
      <c r="Y352" s="194"/>
      <c r="Z352" s="194"/>
    </row>
    <row r="353" spans="1:26" ht="49.95" customHeight="1">
      <c r="A353" s="29" t="s">
        <v>330</v>
      </c>
      <c r="B353" s="89">
        <v>91010</v>
      </c>
      <c r="C353" s="156" t="s">
        <v>563</v>
      </c>
      <c r="D353" s="89"/>
      <c r="E353" s="89"/>
      <c r="F353" s="89"/>
      <c r="G353" s="89"/>
      <c r="H353" s="89"/>
      <c r="I353" s="89"/>
      <c r="J353" s="157"/>
      <c r="K353" s="152"/>
      <c r="L353" s="194"/>
      <c r="M353" s="194"/>
      <c r="N353" s="194"/>
      <c r="O353" s="194"/>
      <c r="P353" s="194"/>
      <c r="Q353" s="194"/>
      <c r="R353" s="194"/>
      <c r="S353" s="194"/>
      <c r="T353" s="194"/>
      <c r="U353" s="194"/>
      <c r="V353" s="194"/>
      <c r="W353" s="194"/>
      <c r="X353" s="194"/>
      <c r="Y353" s="194"/>
      <c r="Z353" s="194"/>
    </row>
    <row r="354" spans="1:26" ht="49.95" customHeight="1">
      <c r="A354" s="29" t="s">
        <v>331</v>
      </c>
      <c r="B354" s="33">
        <v>101162</v>
      </c>
      <c r="C354" s="156" t="s">
        <v>564</v>
      </c>
      <c r="D354" s="89"/>
      <c r="E354" s="89"/>
      <c r="F354" s="89"/>
      <c r="G354" s="89"/>
      <c r="H354" s="89"/>
      <c r="I354" s="89"/>
      <c r="J354" s="157"/>
      <c r="K354" s="152"/>
      <c r="L354" s="194"/>
      <c r="M354" s="194"/>
      <c r="N354" s="194"/>
      <c r="O354" s="194"/>
      <c r="P354" s="194"/>
      <c r="Q354" s="194"/>
      <c r="R354" s="194"/>
      <c r="S354" s="194"/>
      <c r="T354" s="194"/>
      <c r="U354" s="194"/>
      <c r="V354" s="194"/>
      <c r="W354" s="194"/>
      <c r="X354" s="194"/>
      <c r="Y354" s="194"/>
      <c r="Z354" s="194"/>
    </row>
    <row r="355" spans="1:26" ht="25.05" customHeight="1">
      <c r="A355" s="91">
        <v>4</v>
      </c>
      <c r="B355" s="211" t="s">
        <v>332</v>
      </c>
      <c r="C355" s="211"/>
      <c r="D355" s="147"/>
      <c r="E355" s="147"/>
      <c r="F355" s="147"/>
      <c r="G355" s="147"/>
      <c r="H355" s="150"/>
      <c r="I355" s="150"/>
      <c r="J355" s="150"/>
      <c r="K355" s="150"/>
      <c r="L355" s="194"/>
      <c r="M355" s="194"/>
      <c r="N355" s="194"/>
      <c r="O355" s="194"/>
      <c r="P355" s="194"/>
      <c r="Q355" s="194"/>
      <c r="R355" s="194"/>
      <c r="S355" s="194"/>
      <c r="T355" s="194"/>
      <c r="U355" s="194"/>
      <c r="V355" s="194"/>
      <c r="W355" s="194"/>
      <c r="X355" s="194"/>
      <c r="Y355" s="194"/>
      <c r="Z355" s="194"/>
    </row>
    <row r="356" spans="1:26" ht="25.05" customHeight="1">
      <c r="A356" s="91" t="s">
        <v>22</v>
      </c>
      <c r="B356" s="211" t="s">
        <v>33</v>
      </c>
      <c r="C356" s="211"/>
      <c r="D356" s="147"/>
      <c r="E356" s="147"/>
      <c r="F356" s="147"/>
      <c r="G356" s="147"/>
      <c r="H356" s="150"/>
      <c r="I356" s="150"/>
      <c r="J356" s="150"/>
      <c r="K356" s="150"/>
      <c r="L356" s="194"/>
      <c r="M356" s="194"/>
      <c r="N356" s="194"/>
      <c r="O356" s="194"/>
      <c r="P356" s="194"/>
      <c r="Q356" s="194"/>
      <c r="R356" s="194"/>
      <c r="S356" s="194"/>
      <c r="T356" s="194"/>
      <c r="U356" s="194"/>
      <c r="V356" s="194"/>
      <c r="W356" s="194"/>
      <c r="X356" s="194"/>
      <c r="Y356" s="194"/>
      <c r="Z356" s="194"/>
    </row>
    <row r="357" spans="1:26" ht="49.95" customHeight="1">
      <c r="A357" s="29" t="s">
        <v>335</v>
      </c>
      <c r="B357" s="33">
        <v>93358</v>
      </c>
      <c r="C357" s="156" t="s">
        <v>410</v>
      </c>
      <c r="D357" s="89"/>
      <c r="E357" s="89"/>
      <c r="F357" s="89"/>
      <c r="G357" s="89"/>
      <c r="H357" s="89"/>
      <c r="I357" s="89"/>
      <c r="J357" s="157">
        <v>30.57</v>
      </c>
      <c r="K357" s="152" t="s">
        <v>623</v>
      </c>
      <c r="L357" s="194"/>
      <c r="M357" s="194"/>
      <c r="N357" s="194"/>
      <c r="O357" s="194"/>
      <c r="P357" s="194"/>
      <c r="Q357" s="194"/>
      <c r="R357" s="194"/>
      <c r="S357" s="194"/>
      <c r="T357" s="194"/>
      <c r="U357" s="194"/>
      <c r="V357" s="194"/>
      <c r="W357" s="194"/>
      <c r="X357" s="194"/>
      <c r="Y357" s="194"/>
      <c r="Z357" s="194"/>
    </row>
    <row r="358" spans="1:26" ht="19.95" customHeight="1">
      <c r="A358" s="29" t="s">
        <v>754</v>
      </c>
      <c r="B358" s="108"/>
      <c r="C358" s="34" t="s">
        <v>822</v>
      </c>
      <c r="D358" s="89">
        <v>2</v>
      </c>
      <c r="E358" s="89">
        <v>0.65</v>
      </c>
      <c r="F358" s="89">
        <v>0.7</v>
      </c>
      <c r="G358" s="89">
        <v>1.35</v>
      </c>
      <c r="H358" s="151">
        <v>0.61424999999999996</v>
      </c>
      <c r="I358" s="151">
        <v>1.23</v>
      </c>
      <c r="J358" s="152"/>
      <c r="K358" s="152"/>
      <c r="L358" s="194"/>
      <c r="M358" s="194"/>
      <c r="N358" s="194"/>
      <c r="O358" s="194"/>
      <c r="P358" s="194"/>
      <c r="Q358" s="194"/>
      <c r="R358" s="194"/>
      <c r="S358" s="194"/>
      <c r="T358" s="194"/>
      <c r="U358" s="194"/>
      <c r="V358" s="194"/>
      <c r="W358" s="194"/>
      <c r="X358" s="194"/>
      <c r="Y358" s="194"/>
      <c r="Z358" s="194"/>
    </row>
    <row r="359" spans="1:26" ht="19.95" customHeight="1">
      <c r="A359" s="29" t="s">
        <v>755</v>
      </c>
      <c r="B359" s="108"/>
      <c r="C359" s="34" t="s">
        <v>823</v>
      </c>
      <c r="D359" s="89">
        <v>10</v>
      </c>
      <c r="E359" s="89">
        <v>0.8</v>
      </c>
      <c r="F359" s="89">
        <v>0.85</v>
      </c>
      <c r="G359" s="89">
        <v>1.35</v>
      </c>
      <c r="H359" s="151">
        <v>0.91800000000000004</v>
      </c>
      <c r="I359" s="151">
        <v>9.18</v>
      </c>
      <c r="J359" s="152"/>
      <c r="K359" s="152"/>
      <c r="L359" s="194"/>
      <c r="M359" s="194"/>
      <c r="N359" s="194"/>
      <c r="O359" s="194"/>
      <c r="P359" s="194"/>
      <c r="Q359" s="194"/>
      <c r="R359" s="194"/>
      <c r="S359" s="194"/>
      <c r="T359" s="194"/>
      <c r="U359" s="194"/>
      <c r="V359" s="194"/>
      <c r="W359" s="194"/>
      <c r="X359" s="194"/>
      <c r="Y359" s="194"/>
      <c r="Z359" s="194"/>
    </row>
    <row r="360" spans="1:26" ht="19.95" customHeight="1">
      <c r="A360" s="29" t="s">
        <v>756</v>
      </c>
      <c r="B360" s="108"/>
      <c r="C360" s="34" t="s">
        <v>824</v>
      </c>
      <c r="D360" s="89">
        <v>13</v>
      </c>
      <c r="E360" s="89">
        <v>0.95</v>
      </c>
      <c r="F360" s="89">
        <v>0.95</v>
      </c>
      <c r="G360" s="89">
        <v>1.35</v>
      </c>
      <c r="H360" s="151">
        <v>1.218375</v>
      </c>
      <c r="I360" s="151">
        <v>15.84</v>
      </c>
      <c r="J360" s="152"/>
      <c r="K360" s="152"/>
      <c r="L360" s="194"/>
      <c r="M360" s="194"/>
      <c r="N360" s="194"/>
      <c r="O360" s="194"/>
      <c r="P360" s="194"/>
      <c r="Q360" s="194"/>
      <c r="R360" s="194"/>
      <c r="S360" s="194"/>
      <c r="T360" s="194"/>
      <c r="U360" s="194"/>
      <c r="V360" s="194"/>
      <c r="W360" s="194"/>
      <c r="X360" s="194"/>
      <c r="Y360" s="194"/>
      <c r="Z360" s="194"/>
    </row>
    <row r="361" spans="1:26" ht="19.95" customHeight="1">
      <c r="A361" s="29" t="s">
        <v>757</v>
      </c>
      <c r="B361" s="108"/>
      <c r="C361" s="34" t="s">
        <v>825</v>
      </c>
      <c r="D361" s="89">
        <v>1</v>
      </c>
      <c r="E361" s="89">
        <v>1</v>
      </c>
      <c r="F361" s="89">
        <v>1.05</v>
      </c>
      <c r="G361" s="89">
        <v>1.35</v>
      </c>
      <c r="H361" s="151">
        <v>1.4175</v>
      </c>
      <c r="I361" s="151">
        <v>1.42</v>
      </c>
      <c r="J361" s="152"/>
      <c r="K361" s="152"/>
      <c r="L361" s="194"/>
      <c r="M361" s="194"/>
      <c r="N361" s="194"/>
      <c r="O361" s="194"/>
      <c r="P361" s="194"/>
      <c r="Q361" s="194"/>
      <c r="R361" s="194"/>
      <c r="S361" s="194"/>
      <c r="T361" s="194"/>
      <c r="U361" s="194"/>
      <c r="V361" s="194"/>
      <c r="W361" s="194"/>
      <c r="X361" s="194"/>
      <c r="Y361" s="194"/>
      <c r="Z361" s="194"/>
    </row>
    <row r="362" spans="1:26" ht="19.95" customHeight="1">
      <c r="A362" s="29" t="s">
        <v>758</v>
      </c>
      <c r="B362" s="108"/>
      <c r="C362" s="34" t="s">
        <v>826</v>
      </c>
      <c r="D362" s="89">
        <v>2</v>
      </c>
      <c r="E362" s="89">
        <v>2.15</v>
      </c>
      <c r="F362" s="89">
        <v>0.2</v>
      </c>
      <c r="G362" s="89">
        <v>0.2</v>
      </c>
      <c r="H362" s="151">
        <v>8.5999999999999993E-2</v>
      </c>
      <c r="I362" s="151">
        <v>0.17</v>
      </c>
      <c r="J362" s="152"/>
      <c r="K362" s="152"/>
      <c r="L362" s="194"/>
      <c r="M362" s="194"/>
      <c r="N362" s="194"/>
      <c r="O362" s="194"/>
      <c r="P362" s="194"/>
      <c r="Q362" s="194"/>
      <c r="R362" s="194"/>
      <c r="S362" s="194"/>
      <c r="T362" s="194"/>
      <c r="U362" s="194"/>
      <c r="V362" s="194"/>
      <c r="W362" s="194"/>
      <c r="X362" s="194"/>
      <c r="Y362" s="194"/>
      <c r="Z362" s="194"/>
    </row>
    <row r="363" spans="1:26" ht="19.95" customHeight="1">
      <c r="A363" s="29" t="s">
        <v>759</v>
      </c>
      <c r="B363" s="108"/>
      <c r="C363" s="34" t="s">
        <v>827</v>
      </c>
      <c r="D363" s="89">
        <v>1</v>
      </c>
      <c r="E363" s="89">
        <v>5.67</v>
      </c>
      <c r="F363" s="89">
        <v>0.2</v>
      </c>
      <c r="G363" s="89">
        <v>0.2</v>
      </c>
      <c r="H363" s="151">
        <v>0.2268</v>
      </c>
      <c r="I363" s="151">
        <v>0.23</v>
      </c>
      <c r="J363" s="152"/>
      <c r="K363" s="152"/>
      <c r="L363" s="194"/>
      <c r="M363" s="194"/>
      <c r="N363" s="194"/>
      <c r="O363" s="194"/>
      <c r="P363" s="194"/>
      <c r="Q363" s="194"/>
      <c r="R363" s="194"/>
      <c r="S363" s="194"/>
      <c r="T363" s="194"/>
      <c r="U363" s="194"/>
      <c r="V363" s="194"/>
      <c r="W363" s="194"/>
      <c r="X363" s="194"/>
      <c r="Y363" s="194"/>
      <c r="Z363" s="194"/>
    </row>
    <row r="364" spans="1:26" ht="19.95" customHeight="1">
      <c r="A364" s="29" t="s">
        <v>760</v>
      </c>
      <c r="B364" s="108"/>
      <c r="C364" s="34" t="s">
        <v>828</v>
      </c>
      <c r="D364" s="89">
        <v>2</v>
      </c>
      <c r="E364" s="89">
        <v>3</v>
      </c>
      <c r="F364" s="89">
        <v>0.2</v>
      </c>
      <c r="G364" s="89">
        <v>0.2</v>
      </c>
      <c r="H364" s="151">
        <v>0.12</v>
      </c>
      <c r="I364" s="151">
        <v>0.24</v>
      </c>
      <c r="J364" s="152"/>
      <c r="K364" s="152"/>
      <c r="L364" s="194"/>
      <c r="M364" s="194"/>
      <c r="N364" s="194"/>
      <c r="O364" s="194"/>
      <c r="P364" s="194"/>
      <c r="Q364" s="194"/>
      <c r="R364" s="194"/>
      <c r="S364" s="194"/>
      <c r="T364" s="194"/>
      <c r="U364" s="194"/>
      <c r="V364" s="194"/>
      <c r="W364" s="194"/>
      <c r="X364" s="194"/>
      <c r="Y364" s="194"/>
      <c r="Z364" s="194"/>
    </row>
    <row r="365" spans="1:26" ht="19.95" customHeight="1">
      <c r="A365" s="29" t="s">
        <v>761</v>
      </c>
      <c r="B365" s="108"/>
      <c r="C365" s="34" t="s">
        <v>829</v>
      </c>
      <c r="D365" s="89">
        <v>3</v>
      </c>
      <c r="E365" s="89">
        <v>3</v>
      </c>
      <c r="F365" s="89">
        <v>0.2</v>
      </c>
      <c r="G365" s="89">
        <v>0.2</v>
      </c>
      <c r="H365" s="151">
        <v>0.12</v>
      </c>
      <c r="I365" s="151">
        <v>0.36</v>
      </c>
      <c r="J365" s="152"/>
      <c r="K365" s="152"/>
      <c r="L365" s="194"/>
      <c r="M365" s="194"/>
      <c r="N365" s="194"/>
      <c r="O365" s="194"/>
      <c r="P365" s="194"/>
      <c r="Q365" s="194"/>
      <c r="R365" s="194"/>
      <c r="S365" s="194"/>
      <c r="T365" s="194"/>
      <c r="U365" s="194"/>
      <c r="V365" s="194"/>
      <c r="W365" s="194"/>
      <c r="X365" s="194"/>
      <c r="Y365" s="194"/>
      <c r="Z365" s="194"/>
    </row>
    <row r="366" spans="1:26" ht="19.95" customHeight="1">
      <c r="A366" s="29" t="s">
        <v>762</v>
      </c>
      <c r="B366" s="108"/>
      <c r="C366" s="34" t="s">
        <v>830</v>
      </c>
      <c r="D366" s="89">
        <v>2</v>
      </c>
      <c r="E366" s="89">
        <v>3</v>
      </c>
      <c r="F366" s="89">
        <v>0.2</v>
      </c>
      <c r="G366" s="89">
        <v>0.2</v>
      </c>
      <c r="H366" s="151">
        <v>0.12</v>
      </c>
      <c r="I366" s="151">
        <v>0.24</v>
      </c>
      <c r="J366" s="152"/>
      <c r="K366" s="152"/>
      <c r="L366" s="194"/>
      <c r="M366" s="194"/>
      <c r="N366" s="194"/>
      <c r="O366" s="194"/>
      <c r="P366" s="194"/>
      <c r="Q366" s="194"/>
      <c r="R366" s="194"/>
      <c r="S366" s="194"/>
      <c r="T366" s="194"/>
      <c r="U366" s="194"/>
      <c r="V366" s="194"/>
      <c r="W366" s="194"/>
      <c r="X366" s="194"/>
      <c r="Y366" s="194"/>
      <c r="Z366" s="194"/>
    </row>
    <row r="367" spans="1:26" ht="19.95" customHeight="1">
      <c r="A367" s="29" t="s">
        <v>763</v>
      </c>
      <c r="B367" s="108"/>
      <c r="C367" s="34" t="s">
        <v>831</v>
      </c>
      <c r="D367" s="89">
        <v>2</v>
      </c>
      <c r="E367" s="89">
        <v>3</v>
      </c>
      <c r="F367" s="89">
        <v>0.2</v>
      </c>
      <c r="G367" s="89">
        <v>0.2</v>
      </c>
      <c r="H367" s="151">
        <v>0.12</v>
      </c>
      <c r="I367" s="151">
        <v>0.24</v>
      </c>
      <c r="J367" s="152"/>
      <c r="K367" s="152"/>
      <c r="L367" s="194"/>
      <c r="M367" s="194"/>
      <c r="N367" s="194"/>
      <c r="O367" s="194"/>
      <c r="P367" s="194"/>
      <c r="Q367" s="194"/>
      <c r="R367" s="194"/>
      <c r="S367" s="194"/>
      <c r="T367" s="194"/>
      <c r="U367" s="194"/>
      <c r="V367" s="194"/>
      <c r="W367" s="194"/>
      <c r="X367" s="194"/>
      <c r="Y367" s="194"/>
      <c r="Z367" s="194"/>
    </row>
    <row r="368" spans="1:26" ht="19.95" customHeight="1">
      <c r="A368" s="29" t="s">
        <v>764</v>
      </c>
      <c r="B368" s="108"/>
      <c r="C368" s="34" t="s">
        <v>832</v>
      </c>
      <c r="D368" s="89">
        <v>2</v>
      </c>
      <c r="E368" s="89">
        <v>3</v>
      </c>
      <c r="F368" s="89">
        <v>0.2</v>
      </c>
      <c r="G368" s="89">
        <v>0.2</v>
      </c>
      <c r="H368" s="151">
        <v>0.12</v>
      </c>
      <c r="I368" s="151">
        <v>0.24</v>
      </c>
      <c r="J368" s="152"/>
      <c r="K368" s="152"/>
      <c r="L368" s="194"/>
      <c r="M368" s="194"/>
      <c r="N368" s="194"/>
      <c r="O368" s="194"/>
      <c r="P368" s="194"/>
      <c r="Q368" s="194"/>
      <c r="R368" s="194"/>
      <c r="S368" s="194"/>
      <c r="T368" s="194"/>
      <c r="U368" s="194"/>
      <c r="V368" s="194"/>
      <c r="W368" s="194"/>
      <c r="X368" s="194"/>
      <c r="Y368" s="194"/>
      <c r="Z368" s="194"/>
    </row>
    <row r="369" spans="1:26" ht="19.95" customHeight="1">
      <c r="A369" s="29" t="s">
        <v>765</v>
      </c>
      <c r="B369" s="108"/>
      <c r="C369" s="34" t="s">
        <v>833</v>
      </c>
      <c r="D369" s="89">
        <v>1</v>
      </c>
      <c r="E369" s="89">
        <v>5.78</v>
      </c>
      <c r="F369" s="89">
        <v>0.2</v>
      </c>
      <c r="G369" s="89">
        <v>0.2</v>
      </c>
      <c r="H369" s="151">
        <v>0.23119999999999999</v>
      </c>
      <c r="I369" s="151">
        <v>0.23</v>
      </c>
      <c r="J369" s="152"/>
      <c r="K369" s="152"/>
      <c r="L369" s="194"/>
      <c r="M369" s="194"/>
      <c r="N369" s="194"/>
      <c r="O369" s="194"/>
      <c r="P369" s="194"/>
      <c r="Q369" s="194"/>
      <c r="R369" s="194"/>
      <c r="S369" s="194"/>
      <c r="T369" s="194"/>
      <c r="U369" s="194"/>
      <c r="V369" s="194"/>
      <c r="W369" s="194"/>
      <c r="X369" s="194"/>
      <c r="Y369" s="194"/>
      <c r="Z369" s="194"/>
    </row>
    <row r="370" spans="1:26" ht="19.95" customHeight="1">
      <c r="A370" s="29" t="s">
        <v>766</v>
      </c>
      <c r="B370" s="108"/>
      <c r="C370" s="34" t="s">
        <v>834</v>
      </c>
      <c r="D370" s="89">
        <v>1</v>
      </c>
      <c r="E370" s="89">
        <v>5.78</v>
      </c>
      <c r="F370" s="89">
        <v>0.2</v>
      </c>
      <c r="G370" s="89">
        <v>0.2</v>
      </c>
      <c r="H370" s="151">
        <v>0.23119999999999999</v>
      </c>
      <c r="I370" s="151">
        <v>0.23</v>
      </c>
      <c r="J370" s="152"/>
      <c r="K370" s="152"/>
      <c r="L370" s="194"/>
      <c r="M370" s="194"/>
      <c r="N370" s="194"/>
      <c r="O370" s="194"/>
      <c r="P370" s="194"/>
      <c r="Q370" s="194"/>
      <c r="R370" s="194"/>
      <c r="S370" s="194"/>
      <c r="T370" s="194"/>
      <c r="U370" s="194"/>
      <c r="V370" s="194"/>
      <c r="W370" s="194"/>
      <c r="X370" s="194"/>
      <c r="Y370" s="194"/>
      <c r="Z370" s="194"/>
    </row>
    <row r="371" spans="1:26" ht="19.95" customHeight="1">
      <c r="A371" s="29" t="s">
        <v>767</v>
      </c>
      <c r="B371" s="108"/>
      <c r="C371" s="34" t="s">
        <v>835</v>
      </c>
      <c r="D371" s="89">
        <v>2</v>
      </c>
      <c r="E371" s="89">
        <v>3</v>
      </c>
      <c r="F371" s="89">
        <v>0.2</v>
      </c>
      <c r="G371" s="89">
        <v>0.2</v>
      </c>
      <c r="H371" s="151">
        <v>0.12</v>
      </c>
      <c r="I371" s="151">
        <v>0.24</v>
      </c>
      <c r="J371" s="152"/>
      <c r="K371" s="152"/>
      <c r="L371" s="194"/>
      <c r="M371" s="194"/>
      <c r="N371" s="194"/>
      <c r="O371" s="194"/>
      <c r="P371" s="194"/>
      <c r="Q371" s="194"/>
      <c r="R371" s="194"/>
      <c r="S371" s="194"/>
      <c r="T371" s="194"/>
      <c r="U371" s="194"/>
      <c r="V371" s="194"/>
      <c r="W371" s="194"/>
      <c r="X371" s="194"/>
      <c r="Y371" s="194"/>
      <c r="Z371" s="194"/>
    </row>
    <row r="372" spans="1:26" ht="19.8" customHeight="1">
      <c r="A372" s="29" t="s">
        <v>768</v>
      </c>
      <c r="B372" s="108"/>
      <c r="C372" s="34" t="s">
        <v>836</v>
      </c>
      <c r="D372" s="89">
        <v>2</v>
      </c>
      <c r="E372" s="89">
        <v>3</v>
      </c>
      <c r="F372" s="89">
        <v>0.2</v>
      </c>
      <c r="G372" s="89">
        <v>0.2</v>
      </c>
      <c r="H372" s="151">
        <v>0.12</v>
      </c>
      <c r="I372" s="151">
        <v>0.24</v>
      </c>
      <c r="J372" s="152"/>
      <c r="K372" s="152"/>
      <c r="L372" s="194"/>
      <c r="M372" s="194"/>
      <c r="N372" s="194"/>
      <c r="O372" s="194"/>
      <c r="P372" s="194"/>
      <c r="Q372" s="194"/>
      <c r="R372" s="194"/>
      <c r="S372" s="194"/>
      <c r="T372" s="194"/>
      <c r="U372" s="194"/>
      <c r="V372" s="194"/>
      <c r="W372" s="194"/>
      <c r="X372" s="194"/>
      <c r="Y372" s="194"/>
      <c r="Z372" s="194"/>
    </row>
    <row r="373" spans="1:26" ht="19.95" customHeight="1">
      <c r="A373" s="29" t="s">
        <v>769</v>
      </c>
      <c r="B373" s="108"/>
      <c r="C373" s="34" t="s">
        <v>837</v>
      </c>
      <c r="D373" s="89">
        <v>2</v>
      </c>
      <c r="E373" s="89">
        <v>3</v>
      </c>
      <c r="F373" s="89">
        <v>0.2</v>
      </c>
      <c r="G373" s="89">
        <v>0.2</v>
      </c>
      <c r="H373" s="151">
        <v>0.12</v>
      </c>
      <c r="I373" s="151">
        <v>0.24</v>
      </c>
      <c r="J373" s="152"/>
      <c r="K373" s="152"/>
      <c r="L373" s="194"/>
      <c r="M373" s="194"/>
      <c r="N373" s="194"/>
      <c r="O373" s="194"/>
      <c r="P373" s="194"/>
      <c r="Q373" s="194"/>
      <c r="R373" s="194"/>
      <c r="S373" s="194"/>
      <c r="T373" s="194"/>
      <c r="U373" s="194"/>
      <c r="V373" s="194"/>
      <c r="W373" s="194"/>
      <c r="X373" s="194"/>
      <c r="Y373" s="194"/>
      <c r="Z373" s="194"/>
    </row>
    <row r="374" spans="1:26" ht="49.95" customHeight="1">
      <c r="A374" s="29" t="s">
        <v>336</v>
      </c>
      <c r="B374" s="89">
        <v>104737</v>
      </c>
      <c r="C374" s="156" t="s">
        <v>411</v>
      </c>
      <c r="D374" s="89"/>
      <c r="E374" s="89"/>
      <c r="F374" s="89"/>
      <c r="G374" s="89"/>
      <c r="H374" s="89"/>
      <c r="I374" s="89"/>
      <c r="J374" s="157">
        <v>22.43</v>
      </c>
      <c r="K374" s="152" t="s">
        <v>623</v>
      </c>
      <c r="L374" s="194"/>
      <c r="M374" s="194"/>
      <c r="N374" s="194"/>
      <c r="O374" s="194"/>
      <c r="P374" s="194"/>
      <c r="Q374" s="194"/>
      <c r="R374" s="194"/>
      <c r="S374" s="194"/>
      <c r="T374" s="194"/>
      <c r="U374" s="194"/>
      <c r="V374" s="194"/>
      <c r="W374" s="194"/>
      <c r="X374" s="194"/>
      <c r="Y374" s="194"/>
      <c r="Z374" s="194"/>
    </row>
    <row r="375" spans="1:26" ht="19.95" customHeight="1">
      <c r="A375" s="29" t="s">
        <v>770</v>
      </c>
      <c r="B375" s="108"/>
      <c r="C375" s="34" t="s">
        <v>635</v>
      </c>
      <c r="D375" s="89">
        <v>1</v>
      </c>
      <c r="E375" s="89">
        <v>22.43</v>
      </c>
      <c r="F375" s="89"/>
      <c r="G375" s="89"/>
      <c r="H375" s="151">
        <v>22.43</v>
      </c>
      <c r="I375" s="151">
        <v>22.43</v>
      </c>
      <c r="J375" s="152"/>
      <c r="K375" s="152"/>
      <c r="L375" s="194"/>
      <c r="M375" s="194"/>
      <c r="N375" s="194"/>
      <c r="O375" s="194"/>
      <c r="P375" s="194"/>
      <c r="Q375" s="194"/>
      <c r="R375" s="194"/>
      <c r="S375" s="194"/>
      <c r="T375" s="194"/>
      <c r="U375" s="194"/>
      <c r="V375" s="194"/>
      <c r="W375" s="194"/>
      <c r="X375" s="194"/>
      <c r="Y375" s="194"/>
      <c r="Z375" s="194"/>
    </row>
    <row r="376" spans="1:26" ht="25.05" customHeight="1">
      <c r="A376" s="91" t="s">
        <v>333</v>
      </c>
      <c r="B376" s="211" t="s">
        <v>40</v>
      </c>
      <c r="C376" s="211"/>
      <c r="D376" s="147"/>
      <c r="E376" s="147"/>
      <c r="F376" s="147"/>
      <c r="G376" s="147"/>
      <c r="H376" s="150"/>
      <c r="I376" s="150"/>
      <c r="J376" s="150"/>
      <c r="K376" s="150"/>
      <c r="L376" s="194"/>
      <c r="M376" s="194"/>
      <c r="N376" s="194"/>
      <c r="O376" s="194"/>
      <c r="P376" s="194"/>
      <c r="Q376" s="194"/>
      <c r="R376" s="194"/>
      <c r="S376" s="194"/>
      <c r="T376" s="194"/>
      <c r="U376" s="194"/>
      <c r="V376" s="194"/>
      <c r="W376" s="194"/>
      <c r="X376" s="194"/>
      <c r="Y376" s="194"/>
      <c r="Z376" s="194"/>
    </row>
    <row r="377" spans="1:26" ht="49.95" customHeight="1">
      <c r="A377" s="29" t="s">
        <v>337</v>
      </c>
      <c r="B377" s="33">
        <v>96619</v>
      </c>
      <c r="C377" s="156" t="s">
        <v>412</v>
      </c>
      <c r="D377" s="89"/>
      <c r="E377" s="89"/>
      <c r="F377" s="89"/>
      <c r="G377" s="89"/>
      <c r="H377" s="89"/>
      <c r="I377" s="89"/>
      <c r="J377" s="157">
        <v>20.49</v>
      </c>
      <c r="K377" s="152" t="s">
        <v>610</v>
      </c>
      <c r="L377" s="194"/>
      <c r="M377" s="194"/>
      <c r="N377" s="194"/>
      <c r="O377" s="194"/>
      <c r="P377" s="194"/>
      <c r="Q377" s="194"/>
      <c r="R377" s="194"/>
      <c r="S377" s="194"/>
      <c r="T377" s="194"/>
      <c r="U377" s="194"/>
      <c r="V377" s="194"/>
      <c r="W377" s="194"/>
      <c r="X377" s="194"/>
      <c r="Y377" s="194"/>
      <c r="Z377" s="194"/>
    </row>
    <row r="378" spans="1:26" ht="19.95" customHeight="1">
      <c r="A378" s="29" t="s">
        <v>337</v>
      </c>
      <c r="B378" s="108"/>
      <c r="C378" s="34" t="s">
        <v>822</v>
      </c>
      <c r="D378" s="89">
        <v>2</v>
      </c>
      <c r="E378" s="89">
        <v>0.65</v>
      </c>
      <c r="F378" s="89">
        <v>0.7</v>
      </c>
      <c r="G378" s="89"/>
      <c r="H378" s="151">
        <v>0.45500000000000002</v>
      </c>
      <c r="I378" s="151">
        <v>0.91</v>
      </c>
      <c r="J378" s="152"/>
      <c r="K378" s="152"/>
      <c r="L378" s="194"/>
      <c r="M378" s="194"/>
      <c r="N378" s="194"/>
      <c r="O378" s="194"/>
      <c r="P378" s="194"/>
      <c r="Q378" s="194"/>
      <c r="R378" s="194"/>
      <c r="S378" s="194"/>
      <c r="T378" s="194"/>
      <c r="U378" s="194"/>
      <c r="V378" s="194"/>
      <c r="W378" s="194"/>
      <c r="X378" s="194"/>
      <c r="Y378" s="194"/>
      <c r="Z378" s="194"/>
    </row>
    <row r="379" spans="1:26" ht="19.95" customHeight="1">
      <c r="A379" s="29" t="s">
        <v>766</v>
      </c>
      <c r="B379" s="108"/>
      <c r="C379" s="34" t="s">
        <v>823</v>
      </c>
      <c r="D379" s="89">
        <v>10</v>
      </c>
      <c r="E379" s="89">
        <v>0.8</v>
      </c>
      <c r="F379" s="89">
        <v>0.85</v>
      </c>
      <c r="G379" s="89"/>
      <c r="H379" s="151">
        <v>0.68</v>
      </c>
      <c r="I379" s="151">
        <v>6.8</v>
      </c>
      <c r="J379" s="152"/>
      <c r="K379" s="152"/>
      <c r="L379" s="194"/>
      <c r="M379" s="194"/>
      <c r="N379" s="194"/>
      <c r="O379" s="194"/>
      <c r="P379" s="194"/>
      <c r="Q379" s="194"/>
      <c r="R379" s="194"/>
      <c r="S379" s="194"/>
      <c r="T379" s="194"/>
      <c r="U379" s="194"/>
      <c r="V379" s="194"/>
      <c r="W379" s="194"/>
      <c r="X379" s="194"/>
      <c r="Y379" s="194"/>
      <c r="Z379" s="194"/>
    </row>
    <row r="380" spans="1:26" ht="19.95" customHeight="1">
      <c r="A380" s="29" t="s">
        <v>767</v>
      </c>
      <c r="B380" s="108"/>
      <c r="C380" s="34" t="s">
        <v>824</v>
      </c>
      <c r="D380" s="89">
        <v>13</v>
      </c>
      <c r="E380" s="89">
        <v>0.95</v>
      </c>
      <c r="F380" s="89">
        <v>0.95</v>
      </c>
      <c r="G380" s="89"/>
      <c r="H380" s="151">
        <v>0.90249999999999997</v>
      </c>
      <c r="I380" s="151">
        <v>11.73</v>
      </c>
      <c r="J380" s="152"/>
      <c r="K380" s="152"/>
      <c r="L380" s="194"/>
      <c r="M380" s="194"/>
      <c r="N380" s="194"/>
      <c r="O380" s="194"/>
      <c r="P380" s="194"/>
      <c r="Q380" s="194"/>
      <c r="R380" s="194"/>
      <c r="S380" s="194"/>
      <c r="T380" s="194"/>
      <c r="U380" s="194"/>
      <c r="V380" s="194"/>
      <c r="W380" s="194"/>
      <c r="X380" s="194"/>
      <c r="Y380" s="194"/>
      <c r="Z380" s="194"/>
    </row>
    <row r="381" spans="1:26" ht="19.8" customHeight="1">
      <c r="A381" s="29" t="s">
        <v>768</v>
      </c>
      <c r="B381" s="108"/>
      <c r="C381" s="34" t="s">
        <v>825</v>
      </c>
      <c r="D381" s="89">
        <v>1</v>
      </c>
      <c r="E381" s="89">
        <v>1</v>
      </c>
      <c r="F381" s="89">
        <v>1.05</v>
      </c>
      <c r="G381" s="89"/>
      <c r="H381" s="151">
        <v>1.05</v>
      </c>
      <c r="I381" s="151">
        <v>1.05</v>
      </c>
      <c r="J381" s="152"/>
      <c r="K381" s="152"/>
      <c r="L381" s="194"/>
      <c r="M381" s="194"/>
      <c r="N381" s="194"/>
      <c r="O381" s="194"/>
      <c r="P381" s="194"/>
      <c r="Q381" s="194"/>
      <c r="R381" s="194"/>
      <c r="S381" s="194"/>
      <c r="T381" s="194"/>
      <c r="U381" s="194"/>
      <c r="V381" s="194"/>
      <c r="W381" s="194"/>
      <c r="X381" s="194"/>
      <c r="Y381" s="194"/>
      <c r="Z381" s="194"/>
    </row>
    <row r="382" spans="1:26" ht="49.95" customHeight="1">
      <c r="A382" s="29" t="s">
        <v>338</v>
      </c>
      <c r="B382" s="89">
        <v>101616</v>
      </c>
      <c r="C382" s="156" t="s">
        <v>413</v>
      </c>
      <c r="D382" s="89"/>
      <c r="E382" s="89"/>
      <c r="F382" s="89"/>
      <c r="G382" s="89"/>
      <c r="H382" s="89"/>
      <c r="I382" s="89"/>
      <c r="J382" s="173">
        <v>35</v>
      </c>
      <c r="K382" s="152" t="s">
        <v>610</v>
      </c>
      <c r="L382" s="194"/>
      <c r="M382" s="194"/>
      <c r="N382" s="194"/>
      <c r="O382" s="194"/>
      <c r="P382" s="194"/>
      <c r="Q382" s="194"/>
      <c r="R382" s="194"/>
      <c r="S382" s="194"/>
      <c r="T382" s="194"/>
      <c r="U382" s="194"/>
      <c r="V382" s="194"/>
      <c r="W382" s="194"/>
      <c r="X382" s="194"/>
      <c r="Y382" s="194"/>
      <c r="Z382" s="194"/>
    </row>
    <row r="383" spans="1:26" ht="19.95" customHeight="1">
      <c r="A383" s="29" t="s">
        <v>771</v>
      </c>
      <c r="B383" s="108"/>
      <c r="C383" s="34" t="s">
        <v>822</v>
      </c>
      <c r="D383" s="89">
        <v>2</v>
      </c>
      <c r="E383" s="89">
        <v>0.65</v>
      </c>
      <c r="F383" s="89">
        <v>0.7</v>
      </c>
      <c r="G383" s="89"/>
      <c r="H383" s="151">
        <v>0.45500000000000002</v>
      </c>
      <c r="I383" s="151">
        <v>0.91</v>
      </c>
      <c r="J383" s="152"/>
      <c r="K383" s="152"/>
      <c r="L383" s="194"/>
      <c r="M383" s="194"/>
      <c r="N383" s="194"/>
      <c r="O383" s="194"/>
      <c r="P383" s="194"/>
      <c r="Q383" s="194"/>
      <c r="R383" s="194"/>
      <c r="S383" s="194"/>
      <c r="T383" s="194"/>
      <c r="U383" s="194"/>
      <c r="V383" s="194"/>
      <c r="W383" s="194"/>
      <c r="X383" s="194"/>
      <c r="Y383" s="194"/>
      <c r="Z383" s="194"/>
    </row>
    <row r="384" spans="1:26" ht="19.95" customHeight="1">
      <c r="A384" s="29" t="s">
        <v>772</v>
      </c>
      <c r="B384" s="108"/>
      <c r="C384" s="34" t="s">
        <v>823</v>
      </c>
      <c r="D384" s="89">
        <v>10</v>
      </c>
      <c r="E384" s="89">
        <v>0.8</v>
      </c>
      <c r="F384" s="89">
        <v>0.85</v>
      </c>
      <c r="G384" s="89"/>
      <c r="H384" s="151">
        <v>0.68</v>
      </c>
      <c r="I384" s="151">
        <v>6.8</v>
      </c>
      <c r="J384" s="152"/>
      <c r="K384" s="152"/>
      <c r="L384" s="194"/>
      <c r="M384" s="194"/>
      <c r="N384" s="194"/>
      <c r="O384" s="194"/>
      <c r="P384" s="194"/>
      <c r="Q384" s="194"/>
      <c r="R384" s="194"/>
      <c r="S384" s="194"/>
      <c r="T384" s="194"/>
      <c r="U384" s="194"/>
      <c r="V384" s="194"/>
      <c r="W384" s="194"/>
      <c r="X384" s="194"/>
      <c r="Y384" s="194"/>
      <c r="Z384" s="194"/>
    </row>
    <row r="385" spans="1:26" ht="19.95" customHeight="1">
      <c r="A385" s="29" t="s">
        <v>773</v>
      </c>
      <c r="B385" s="108"/>
      <c r="C385" s="34" t="s">
        <v>824</v>
      </c>
      <c r="D385" s="89">
        <v>13</v>
      </c>
      <c r="E385" s="89">
        <v>0.95</v>
      </c>
      <c r="F385" s="89">
        <v>0.95</v>
      </c>
      <c r="G385" s="89"/>
      <c r="H385" s="151">
        <v>0.90249999999999997</v>
      </c>
      <c r="I385" s="151">
        <v>11.73</v>
      </c>
      <c r="J385" s="152"/>
      <c r="K385" s="152"/>
      <c r="L385" s="194"/>
      <c r="M385" s="194"/>
      <c r="N385" s="194"/>
      <c r="O385" s="194"/>
      <c r="P385" s="194"/>
      <c r="Q385" s="194"/>
      <c r="R385" s="194"/>
      <c r="S385" s="194"/>
      <c r="T385" s="194"/>
      <c r="U385" s="194"/>
      <c r="V385" s="194"/>
      <c r="W385" s="194"/>
      <c r="X385" s="194"/>
      <c r="Y385" s="194"/>
      <c r="Z385" s="194"/>
    </row>
    <row r="386" spans="1:26" ht="19.95" customHeight="1">
      <c r="A386" s="29" t="s">
        <v>774</v>
      </c>
      <c r="B386" s="108"/>
      <c r="C386" s="34" t="s">
        <v>825</v>
      </c>
      <c r="D386" s="89">
        <v>1</v>
      </c>
      <c r="E386" s="89">
        <v>1</v>
      </c>
      <c r="F386" s="89">
        <v>1.05</v>
      </c>
      <c r="G386" s="89"/>
      <c r="H386" s="151">
        <v>1.05</v>
      </c>
      <c r="I386" s="151">
        <v>1.05</v>
      </c>
      <c r="J386" s="152"/>
      <c r="K386" s="152"/>
      <c r="L386" s="194"/>
      <c r="M386" s="194"/>
      <c r="N386" s="194"/>
      <c r="O386" s="194"/>
      <c r="P386" s="194"/>
      <c r="Q386" s="194"/>
      <c r="R386" s="194"/>
      <c r="S386" s="194"/>
      <c r="T386" s="194"/>
      <c r="U386" s="194"/>
      <c r="V386" s="194"/>
      <c r="W386" s="194"/>
      <c r="X386" s="194"/>
      <c r="Y386" s="194"/>
      <c r="Z386" s="194"/>
    </row>
    <row r="387" spans="1:26" ht="19.95" customHeight="1">
      <c r="A387" s="29" t="s">
        <v>775</v>
      </c>
      <c r="B387" s="108"/>
      <c r="C387" s="34" t="s">
        <v>826</v>
      </c>
      <c r="D387" s="89">
        <v>2</v>
      </c>
      <c r="E387" s="89">
        <v>2.15</v>
      </c>
      <c r="F387" s="89">
        <v>0.2</v>
      </c>
      <c r="G387" s="89"/>
      <c r="H387" s="151">
        <v>0.43</v>
      </c>
      <c r="I387" s="151">
        <v>0.86</v>
      </c>
      <c r="J387" s="152"/>
      <c r="K387" s="152"/>
      <c r="L387" s="194"/>
      <c r="M387" s="194"/>
      <c r="N387" s="194"/>
      <c r="O387" s="194"/>
      <c r="P387" s="194"/>
      <c r="Q387" s="194"/>
      <c r="R387" s="194"/>
      <c r="S387" s="194"/>
      <c r="T387" s="194"/>
      <c r="U387" s="194"/>
      <c r="V387" s="194"/>
      <c r="W387" s="194"/>
      <c r="X387" s="194"/>
      <c r="Y387" s="194"/>
      <c r="Z387" s="194"/>
    </row>
    <row r="388" spans="1:26" ht="19.95" customHeight="1">
      <c r="A388" s="29" t="s">
        <v>776</v>
      </c>
      <c r="B388" s="108"/>
      <c r="C388" s="34" t="s">
        <v>827</v>
      </c>
      <c r="D388" s="89">
        <v>1</v>
      </c>
      <c r="E388" s="89">
        <v>5.67</v>
      </c>
      <c r="F388" s="89">
        <v>0.2</v>
      </c>
      <c r="G388" s="89"/>
      <c r="H388" s="151">
        <v>1.1339999999999999</v>
      </c>
      <c r="I388" s="151">
        <v>1.1299999999999999</v>
      </c>
      <c r="J388" s="152"/>
      <c r="K388" s="152"/>
      <c r="L388" s="194"/>
      <c r="M388" s="194"/>
      <c r="N388" s="194"/>
      <c r="O388" s="194"/>
      <c r="P388" s="194"/>
      <c r="Q388" s="194"/>
      <c r="R388" s="194"/>
      <c r="S388" s="194"/>
      <c r="T388" s="194"/>
      <c r="U388" s="194"/>
      <c r="V388" s="194"/>
      <c r="W388" s="194"/>
      <c r="X388" s="194"/>
      <c r="Y388" s="194"/>
      <c r="Z388" s="194"/>
    </row>
    <row r="389" spans="1:26" ht="19.95" customHeight="1">
      <c r="A389" s="29" t="s">
        <v>777</v>
      </c>
      <c r="B389" s="108"/>
      <c r="C389" s="34" t="s">
        <v>828</v>
      </c>
      <c r="D389" s="89">
        <v>2</v>
      </c>
      <c r="E389" s="89">
        <v>3</v>
      </c>
      <c r="F389" s="89">
        <v>0.2</v>
      </c>
      <c r="G389" s="89"/>
      <c r="H389" s="151">
        <v>0.6</v>
      </c>
      <c r="I389" s="151">
        <v>1.2</v>
      </c>
      <c r="J389" s="152"/>
      <c r="K389" s="152"/>
      <c r="L389" s="194"/>
      <c r="M389" s="194"/>
      <c r="N389" s="194"/>
      <c r="O389" s="194"/>
      <c r="P389" s="194"/>
      <c r="Q389" s="194"/>
      <c r="R389" s="194"/>
      <c r="S389" s="194"/>
      <c r="T389" s="194"/>
      <c r="U389" s="194"/>
      <c r="V389" s="194"/>
      <c r="W389" s="194"/>
      <c r="X389" s="194"/>
      <c r="Y389" s="194"/>
      <c r="Z389" s="194"/>
    </row>
    <row r="390" spans="1:26" ht="19.95" customHeight="1">
      <c r="A390" s="29" t="s">
        <v>778</v>
      </c>
      <c r="B390" s="108"/>
      <c r="C390" s="34" t="s">
        <v>829</v>
      </c>
      <c r="D390" s="89">
        <v>3</v>
      </c>
      <c r="E390" s="89">
        <v>3</v>
      </c>
      <c r="F390" s="89">
        <v>0.2</v>
      </c>
      <c r="G390" s="89"/>
      <c r="H390" s="151">
        <v>0.6</v>
      </c>
      <c r="I390" s="151">
        <v>1.8</v>
      </c>
      <c r="J390" s="152"/>
      <c r="K390" s="152"/>
      <c r="L390" s="194"/>
      <c r="M390" s="194"/>
      <c r="N390" s="194"/>
      <c r="O390" s="194"/>
      <c r="P390" s="194"/>
      <c r="Q390" s="194"/>
      <c r="R390" s="194"/>
      <c r="S390" s="194"/>
      <c r="T390" s="194"/>
      <c r="U390" s="194"/>
      <c r="V390" s="194"/>
      <c r="W390" s="194"/>
      <c r="X390" s="194"/>
      <c r="Y390" s="194"/>
      <c r="Z390" s="194"/>
    </row>
    <row r="391" spans="1:26" ht="19.95" customHeight="1">
      <c r="A391" s="29" t="s">
        <v>779</v>
      </c>
      <c r="B391" s="108"/>
      <c r="C391" s="34" t="s">
        <v>830</v>
      </c>
      <c r="D391" s="89">
        <v>2</v>
      </c>
      <c r="E391" s="89">
        <v>3</v>
      </c>
      <c r="F391" s="89">
        <v>0.2</v>
      </c>
      <c r="G391" s="89"/>
      <c r="H391" s="151">
        <v>0.6</v>
      </c>
      <c r="I391" s="151">
        <v>1.2</v>
      </c>
      <c r="J391" s="152"/>
      <c r="K391" s="152"/>
      <c r="L391" s="194"/>
      <c r="M391" s="194"/>
      <c r="N391" s="194"/>
      <c r="O391" s="194"/>
      <c r="P391" s="194"/>
      <c r="Q391" s="194"/>
      <c r="R391" s="194"/>
      <c r="S391" s="194"/>
      <c r="T391" s="194"/>
      <c r="U391" s="194"/>
      <c r="V391" s="194"/>
      <c r="W391" s="194"/>
      <c r="X391" s="194"/>
      <c r="Y391" s="194"/>
      <c r="Z391" s="194"/>
    </row>
    <row r="392" spans="1:26" ht="19.95" customHeight="1">
      <c r="A392" s="29" t="s">
        <v>780</v>
      </c>
      <c r="B392" s="108"/>
      <c r="C392" s="34" t="s">
        <v>831</v>
      </c>
      <c r="D392" s="89">
        <v>2</v>
      </c>
      <c r="E392" s="89">
        <v>3</v>
      </c>
      <c r="F392" s="89">
        <v>0.2</v>
      </c>
      <c r="G392" s="89"/>
      <c r="H392" s="151">
        <v>0.6</v>
      </c>
      <c r="I392" s="151">
        <v>1.2</v>
      </c>
      <c r="J392" s="152"/>
      <c r="K392" s="152"/>
      <c r="L392" s="194"/>
      <c r="M392" s="194"/>
      <c r="N392" s="194"/>
      <c r="O392" s="194"/>
      <c r="P392" s="194"/>
      <c r="Q392" s="194"/>
      <c r="R392" s="194"/>
      <c r="S392" s="194"/>
      <c r="T392" s="194"/>
      <c r="U392" s="194"/>
      <c r="V392" s="194"/>
      <c r="W392" s="194"/>
      <c r="X392" s="194"/>
      <c r="Y392" s="194"/>
      <c r="Z392" s="194"/>
    </row>
    <row r="393" spans="1:26" ht="19.95" customHeight="1">
      <c r="A393" s="29" t="s">
        <v>781</v>
      </c>
      <c r="B393" s="108"/>
      <c r="C393" s="34" t="s">
        <v>832</v>
      </c>
      <c r="D393" s="89">
        <v>2</v>
      </c>
      <c r="E393" s="89">
        <v>3</v>
      </c>
      <c r="F393" s="89">
        <v>0.2</v>
      </c>
      <c r="G393" s="89"/>
      <c r="H393" s="151">
        <v>0.6</v>
      </c>
      <c r="I393" s="151">
        <v>1.2</v>
      </c>
      <c r="J393" s="152"/>
      <c r="K393" s="152"/>
      <c r="L393" s="194"/>
      <c r="M393" s="194"/>
      <c r="N393" s="194"/>
      <c r="O393" s="194"/>
      <c r="P393" s="194"/>
      <c r="Q393" s="194"/>
      <c r="R393" s="194"/>
      <c r="S393" s="194"/>
      <c r="T393" s="194"/>
      <c r="U393" s="194"/>
      <c r="V393" s="194"/>
      <c r="W393" s="194"/>
      <c r="X393" s="194"/>
      <c r="Y393" s="194"/>
      <c r="Z393" s="194"/>
    </row>
    <row r="394" spans="1:26" ht="19.95" customHeight="1">
      <c r="A394" s="29" t="s">
        <v>782</v>
      </c>
      <c r="B394" s="108"/>
      <c r="C394" s="34" t="s">
        <v>833</v>
      </c>
      <c r="D394" s="89">
        <v>1</v>
      </c>
      <c r="E394" s="89">
        <v>5.78</v>
      </c>
      <c r="F394" s="89">
        <v>0.2</v>
      </c>
      <c r="G394" s="89"/>
      <c r="H394" s="151">
        <v>1.1559999999999999</v>
      </c>
      <c r="I394" s="151">
        <v>1.1599999999999999</v>
      </c>
      <c r="J394" s="152"/>
      <c r="K394" s="152"/>
      <c r="L394" s="194"/>
      <c r="M394" s="194"/>
      <c r="N394" s="194"/>
      <c r="O394" s="194"/>
      <c r="P394" s="194"/>
      <c r="Q394" s="194"/>
      <c r="R394" s="194"/>
      <c r="S394" s="194"/>
      <c r="T394" s="194"/>
      <c r="U394" s="194"/>
      <c r="V394" s="194"/>
      <c r="W394" s="194"/>
      <c r="X394" s="194"/>
      <c r="Y394" s="194"/>
      <c r="Z394" s="194"/>
    </row>
    <row r="395" spans="1:26" ht="19.95" customHeight="1">
      <c r="A395" s="29" t="s">
        <v>783</v>
      </c>
      <c r="B395" s="108"/>
      <c r="C395" s="34" t="s">
        <v>834</v>
      </c>
      <c r="D395" s="89">
        <v>1</v>
      </c>
      <c r="E395" s="89">
        <v>5.78</v>
      </c>
      <c r="F395" s="89">
        <v>0.2</v>
      </c>
      <c r="G395" s="89"/>
      <c r="H395" s="151">
        <v>1.1559999999999999</v>
      </c>
      <c r="I395" s="151">
        <v>1.1599999999999999</v>
      </c>
      <c r="J395" s="152"/>
      <c r="K395" s="152"/>
      <c r="L395" s="194"/>
      <c r="M395" s="194"/>
      <c r="N395" s="194"/>
      <c r="O395" s="194"/>
      <c r="P395" s="194"/>
      <c r="Q395" s="194"/>
      <c r="R395" s="194"/>
      <c r="S395" s="194"/>
      <c r="T395" s="194"/>
      <c r="U395" s="194"/>
      <c r="V395" s="194"/>
      <c r="W395" s="194"/>
      <c r="X395" s="194"/>
      <c r="Y395" s="194"/>
      <c r="Z395" s="194"/>
    </row>
    <row r="396" spans="1:26" ht="19.95" customHeight="1">
      <c r="A396" s="29" t="s">
        <v>784</v>
      </c>
      <c r="B396" s="108"/>
      <c r="C396" s="34" t="s">
        <v>835</v>
      </c>
      <c r="D396" s="89">
        <v>2</v>
      </c>
      <c r="E396" s="89">
        <v>3</v>
      </c>
      <c r="F396" s="89">
        <v>0.2</v>
      </c>
      <c r="G396" s="89"/>
      <c r="H396" s="151">
        <v>0.6</v>
      </c>
      <c r="I396" s="151">
        <v>1.2</v>
      </c>
      <c r="J396" s="152"/>
      <c r="K396" s="152"/>
      <c r="L396" s="194"/>
      <c r="M396" s="194"/>
      <c r="N396" s="194"/>
      <c r="O396" s="194"/>
      <c r="P396" s="194"/>
      <c r="Q396" s="194"/>
      <c r="R396" s="194"/>
      <c r="S396" s="194"/>
      <c r="T396" s="194"/>
      <c r="U396" s="194"/>
      <c r="V396" s="194"/>
      <c r="W396" s="194"/>
      <c r="X396" s="194"/>
      <c r="Y396" s="194"/>
      <c r="Z396" s="194"/>
    </row>
    <row r="397" spans="1:26" ht="19.8" customHeight="1">
      <c r="A397" s="29" t="s">
        <v>785</v>
      </c>
      <c r="B397" s="108"/>
      <c r="C397" s="34" t="s">
        <v>836</v>
      </c>
      <c r="D397" s="89">
        <v>2</v>
      </c>
      <c r="E397" s="89">
        <v>3</v>
      </c>
      <c r="F397" s="89">
        <v>0.2</v>
      </c>
      <c r="G397" s="89"/>
      <c r="H397" s="151">
        <v>0.6</v>
      </c>
      <c r="I397" s="151">
        <v>1.2</v>
      </c>
      <c r="J397" s="152"/>
      <c r="K397" s="152"/>
      <c r="L397" s="194"/>
      <c r="M397" s="194"/>
      <c r="N397" s="194"/>
      <c r="O397" s="194"/>
      <c r="P397" s="194"/>
      <c r="Q397" s="194"/>
      <c r="R397" s="194"/>
      <c r="S397" s="194"/>
      <c r="T397" s="194"/>
      <c r="U397" s="194"/>
      <c r="V397" s="194"/>
      <c r="W397" s="194"/>
      <c r="X397" s="194"/>
      <c r="Y397" s="194"/>
      <c r="Z397" s="194"/>
    </row>
    <row r="398" spans="1:26" ht="19.95" customHeight="1">
      <c r="A398" s="29" t="s">
        <v>786</v>
      </c>
      <c r="B398" s="108"/>
      <c r="C398" s="34" t="s">
        <v>837</v>
      </c>
      <c r="D398" s="89">
        <v>2</v>
      </c>
      <c r="E398" s="89">
        <v>3</v>
      </c>
      <c r="F398" s="89">
        <v>0.2</v>
      </c>
      <c r="G398" s="89"/>
      <c r="H398" s="151">
        <v>0.6</v>
      </c>
      <c r="I398" s="151">
        <v>1.2</v>
      </c>
      <c r="J398" s="152"/>
      <c r="K398" s="152"/>
      <c r="L398" s="194"/>
      <c r="M398" s="194"/>
      <c r="N398" s="194"/>
      <c r="O398" s="194"/>
      <c r="P398" s="194"/>
      <c r="Q398" s="194"/>
      <c r="R398" s="194"/>
      <c r="S398" s="194"/>
      <c r="T398" s="194"/>
      <c r="U398" s="194"/>
      <c r="V398" s="194"/>
      <c r="W398" s="194"/>
      <c r="X398" s="194"/>
      <c r="Y398" s="194"/>
      <c r="Z398" s="194"/>
    </row>
    <row r="399" spans="1:26" ht="49.95" customHeight="1">
      <c r="A399" s="29" t="s">
        <v>339</v>
      </c>
      <c r="B399" s="33">
        <v>94971</v>
      </c>
      <c r="C399" s="156" t="s">
        <v>414</v>
      </c>
      <c r="D399" s="89"/>
      <c r="E399" s="89"/>
      <c r="F399" s="89"/>
      <c r="G399" s="89"/>
      <c r="H399" s="89"/>
      <c r="I399" s="89"/>
      <c r="J399" s="157">
        <v>8.14</v>
      </c>
      <c r="K399" s="152" t="s">
        <v>623</v>
      </c>
      <c r="L399" s="194"/>
      <c r="M399" s="194"/>
      <c r="N399" s="194"/>
      <c r="O399" s="194"/>
      <c r="P399" s="194"/>
      <c r="Q399" s="194"/>
      <c r="R399" s="194"/>
      <c r="S399" s="194"/>
      <c r="T399" s="194"/>
      <c r="U399" s="194"/>
      <c r="V399" s="194"/>
      <c r="W399" s="194"/>
      <c r="X399" s="194"/>
      <c r="Y399" s="194"/>
      <c r="Z399" s="194"/>
    </row>
    <row r="400" spans="1:26" ht="19.8" customHeight="1">
      <c r="A400" s="29" t="s">
        <v>787</v>
      </c>
      <c r="B400" s="108"/>
      <c r="C400" s="34" t="s">
        <v>685</v>
      </c>
      <c r="D400" s="89">
        <v>1</v>
      </c>
      <c r="E400" s="89">
        <v>5.1100000000000003</v>
      </c>
      <c r="F400" s="89"/>
      <c r="G400" s="89"/>
      <c r="H400" s="89">
        <v>5.1100000000000003</v>
      </c>
      <c r="I400" s="89">
        <v>5.1100000000000003</v>
      </c>
      <c r="J400" s="152"/>
      <c r="K400" s="152"/>
      <c r="L400" s="194"/>
      <c r="M400" s="194"/>
      <c r="N400" s="194"/>
      <c r="O400" s="194"/>
      <c r="P400" s="194"/>
      <c r="Q400" s="194"/>
      <c r="R400" s="194"/>
      <c r="S400" s="194"/>
      <c r="T400" s="194"/>
      <c r="U400" s="194"/>
      <c r="V400" s="194"/>
      <c r="W400" s="194"/>
      <c r="X400" s="194"/>
      <c r="Y400" s="194"/>
      <c r="Z400" s="194"/>
    </row>
    <row r="401" spans="1:26" ht="19.95" customHeight="1">
      <c r="A401" s="29" t="s">
        <v>788</v>
      </c>
      <c r="B401" s="108"/>
      <c r="C401" s="34" t="s">
        <v>686</v>
      </c>
      <c r="D401" s="89">
        <v>1</v>
      </c>
      <c r="E401" s="89">
        <v>3.03</v>
      </c>
      <c r="F401" s="89"/>
      <c r="G401" s="89"/>
      <c r="H401" s="89">
        <v>3.03</v>
      </c>
      <c r="I401" s="89">
        <v>3.03</v>
      </c>
      <c r="J401" s="152"/>
      <c r="K401" s="152"/>
      <c r="L401" s="194"/>
      <c r="M401" s="194"/>
      <c r="N401" s="194"/>
      <c r="O401" s="194"/>
      <c r="P401" s="194"/>
      <c r="Q401" s="194"/>
      <c r="R401" s="194"/>
      <c r="S401" s="194"/>
      <c r="T401" s="194"/>
      <c r="U401" s="194"/>
      <c r="V401" s="194"/>
      <c r="W401" s="194"/>
      <c r="X401" s="194"/>
      <c r="Y401" s="194"/>
      <c r="Z401" s="194"/>
    </row>
    <row r="402" spans="1:26" ht="49.95" customHeight="1">
      <c r="A402" s="29" t="s">
        <v>340</v>
      </c>
      <c r="B402" s="33">
        <v>103670</v>
      </c>
      <c r="C402" s="156" t="s">
        <v>415</v>
      </c>
      <c r="D402" s="89"/>
      <c r="E402" s="89"/>
      <c r="F402" s="89"/>
      <c r="G402" s="89"/>
      <c r="H402" s="89"/>
      <c r="I402" s="89"/>
      <c r="J402" s="157">
        <v>8.14</v>
      </c>
      <c r="K402" s="152" t="s">
        <v>623</v>
      </c>
      <c r="L402" s="194"/>
      <c r="M402" s="194"/>
      <c r="N402" s="194"/>
      <c r="O402" s="194"/>
      <c r="P402" s="194"/>
      <c r="Q402" s="194"/>
      <c r="R402" s="194"/>
      <c r="S402" s="194"/>
      <c r="T402" s="194"/>
      <c r="U402" s="194"/>
      <c r="V402" s="194"/>
      <c r="W402" s="194"/>
      <c r="X402" s="194"/>
      <c r="Y402" s="194"/>
      <c r="Z402" s="194"/>
    </row>
    <row r="403" spans="1:26" ht="19.95" customHeight="1">
      <c r="A403" s="29" t="s">
        <v>789</v>
      </c>
      <c r="B403" s="108"/>
      <c r="C403" s="34"/>
      <c r="D403" s="89">
        <v>1</v>
      </c>
      <c r="E403" s="89">
        <v>8.14</v>
      </c>
      <c r="F403" s="89"/>
      <c r="G403" s="89"/>
      <c r="H403" s="89">
        <v>8.14</v>
      </c>
      <c r="I403" s="89">
        <v>8.14</v>
      </c>
      <c r="J403" s="152"/>
      <c r="K403" s="152"/>
      <c r="L403" s="194"/>
      <c r="M403" s="194"/>
      <c r="N403" s="194"/>
      <c r="O403" s="194"/>
      <c r="P403" s="194"/>
      <c r="Q403" s="194"/>
      <c r="R403" s="194"/>
      <c r="S403" s="194"/>
      <c r="T403" s="194"/>
      <c r="U403" s="194"/>
      <c r="V403" s="194"/>
      <c r="W403" s="194"/>
      <c r="X403" s="194"/>
      <c r="Y403" s="194"/>
      <c r="Z403" s="194"/>
    </row>
    <row r="404" spans="1:26" ht="49.95" customHeight="1">
      <c r="A404" s="29" t="s">
        <v>341</v>
      </c>
      <c r="B404" s="33">
        <v>104927</v>
      </c>
      <c r="C404" s="156" t="s">
        <v>416</v>
      </c>
      <c r="D404" s="89"/>
      <c r="E404" s="89"/>
      <c r="F404" s="89"/>
      <c r="G404" s="89"/>
      <c r="H404" s="89"/>
      <c r="I404" s="89"/>
      <c r="J404" s="157">
        <v>22.77</v>
      </c>
      <c r="K404" s="152" t="s">
        <v>610</v>
      </c>
      <c r="L404" s="194"/>
      <c r="M404" s="194"/>
      <c r="N404" s="194"/>
      <c r="O404" s="194"/>
      <c r="P404" s="194"/>
      <c r="Q404" s="194"/>
      <c r="R404" s="194"/>
      <c r="S404" s="194"/>
      <c r="T404" s="194"/>
      <c r="U404" s="194"/>
      <c r="V404" s="194"/>
      <c r="W404" s="194"/>
      <c r="X404" s="194"/>
      <c r="Y404" s="194"/>
      <c r="Z404" s="194"/>
    </row>
    <row r="405" spans="1:26" ht="19.95" customHeight="1">
      <c r="A405" s="29" t="s">
        <v>790</v>
      </c>
      <c r="B405" s="108"/>
      <c r="C405" s="34" t="s">
        <v>685</v>
      </c>
      <c r="D405" s="89">
        <v>1</v>
      </c>
      <c r="E405" s="151">
        <v>22.77</v>
      </c>
      <c r="F405" s="89"/>
      <c r="G405" s="89"/>
      <c r="H405" s="151">
        <v>22.77</v>
      </c>
      <c r="I405" s="151">
        <v>22.77</v>
      </c>
      <c r="J405" s="152"/>
      <c r="K405" s="152"/>
      <c r="L405" s="194"/>
      <c r="M405" s="194"/>
      <c r="N405" s="194"/>
      <c r="O405" s="194"/>
      <c r="P405" s="194"/>
      <c r="Q405" s="194"/>
      <c r="R405" s="194"/>
      <c r="S405" s="194"/>
      <c r="T405" s="194"/>
      <c r="U405" s="194"/>
      <c r="V405" s="194"/>
      <c r="W405" s="194"/>
      <c r="X405" s="194"/>
      <c r="Y405" s="194"/>
      <c r="Z405" s="194"/>
    </row>
    <row r="406" spans="1:26" ht="49.95" customHeight="1">
      <c r="A406" s="29" t="s">
        <v>342</v>
      </c>
      <c r="B406" s="33">
        <v>96542</v>
      </c>
      <c r="C406" s="156" t="s">
        <v>417</v>
      </c>
      <c r="D406" s="89"/>
      <c r="E406" s="89"/>
      <c r="F406" s="89"/>
      <c r="G406" s="89"/>
      <c r="H406" s="89"/>
      <c r="I406" s="89"/>
      <c r="J406" s="157">
        <v>45.05</v>
      </c>
      <c r="K406" s="152" t="s">
        <v>610</v>
      </c>
      <c r="L406" s="194"/>
      <c r="M406" s="194"/>
      <c r="N406" s="194"/>
      <c r="O406" s="194"/>
      <c r="P406" s="194"/>
      <c r="Q406" s="194"/>
      <c r="R406" s="194"/>
      <c r="S406" s="194"/>
      <c r="T406" s="194"/>
      <c r="U406" s="194"/>
      <c r="V406" s="194"/>
      <c r="W406" s="194"/>
      <c r="X406" s="194"/>
      <c r="Y406" s="194"/>
      <c r="Z406" s="194"/>
    </row>
    <row r="407" spans="1:26" ht="19.95" customHeight="1">
      <c r="A407" s="29" t="s">
        <v>791</v>
      </c>
      <c r="B407" s="108"/>
      <c r="C407" s="34" t="s">
        <v>689</v>
      </c>
      <c r="D407" s="89">
        <v>1</v>
      </c>
      <c r="E407" s="89">
        <v>45.05</v>
      </c>
      <c r="F407" s="89"/>
      <c r="G407" s="89"/>
      <c r="H407" s="89">
        <v>45.05</v>
      </c>
      <c r="I407" s="89">
        <v>45.05</v>
      </c>
      <c r="J407" s="152"/>
      <c r="K407" s="152"/>
      <c r="L407" s="194"/>
      <c r="M407" s="194"/>
      <c r="N407" s="194"/>
      <c r="O407" s="194"/>
      <c r="P407" s="194"/>
      <c r="Q407" s="194"/>
      <c r="R407" s="194"/>
      <c r="S407" s="194"/>
      <c r="T407" s="194"/>
      <c r="U407" s="194"/>
      <c r="V407" s="194"/>
      <c r="W407" s="194"/>
      <c r="X407" s="194"/>
      <c r="Y407" s="194"/>
      <c r="Z407" s="194"/>
    </row>
    <row r="408" spans="1:26" ht="49.95" customHeight="1">
      <c r="A408" s="29" t="s">
        <v>343</v>
      </c>
      <c r="B408" s="33">
        <v>104917</v>
      </c>
      <c r="C408" s="156" t="s">
        <v>418</v>
      </c>
      <c r="D408" s="89"/>
      <c r="E408" s="89"/>
      <c r="F408" s="89"/>
      <c r="G408" s="89"/>
      <c r="H408" s="89"/>
      <c r="I408" s="89"/>
      <c r="J408" s="157">
        <v>138.69999999999999</v>
      </c>
      <c r="K408" s="152" t="s">
        <v>42</v>
      </c>
      <c r="L408" s="194"/>
      <c r="M408" s="194"/>
      <c r="N408" s="194"/>
      <c r="O408" s="194"/>
      <c r="P408" s="194"/>
      <c r="Q408" s="194"/>
      <c r="R408" s="194"/>
      <c r="S408" s="194"/>
      <c r="T408" s="194"/>
      <c r="U408" s="194"/>
      <c r="V408" s="194"/>
      <c r="W408" s="194"/>
      <c r="X408" s="194"/>
      <c r="Y408" s="194"/>
      <c r="Z408" s="194"/>
    </row>
    <row r="409" spans="1:26" ht="19.95" customHeight="1">
      <c r="A409" s="29" t="s">
        <v>792</v>
      </c>
      <c r="B409" s="108"/>
      <c r="C409" s="34" t="s">
        <v>685</v>
      </c>
      <c r="D409" s="89">
        <v>1</v>
      </c>
      <c r="E409" s="89">
        <v>138.69999999999999</v>
      </c>
      <c r="F409" s="89"/>
      <c r="G409" s="89"/>
      <c r="H409" s="151">
        <v>138.69999999999999</v>
      </c>
      <c r="I409" s="151">
        <v>138.69999999999999</v>
      </c>
      <c r="J409" s="152"/>
      <c r="K409" s="152"/>
      <c r="L409" s="194"/>
      <c r="M409" s="194"/>
      <c r="N409" s="194"/>
      <c r="O409" s="194"/>
      <c r="P409" s="194"/>
      <c r="Q409" s="194"/>
      <c r="R409" s="194"/>
      <c r="S409" s="194"/>
      <c r="T409" s="194"/>
      <c r="U409" s="194"/>
      <c r="V409" s="194"/>
      <c r="W409" s="194"/>
      <c r="X409" s="194"/>
      <c r="Y409" s="194"/>
      <c r="Z409" s="194"/>
    </row>
    <row r="410" spans="1:26" ht="49.95" customHeight="1">
      <c r="A410" s="29" t="s">
        <v>344</v>
      </c>
      <c r="B410" s="33">
        <v>104916</v>
      </c>
      <c r="C410" s="156" t="s">
        <v>419</v>
      </c>
      <c r="D410" s="89"/>
      <c r="E410" s="89"/>
      <c r="F410" s="89"/>
      <c r="G410" s="89"/>
      <c r="H410" s="89"/>
      <c r="I410" s="89"/>
      <c r="J410" s="157">
        <v>89</v>
      </c>
      <c r="K410" s="152" t="s">
        <v>42</v>
      </c>
      <c r="L410" s="194"/>
      <c r="M410" s="194"/>
      <c r="N410" s="194"/>
      <c r="O410" s="194"/>
      <c r="P410" s="194"/>
      <c r="Q410" s="194"/>
      <c r="R410" s="194"/>
      <c r="S410" s="194"/>
      <c r="T410" s="194"/>
      <c r="U410" s="194"/>
      <c r="V410" s="194"/>
      <c r="W410" s="194"/>
      <c r="X410" s="194"/>
      <c r="Y410" s="194"/>
      <c r="Z410" s="194"/>
    </row>
    <row r="411" spans="1:26" ht="19.95" customHeight="1">
      <c r="A411" s="29" t="s">
        <v>793</v>
      </c>
      <c r="B411" s="108"/>
      <c r="C411" s="34" t="s">
        <v>689</v>
      </c>
      <c r="D411" s="89">
        <v>1</v>
      </c>
      <c r="E411" s="89">
        <v>89</v>
      </c>
      <c r="F411" s="89"/>
      <c r="G411" s="89"/>
      <c r="H411" s="151">
        <v>89</v>
      </c>
      <c r="I411" s="151">
        <v>89</v>
      </c>
      <c r="J411" s="152"/>
      <c r="K411" s="152"/>
      <c r="L411" s="194"/>
      <c r="M411" s="194"/>
      <c r="N411" s="194"/>
      <c r="O411" s="194"/>
      <c r="P411" s="194"/>
      <c r="Q411" s="194"/>
      <c r="R411" s="194"/>
      <c r="S411" s="194"/>
      <c r="T411" s="194"/>
      <c r="U411" s="194"/>
      <c r="V411" s="194"/>
      <c r="W411" s="194"/>
      <c r="X411" s="194"/>
      <c r="Y411" s="194"/>
      <c r="Z411" s="194"/>
    </row>
    <row r="412" spans="1:26" ht="49.95" customHeight="1">
      <c r="A412" s="29" t="s">
        <v>345</v>
      </c>
      <c r="B412" s="33">
        <v>104918</v>
      </c>
      <c r="C412" s="156" t="s">
        <v>420</v>
      </c>
      <c r="D412" s="89"/>
      <c r="E412" s="89"/>
      <c r="F412" s="89"/>
      <c r="G412" s="89"/>
      <c r="H412" s="89"/>
      <c r="I412" s="89"/>
      <c r="J412" s="157">
        <v>122.8</v>
      </c>
      <c r="K412" s="152" t="s">
        <v>42</v>
      </c>
      <c r="L412" s="194"/>
      <c r="M412" s="194"/>
      <c r="N412" s="194"/>
      <c r="O412" s="194"/>
      <c r="P412" s="194"/>
      <c r="Q412" s="194"/>
      <c r="R412" s="194"/>
      <c r="S412" s="194"/>
      <c r="T412" s="194"/>
      <c r="U412" s="194"/>
      <c r="V412" s="194"/>
      <c r="W412" s="194"/>
      <c r="X412" s="194"/>
      <c r="Y412" s="194"/>
      <c r="Z412" s="194"/>
    </row>
    <row r="413" spans="1:26" ht="19.95" customHeight="1">
      <c r="A413" s="29" t="s">
        <v>794</v>
      </c>
      <c r="B413" s="108"/>
      <c r="C413" s="34" t="s">
        <v>685</v>
      </c>
      <c r="D413" s="89">
        <v>1</v>
      </c>
      <c r="E413" s="89">
        <v>4.2</v>
      </c>
      <c r="F413" s="89"/>
      <c r="G413" s="89"/>
      <c r="H413" s="89">
        <v>4.2</v>
      </c>
      <c r="I413" s="89">
        <v>4.2</v>
      </c>
      <c r="J413" s="152"/>
      <c r="K413" s="152"/>
      <c r="L413" s="194"/>
      <c r="M413" s="194"/>
      <c r="N413" s="194"/>
      <c r="O413" s="194"/>
      <c r="P413" s="194"/>
      <c r="Q413" s="194"/>
      <c r="R413" s="194"/>
      <c r="S413" s="194"/>
      <c r="T413" s="194"/>
      <c r="U413" s="194"/>
      <c r="V413" s="194"/>
      <c r="W413" s="194"/>
      <c r="X413" s="194"/>
      <c r="Y413" s="194"/>
      <c r="Z413" s="194"/>
    </row>
    <row r="414" spans="1:26" ht="19.95" customHeight="1">
      <c r="A414" s="29" t="s">
        <v>838</v>
      </c>
      <c r="B414" s="108"/>
      <c r="C414" s="34" t="s">
        <v>689</v>
      </c>
      <c r="D414" s="89">
        <v>1</v>
      </c>
      <c r="E414" s="89">
        <v>118.6</v>
      </c>
      <c r="F414" s="89"/>
      <c r="G414" s="89"/>
      <c r="H414" s="89">
        <v>118.6</v>
      </c>
      <c r="I414" s="89">
        <v>118.6</v>
      </c>
      <c r="J414" s="152"/>
      <c r="K414" s="152"/>
      <c r="L414" s="194"/>
      <c r="M414" s="194"/>
      <c r="N414" s="194"/>
      <c r="O414" s="194"/>
      <c r="P414" s="194"/>
      <c r="Q414" s="194"/>
      <c r="R414" s="194"/>
      <c r="S414" s="194"/>
      <c r="T414" s="194"/>
      <c r="U414" s="194"/>
      <c r="V414" s="194"/>
      <c r="W414" s="194"/>
      <c r="X414" s="194"/>
      <c r="Y414" s="194"/>
      <c r="Z414" s="194"/>
    </row>
    <row r="415" spans="1:26" ht="49.95" customHeight="1">
      <c r="A415" s="29" t="s">
        <v>346</v>
      </c>
      <c r="B415" s="89">
        <v>98557</v>
      </c>
      <c r="C415" s="156" t="s">
        <v>421</v>
      </c>
      <c r="D415" s="89"/>
      <c r="E415" s="89"/>
      <c r="F415" s="138" t="s">
        <v>692</v>
      </c>
      <c r="G415" s="89"/>
      <c r="H415" s="89"/>
      <c r="I415" s="89"/>
      <c r="J415" s="157">
        <v>65.27</v>
      </c>
      <c r="K415" s="152" t="s">
        <v>610</v>
      </c>
      <c r="L415" s="194"/>
      <c r="M415" s="194"/>
      <c r="N415" s="194"/>
      <c r="O415" s="194"/>
      <c r="P415" s="194"/>
      <c r="Q415" s="194"/>
      <c r="R415" s="194"/>
      <c r="S415" s="194"/>
      <c r="T415" s="194"/>
      <c r="U415" s="194"/>
      <c r="V415" s="194"/>
      <c r="W415" s="194"/>
      <c r="X415" s="194"/>
      <c r="Y415" s="194"/>
      <c r="Z415" s="194"/>
    </row>
    <row r="416" spans="1:26" ht="19.95" customHeight="1">
      <c r="A416" s="29" t="s">
        <v>795</v>
      </c>
      <c r="B416" s="108"/>
      <c r="C416" s="34" t="s">
        <v>826</v>
      </c>
      <c r="D416" s="89">
        <v>2</v>
      </c>
      <c r="E416" s="89">
        <v>2.15</v>
      </c>
      <c r="F416" s="89">
        <v>0.9</v>
      </c>
      <c r="G416" s="89"/>
      <c r="H416" s="151">
        <v>1.9350000000000001</v>
      </c>
      <c r="I416" s="151">
        <v>3.87</v>
      </c>
      <c r="J416" s="152"/>
      <c r="K416" s="152"/>
      <c r="L416" s="194"/>
      <c r="M416" s="194"/>
      <c r="N416" s="194"/>
      <c r="O416" s="194"/>
      <c r="P416" s="194"/>
      <c r="Q416" s="194"/>
      <c r="R416" s="194"/>
      <c r="S416" s="194"/>
      <c r="T416" s="194"/>
      <c r="U416" s="194"/>
      <c r="V416" s="194"/>
      <c r="W416" s="194"/>
      <c r="X416" s="194"/>
      <c r="Y416" s="194"/>
      <c r="Z416" s="194"/>
    </row>
    <row r="417" spans="1:26" ht="19.95" customHeight="1">
      <c r="A417" s="29" t="s">
        <v>796</v>
      </c>
      <c r="B417" s="108"/>
      <c r="C417" s="34" t="s">
        <v>827</v>
      </c>
      <c r="D417" s="89">
        <v>1</v>
      </c>
      <c r="E417" s="89">
        <v>5.67</v>
      </c>
      <c r="F417" s="89">
        <v>0.9</v>
      </c>
      <c r="G417" s="89"/>
      <c r="H417" s="151">
        <v>5.1029999999999998</v>
      </c>
      <c r="I417" s="151">
        <v>5.0999999999999996</v>
      </c>
      <c r="J417" s="152"/>
      <c r="K417" s="152"/>
      <c r="L417" s="194"/>
      <c r="M417" s="194"/>
      <c r="N417" s="194"/>
      <c r="O417" s="194"/>
      <c r="P417" s="194"/>
      <c r="Q417" s="194"/>
      <c r="R417" s="194"/>
      <c r="S417" s="194"/>
      <c r="T417" s="194"/>
      <c r="U417" s="194"/>
      <c r="V417" s="194"/>
      <c r="W417" s="194"/>
      <c r="X417" s="194"/>
      <c r="Y417" s="194"/>
      <c r="Z417" s="194"/>
    </row>
    <row r="418" spans="1:26" ht="19.95" customHeight="1">
      <c r="A418" s="29" t="s">
        <v>797</v>
      </c>
      <c r="B418" s="108"/>
      <c r="C418" s="34" t="s">
        <v>828</v>
      </c>
      <c r="D418" s="89">
        <v>2</v>
      </c>
      <c r="E418" s="89">
        <v>3</v>
      </c>
      <c r="F418" s="89">
        <v>0.9</v>
      </c>
      <c r="G418" s="89"/>
      <c r="H418" s="151">
        <v>2.7</v>
      </c>
      <c r="I418" s="151">
        <v>5.4</v>
      </c>
      <c r="J418" s="152"/>
      <c r="K418" s="152"/>
      <c r="L418" s="194"/>
      <c r="M418" s="194"/>
      <c r="N418" s="194"/>
      <c r="O418" s="194"/>
      <c r="P418" s="194"/>
      <c r="Q418" s="194"/>
      <c r="R418" s="194"/>
      <c r="S418" s="194"/>
      <c r="T418" s="194"/>
      <c r="U418" s="194"/>
      <c r="V418" s="194"/>
      <c r="W418" s="194"/>
      <c r="X418" s="194"/>
      <c r="Y418" s="194"/>
      <c r="Z418" s="194"/>
    </row>
    <row r="419" spans="1:26" ht="19.95" customHeight="1">
      <c r="A419" s="29" t="s">
        <v>798</v>
      </c>
      <c r="B419" s="108"/>
      <c r="C419" s="34" t="s">
        <v>829</v>
      </c>
      <c r="D419" s="89">
        <v>3</v>
      </c>
      <c r="E419" s="89">
        <v>3</v>
      </c>
      <c r="F419" s="89">
        <v>0.9</v>
      </c>
      <c r="G419" s="89"/>
      <c r="H419" s="151">
        <v>2.7</v>
      </c>
      <c r="I419" s="151">
        <v>8.1</v>
      </c>
      <c r="J419" s="152"/>
      <c r="K419" s="152"/>
      <c r="L419" s="194"/>
      <c r="M419" s="194"/>
      <c r="N419" s="194"/>
      <c r="O419" s="194"/>
      <c r="P419" s="194"/>
      <c r="Q419" s="194"/>
      <c r="R419" s="194"/>
      <c r="S419" s="194"/>
      <c r="T419" s="194"/>
      <c r="U419" s="194"/>
      <c r="V419" s="194"/>
      <c r="W419" s="194"/>
      <c r="X419" s="194"/>
      <c r="Y419" s="194"/>
      <c r="Z419" s="194"/>
    </row>
    <row r="420" spans="1:26" ht="19.95" customHeight="1">
      <c r="A420" s="29" t="s">
        <v>799</v>
      </c>
      <c r="B420" s="108"/>
      <c r="C420" s="34" t="s">
        <v>830</v>
      </c>
      <c r="D420" s="89">
        <v>2</v>
      </c>
      <c r="E420" s="89">
        <v>3</v>
      </c>
      <c r="F420" s="89">
        <v>0.9</v>
      </c>
      <c r="G420" s="89"/>
      <c r="H420" s="151">
        <v>2.7</v>
      </c>
      <c r="I420" s="151">
        <v>5.4</v>
      </c>
      <c r="J420" s="152"/>
      <c r="K420" s="152"/>
      <c r="L420" s="194"/>
      <c r="M420" s="194"/>
      <c r="N420" s="194"/>
      <c r="O420" s="194"/>
      <c r="P420" s="194"/>
      <c r="Q420" s="194"/>
      <c r="R420" s="194"/>
      <c r="S420" s="194"/>
      <c r="T420" s="194"/>
      <c r="U420" s="194"/>
      <c r="V420" s="194"/>
      <c r="W420" s="194"/>
      <c r="X420" s="194"/>
      <c r="Y420" s="194"/>
      <c r="Z420" s="194"/>
    </row>
    <row r="421" spans="1:26" ht="19.95" customHeight="1">
      <c r="A421" s="29" t="s">
        <v>800</v>
      </c>
      <c r="B421" s="108"/>
      <c r="C421" s="34" t="s">
        <v>831</v>
      </c>
      <c r="D421" s="89">
        <v>2</v>
      </c>
      <c r="E421" s="89">
        <v>3</v>
      </c>
      <c r="F421" s="89">
        <v>0.9</v>
      </c>
      <c r="G421" s="89"/>
      <c r="H421" s="151">
        <v>2.7</v>
      </c>
      <c r="I421" s="151">
        <v>5.4</v>
      </c>
      <c r="J421" s="152"/>
      <c r="K421" s="152"/>
      <c r="L421" s="194"/>
      <c r="M421" s="194"/>
      <c r="N421" s="194"/>
      <c r="O421" s="194"/>
      <c r="P421" s="194"/>
      <c r="Q421" s="194"/>
      <c r="R421" s="194"/>
      <c r="S421" s="194"/>
      <c r="T421" s="194"/>
      <c r="U421" s="194"/>
      <c r="V421" s="194"/>
      <c r="W421" s="194"/>
      <c r="X421" s="194"/>
      <c r="Y421" s="194"/>
      <c r="Z421" s="194"/>
    </row>
    <row r="422" spans="1:26" ht="19.95" customHeight="1">
      <c r="A422" s="29" t="s">
        <v>801</v>
      </c>
      <c r="B422" s="108"/>
      <c r="C422" s="34" t="s">
        <v>832</v>
      </c>
      <c r="D422" s="89">
        <v>2</v>
      </c>
      <c r="E422" s="89">
        <v>3</v>
      </c>
      <c r="F422" s="89">
        <v>0.9</v>
      </c>
      <c r="G422" s="89"/>
      <c r="H422" s="151">
        <v>2.7</v>
      </c>
      <c r="I422" s="151">
        <v>5.4</v>
      </c>
      <c r="J422" s="152"/>
      <c r="K422" s="152"/>
      <c r="L422" s="194"/>
      <c r="M422" s="194"/>
      <c r="N422" s="194"/>
      <c r="O422" s="194"/>
      <c r="P422" s="194"/>
      <c r="Q422" s="194"/>
      <c r="R422" s="194"/>
      <c r="S422" s="194"/>
      <c r="T422" s="194"/>
      <c r="U422" s="194"/>
      <c r="V422" s="194"/>
      <c r="W422" s="194"/>
      <c r="X422" s="194"/>
      <c r="Y422" s="194"/>
      <c r="Z422" s="194"/>
    </row>
    <row r="423" spans="1:26" ht="19.95" customHeight="1">
      <c r="A423" s="29" t="s">
        <v>802</v>
      </c>
      <c r="B423" s="108"/>
      <c r="C423" s="34" t="s">
        <v>833</v>
      </c>
      <c r="D423" s="89">
        <v>1</v>
      </c>
      <c r="E423" s="89">
        <v>5.78</v>
      </c>
      <c r="F423" s="89">
        <v>0.9</v>
      </c>
      <c r="G423" s="89"/>
      <c r="H423" s="151">
        <v>5.202</v>
      </c>
      <c r="I423" s="151">
        <v>5.2</v>
      </c>
      <c r="J423" s="152"/>
      <c r="K423" s="152"/>
      <c r="L423" s="194"/>
      <c r="M423" s="194"/>
      <c r="N423" s="194"/>
      <c r="O423" s="194"/>
      <c r="P423" s="194"/>
      <c r="Q423" s="194"/>
      <c r="R423" s="194"/>
      <c r="S423" s="194"/>
      <c r="T423" s="194"/>
      <c r="U423" s="194"/>
      <c r="V423" s="194"/>
      <c r="W423" s="194"/>
      <c r="X423" s="194"/>
      <c r="Y423" s="194"/>
      <c r="Z423" s="194"/>
    </row>
    <row r="424" spans="1:26" ht="19.95" customHeight="1">
      <c r="A424" s="29" t="s">
        <v>803</v>
      </c>
      <c r="B424" s="108"/>
      <c r="C424" s="34" t="s">
        <v>834</v>
      </c>
      <c r="D424" s="89">
        <v>1</v>
      </c>
      <c r="E424" s="89">
        <v>5.78</v>
      </c>
      <c r="F424" s="89">
        <v>0.9</v>
      </c>
      <c r="G424" s="89"/>
      <c r="H424" s="151">
        <v>5.202</v>
      </c>
      <c r="I424" s="151">
        <v>5.2</v>
      </c>
      <c r="J424" s="152"/>
      <c r="K424" s="152"/>
      <c r="L424" s="194"/>
      <c r="M424" s="194"/>
      <c r="N424" s="194"/>
      <c r="O424" s="194"/>
      <c r="P424" s="194"/>
      <c r="Q424" s="194"/>
      <c r="R424" s="194"/>
      <c r="S424" s="194"/>
      <c r="T424" s="194"/>
      <c r="U424" s="194"/>
      <c r="V424" s="194"/>
      <c r="W424" s="194"/>
      <c r="X424" s="194"/>
      <c r="Y424" s="194"/>
      <c r="Z424" s="194"/>
    </row>
    <row r="425" spans="1:26" ht="19.95" customHeight="1">
      <c r="A425" s="29" t="s">
        <v>804</v>
      </c>
      <c r="B425" s="108"/>
      <c r="C425" s="34" t="s">
        <v>835</v>
      </c>
      <c r="D425" s="89">
        <v>2</v>
      </c>
      <c r="E425" s="89">
        <v>3</v>
      </c>
      <c r="F425" s="89">
        <v>0.9</v>
      </c>
      <c r="G425" s="89"/>
      <c r="H425" s="151">
        <v>2.7</v>
      </c>
      <c r="I425" s="151">
        <v>5.4</v>
      </c>
      <c r="J425" s="152"/>
      <c r="K425" s="152"/>
      <c r="L425" s="194"/>
      <c r="M425" s="194"/>
      <c r="N425" s="194"/>
      <c r="O425" s="194"/>
      <c r="P425" s="194"/>
      <c r="Q425" s="194"/>
      <c r="R425" s="194"/>
      <c r="S425" s="194"/>
      <c r="T425" s="194"/>
      <c r="U425" s="194"/>
      <c r="V425" s="194"/>
      <c r="W425" s="194"/>
      <c r="X425" s="194"/>
      <c r="Y425" s="194"/>
      <c r="Z425" s="194"/>
    </row>
    <row r="426" spans="1:26" ht="19.95" customHeight="1">
      <c r="A426" s="29" t="s">
        <v>805</v>
      </c>
      <c r="B426" s="108"/>
      <c r="C426" s="34" t="s">
        <v>836</v>
      </c>
      <c r="D426" s="89">
        <v>2</v>
      </c>
      <c r="E426" s="89">
        <v>3</v>
      </c>
      <c r="F426" s="89">
        <v>0.9</v>
      </c>
      <c r="G426" s="89"/>
      <c r="H426" s="151">
        <v>2.7</v>
      </c>
      <c r="I426" s="151">
        <v>5.4</v>
      </c>
      <c r="J426" s="152"/>
      <c r="K426" s="152"/>
      <c r="L426" s="194"/>
      <c r="M426" s="194"/>
      <c r="N426" s="194"/>
      <c r="O426" s="194"/>
      <c r="P426" s="194"/>
      <c r="Q426" s="194"/>
      <c r="R426" s="194"/>
      <c r="S426" s="194"/>
      <c r="T426" s="194"/>
      <c r="U426" s="194"/>
      <c r="V426" s="194"/>
      <c r="W426" s="194"/>
      <c r="X426" s="194"/>
      <c r="Y426" s="194"/>
      <c r="Z426" s="194"/>
    </row>
    <row r="427" spans="1:26" ht="19.95" customHeight="1">
      <c r="A427" s="29" t="s">
        <v>806</v>
      </c>
      <c r="B427" s="108"/>
      <c r="C427" s="34" t="s">
        <v>837</v>
      </c>
      <c r="D427" s="89">
        <v>2</v>
      </c>
      <c r="E427" s="89">
        <v>3</v>
      </c>
      <c r="F427" s="89">
        <v>0.9</v>
      </c>
      <c r="G427" s="89"/>
      <c r="H427" s="151">
        <v>2.7</v>
      </c>
      <c r="I427" s="151">
        <v>5.4</v>
      </c>
      <c r="J427" s="152"/>
      <c r="K427" s="152"/>
      <c r="L427" s="194"/>
      <c r="M427" s="194"/>
      <c r="N427" s="194"/>
      <c r="O427" s="194"/>
      <c r="P427" s="194"/>
      <c r="Q427" s="194"/>
      <c r="R427" s="194"/>
      <c r="S427" s="194"/>
      <c r="T427" s="194"/>
      <c r="U427" s="194"/>
      <c r="V427" s="194"/>
      <c r="W427" s="194"/>
      <c r="X427" s="194"/>
      <c r="Y427" s="194"/>
      <c r="Z427" s="194"/>
    </row>
    <row r="428" spans="1:26" ht="25.05" customHeight="1">
      <c r="A428" s="91" t="s">
        <v>334</v>
      </c>
      <c r="B428" s="211" t="s">
        <v>347</v>
      </c>
      <c r="C428" s="211"/>
      <c r="D428" s="147"/>
      <c r="E428" s="147"/>
      <c r="F428" s="147"/>
      <c r="G428" s="147"/>
      <c r="H428" s="150"/>
      <c r="I428" s="150"/>
      <c r="J428" s="150"/>
      <c r="K428" s="150"/>
      <c r="L428" s="194"/>
      <c r="M428" s="194"/>
      <c r="N428" s="194"/>
      <c r="O428" s="194"/>
      <c r="P428" s="194"/>
      <c r="Q428" s="194"/>
      <c r="R428" s="194"/>
      <c r="S428" s="194"/>
      <c r="T428" s="194"/>
      <c r="U428" s="194"/>
      <c r="V428" s="194"/>
      <c r="W428" s="194"/>
      <c r="X428" s="194"/>
      <c r="Y428" s="194"/>
      <c r="Z428" s="194"/>
    </row>
    <row r="429" spans="1:26" ht="49.95" customHeight="1">
      <c r="A429" s="29" t="s">
        <v>348</v>
      </c>
      <c r="B429" s="33">
        <v>92429</v>
      </c>
      <c r="C429" s="156" t="s">
        <v>422</v>
      </c>
      <c r="D429" s="89"/>
      <c r="E429" s="89"/>
      <c r="F429" s="89"/>
      <c r="G429" s="89"/>
      <c r="H429" s="89"/>
      <c r="I429" s="89"/>
      <c r="J429" s="157">
        <v>77.22</v>
      </c>
      <c r="K429" s="152" t="s">
        <v>610</v>
      </c>
      <c r="L429" s="194"/>
      <c r="M429" s="194"/>
      <c r="N429" s="194"/>
      <c r="O429" s="194"/>
      <c r="P429" s="194"/>
      <c r="Q429" s="194"/>
      <c r="R429" s="194"/>
      <c r="S429" s="194"/>
      <c r="T429" s="194"/>
      <c r="U429" s="194"/>
      <c r="V429" s="194"/>
      <c r="W429" s="194"/>
      <c r="X429" s="194"/>
      <c r="Y429" s="194"/>
      <c r="Z429" s="194"/>
    </row>
    <row r="430" spans="1:26" ht="19.95" customHeight="1">
      <c r="A430" s="29" t="s">
        <v>807</v>
      </c>
      <c r="B430" s="108"/>
      <c r="C430" s="34" t="s">
        <v>840</v>
      </c>
      <c r="D430" s="89">
        <v>1</v>
      </c>
      <c r="E430" s="89">
        <v>23.4</v>
      </c>
      <c r="F430" s="89"/>
      <c r="G430" s="89"/>
      <c r="H430" s="89">
        <v>23.4</v>
      </c>
      <c r="I430" s="89">
        <v>23.4</v>
      </c>
      <c r="J430" s="152"/>
      <c r="K430" s="152"/>
      <c r="L430" s="194"/>
      <c r="M430" s="194"/>
      <c r="N430" s="194"/>
      <c r="O430" s="194"/>
      <c r="P430" s="194"/>
      <c r="Q430" s="194"/>
      <c r="R430" s="194"/>
      <c r="S430" s="194"/>
      <c r="T430" s="194"/>
      <c r="U430" s="194"/>
      <c r="V430" s="194"/>
      <c r="W430" s="194"/>
      <c r="X430" s="194"/>
      <c r="Y430" s="194"/>
      <c r="Z430" s="194"/>
    </row>
    <row r="431" spans="1:26" ht="19.95" customHeight="1">
      <c r="A431" s="29" t="s">
        <v>808</v>
      </c>
      <c r="B431" s="108"/>
      <c r="C431" s="34" t="s">
        <v>841</v>
      </c>
      <c r="D431" s="89">
        <v>1</v>
      </c>
      <c r="E431" s="89">
        <v>30.42</v>
      </c>
      <c r="F431" s="89"/>
      <c r="G431" s="89"/>
      <c r="H431" s="89">
        <v>30.42</v>
      </c>
      <c r="I431" s="89">
        <v>30.42</v>
      </c>
      <c r="J431" s="152"/>
      <c r="K431" s="152"/>
      <c r="L431" s="194"/>
      <c r="M431" s="194"/>
      <c r="N431" s="194"/>
      <c r="O431" s="194"/>
      <c r="P431" s="194"/>
      <c r="Q431" s="194"/>
      <c r="R431" s="194"/>
      <c r="S431" s="194"/>
      <c r="T431" s="194"/>
      <c r="U431" s="194"/>
      <c r="V431" s="194"/>
      <c r="W431" s="194"/>
      <c r="X431" s="194"/>
      <c r="Y431" s="194"/>
      <c r="Z431" s="194"/>
    </row>
    <row r="432" spans="1:26" ht="19.95" customHeight="1">
      <c r="A432" s="29" t="s">
        <v>809</v>
      </c>
      <c r="B432" s="108"/>
      <c r="C432" s="34" t="s">
        <v>695</v>
      </c>
      <c r="D432" s="89">
        <v>1</v>
      </c>
      <c r="E432" s="89">
        <v>23.4</v>
      </c>
      <c r="F432" s="89"/>
      <c r="G432" s="89"/>
      <c r="H432" s="89">
        <v>23.4</v>
      </c>
      <c r="I432" s="89">
        <v>23.4</v>
      </c>
      <c r="J432" s="152"/>
      <c r="K432" s="152"/>
      <c r="L432" s="194"/>
      <c r="M432" s="194"/>
      <c r="N432" s="194"/>
      <c r="O432" s="194"/>
      <c r="P432" s="194"/>
      <c r="Q432" s="194"/>
      <c r="R432" s="194"/>
      <c r="S432" s="194"/>
      <c r="T432" s="194"/>
      <c r="U432" s="194"/>
      <c r="V432" s="194"/>
      <c r="W432" s="194"/>
      <c r="X432" s="194"/>
      <c r="Y432" s="194"/>
      <c r="Z432" s="194"/>
    </row>
    <row r="433" spans="1:26" ht="49.95" customHeight="1">
      <c r="A433" s="29" t="s">
        <v>349</v>
      </c>
      <c r="B433" s="89">
        <v>92476</v>
      </c>
      <c r="C433" s="156" t="s">
        <v>565</v>
      </c>
      <c r="D433" s="89"/>
      <c r="E433" s="89"/>
      <c r="F433" s="89"/>
      <c r="G433" s="89"/>
      <c r="H433" s="89"/>
      <c r="I433" s="89"/>
      <c r="J433" s="157">
        <v>45.51</v>
      </c>
      <c r="K433" s="152" t="s">
        <v>610</v>
      </c>
      <c r="L433" s="194"/>
      <c r="M433" s="194"/>
      <c r="N433" s="194"/>
      <c r="O433" s="194"/>
      <c r="P433" s="194"/>
      <c r="Q433" s="194"/>
      <c r="R433" s="194"/>
      <c r="S433" s="194"/>
      <c r="T433" s="194"/>
      <c r="U433" s="194"/>
      <c r="V433" s="194"/>
      <c r="W433" s="194"/>
      <c r="X433" s="194"/>
      <c r="Y433" s="194"/>
      <c r="Z433" s="194"/>
    </row>
    <row r="434" spans="1:26" ht="19.95" customHeight="1">
      <c r="A434" s="29" t="s">
        <v>810</v>
      </c>
      <c r="B434" s="108"/>
      <c r="C434" s="34" t="s">
        <v>842</v>
      </c>
      <c r="D434" s="89">
        <v>1</v>
      </c>
      <c r="E434" s="89">
        <v>18.23</v>
      </c>
      <c r="F434" s="89"/>
      <c r="G434" s="89"/>
      <c r="H434" s="89">
        <v>18.23</v>
      </c>
      <c r="I434" s="89">
        <v>18.23</v>
      </c>
      <c r="J434" s="152"/>
      <c r="K434" s="152"/>
      <c r="L434" s="194"/>
      <c r="M434" s="194"/>
      <c r="N434" s="194"/>
      <c r="O434" s="194"/>
      <c r="P434" s="194"/>
      <c r="Q434" s="194"/>
      <c r="R434" s="194"/>
      <c r="S434" s="194"/>
      <c r="T434" s="194"/>
      <c r="U434" s="194"/>
      <c r="V434" s="194"/>
      <c r="W434" s="194"/>
      <c r="X434" s="194"/>
      <c r="Y434" s="194"/>
      <c r="Z434" s="194"/>
    </row>
    <row r="435" spans="1:26" ht="19.95" customHeight="1">
      <c r="A435" s="29" t="s">
        <v>811</v>
      </c>
      <c r="B435" s="108"/>
      <c r="C435" s="34" t="s">
        <v>843</v>
      </c>
      <c r="D435" s="89">
        <v>1</v>
      </c>
      <c r="E435" s="89">
        <v>27.28</v>
      </c>
      <c r="F435" s="89"/>
      <c r="G435" s="89"/>
      <c r="H435" s="89">
        <v>27.28</v>
      </c>
      <c r="I435" s="89">
        <v>27.28</v>
      </c>
      <c r="J435" s="152"/>
      <c r="K435" s="152"/>
      <c r="L435" s="194"/>
      <c r="M435" s="194"/>
      <c r="N435" s="194"/>
      <c r="O435" s="194"/>
      <c r="P435" s="194"/>
      <c r="Q435" s="194"/>
      <c r="R435" s="194"/>
      <c r="S435" s="194"/>
      <c r="T435" s="194"/>
      <c r="U435" s="194"/>
      <c r="V435" s="194"/>
      <c r="W435" s="194"/>
      <c r="X435" s="194"/>
      <c r="Y435" s="194"/>
      <c r="Z435" s="194"/>
    </row>
    <row r="436" spans="1:26" ht="49.95" customHeight="1">
      <c r="A436" s="29" t="s">
        <v>350</v>
      </c>
      <c r="B436" s="33">
        <v>92759</v>
      </c>
      <c r="C436" s="156" t="s">
        <v>566</v>
      </c>
      <c r="D436" s="89"/>
      <c r="E436" s="89"/>
      <c r="F436" s="89"/>
      <c r="G436" s="89"/>
      <c r="H436" s="89"/>
      <c r="I436" s="89"/>
      <c r="J436" s="157">
        <v>143.80000000000001</v>
      </c>
      <c r="K436" s="152" t="s">
        <v>42</v>
      </c>
      <c r="L436" s="194"/>
      <c r="M436" s="194"/>
      <c r="N436" s="194"/>
      <c r="O436" s="194"/>
      <c r="P436" s="194"/>
      <c r="Q436" s="194"/>
      <c r="R436" s="194"/>
      <c r="S436" s="194"/>
      <c r="T436" s="194"/>
      <c r="U436" s="194"/>
      <c r="V436" s="194"/>
      <c r="W436" s="194"/>
      <c r="X436" s="194"/>
      <c r="Y436" s="194"/>
      <c r="Z436" s="194"/>
    </row>
    <row r="437" spans="1:26" ht="19.95" customHeight="1">
      <c r="A437" s="29" t="s">
        <v>812</v>
      </c>
      <c r="B437" s="108"/>
      <c r="C437" s="34" t="s">
        <v>839</v>
      </c>
      <c r="D437" s="89">
        <v>1</v>
      </c>
      <c r="E437" s="89">
        <v>28.1</v>
      </c>
      <c r="F437" s="89"/>
      <c r="G437" s="89"/>
      <c r="H437" s="89">
        <v>28.1</v>
      </c>
      <c r="I437" s="89">
        <v>28.1</v>
      </c>
      <c r="J437" s="152"/>
      <c r="K437" s="152"/>
      <c r="L437" s="194"/>
      <c r="M437" s="194"/>
      <c r="N437" s="194"/>
      <c r="O437" s="194"/>
      <c r="P437" s="194"/>
      <c r="Q437" s="194"/>
      <c r="R437" s="194"/>
      <c r="S437" s="194"/>
      <c r="T437" s="194"/>
      <c r="U437" s="194"/>
      <c r="V437" s="194"/>
      <c r="W437" s="194"/>
      <c r="X437" s="194"/>
      <c r="Y437" s="194"/>
      <c r="Z437" s="194"/>
    </row>
    <row r="438" spans="1:26" ht="19.95" customHeight="1">
      <c r="A438" s="29" t="s">
        <v>813</v>
      </c>
      <c r="B438" s="108"/>
      <c r="C438" s="34" t="s">
        <v>841</v>
      </c>
      <c r="D438" s="89">
        <v>1</v>
      </c>
      <c r="E438" s="89">
        <v>34.4</v>
      </c>
      <c r="F438" s="89"/>
      <c r="G438" s="89"/>
      <c r="H438" s="89">
        <v>34.4</v>
      </c>
      <c r="I438" s="89">
        <v>34.4</v>
      </c>
      <c r="J438" s="152"/>
      <c r="K438" s="152"/>
      <c r="L438" s="194"/>
      <c r="M438" s="194"/>
      <c r="N438" s="194"/>
      <c r="O438" s="194"/>
      <c r="P438" s="194"/>
      <c r="Q438" s="194"/>
      <c r="R438" s="194"/>
      <c r="S438" s="194"/>
      <c r="T438" s="194"/>
      <c r="U438" s="194"/>
      <c r="V438" s="194"/>
      <c r="W438" s="194"/>
      <c r="X438" s="194"/>
      <c r="Y438" s="194"/>
      <c r="Z438" s="194"/>
    </row>
    <row r="439" spans="1:26" ht="19.95" customHeight="1">
      <c r="A439" s="29" t="s">
        <v>814</v>
      </c>
      <c r="B439" s="108"/>
      <c r="C439" s="34" t="s">
        <v>695</v>
      </c>
      <c r="D439" s="89">
        <v>1</v>
      </c>
      <c r="E439" s="89">
        <v>28.1</v>
      </c>
      <c r="F439" s="89"/>
      <c r="G439" s="89"/>
      <c r="H439" s="89">
        <v>28.1</v>
      </c>
      <c r="I439" s="89">
        <v>28.1</v>
      </c>
      <c r="J439" s="152"/>
      <c r="K439" s="152"/>
      <c r="L439" s="194"/>
      <c r="M439" s="194"/>
      <c r="N439" s="194"/>
      <c r="O439" s="194"/>
      <c r="P439" s="194"/>
      <c r="Q439" s="194"/>
      <c r="R439" s="194"/>
      <c r="S439" s="194"/>
      <c r="T439" s="194"/>
      <c r="U439" s="194"/>
      <c r="V439" s="194"/>
      <c r="W439" s="194"/>
      <c r="X439" s="194"/>
      <c r="Y439" s="194"/>
      <c r="Z439" s="194"/>
    </row>
    <row r="440" spans="1:26" ht="19.95" customHeight="1">
      <c r="A440" s="29" t="s">
        <v>815</v>
      </c>
      <c r="B440" s="108"/>
      <c r="C440" s="34" t="s">
        <v>842</v>
      </c>
      <c r="D440" s="89">
        <v>1</v>
      </c>
      <c r="E440" s="89">
        <v>53.2</v>
      </c>
      <c r="F440" s="89"/>
      <c r="G440" s="89"/>
      <c r="H440" s="89">
        <v>53.2</v>
      </c>
      <c r="I440" s="89">
        <v>53.2</v>
      </c>
      <c r="J440" s="152"/>
      <c r="K440" s="152"/>
      <c r="L440" s="194"/>
      <c r="M440" s="194"/>
      <c r="N440" s="194"/>
      <c r="O440" s="194"/>
      <c r="P440" s="194"/>
      <c r="Q440" s="194"/>
      <c r="R440" s="194"/>
      <c r="S440" s="194"/>
      <c r="T440" s="194"/>
      <c r="U440" s="194"/>
      <c r="V440" s="194"/>
      <c r="W440" s="194"/>
      <c r="X440" s="194"/>
      <c r="Y440" s="194"/>
      <c r="Z440" s="194"/>
    </row>
    <row r="441" spans="1:26" ht="49.95" customHeight="1">
      <c r="A441" s="29" t="s">
        <v>351</v>
      </c>
      <c r="B441" s="33">
        <v>104108</v>
      </c>
      <c r="C441" s="156" t="s">
        <v>426</v>
      </c>
      <c r="D441" s="89"/>
      <c r="E441" s="89"/>
      <c r="F441" s="89"/>
      <c r="G441" s="89"/>
      <c r="H441" s="89"/>
      <c r="I441" s="89"/>
      <c r="J441" s="157">
        <v>305.89999999999998</v>
      </c>
      <c r="K441" s="152" t="s">
        <v>42</v>
      </c>
      <c r="L441" s="194"/>
      <c r="M441" s="194"/>
      <c r="N441" s="194"/>
      <c r="O441" s="194"/>
      <c r="P441" s="194"/>
      <c r="Q441" s="194"/>
      <c r="R441" s="194"/>
      <c r="S441" s="194"/>
      <c r="T441" s="194"/>
      <c r="U441" s="194"/>
      <c r="V441" s="194"/>
      <c r="W441" s="194"/>
      <c r="X441" s="194"/>
      <c r="Y441" s="194"/>
      <c r="Z441" s="194"/>
    </row>
    <row r="442" spans="1:26" ht="19.95" customHeight="1">
      <c r="A442" s="29" t="s">
        <v>816</v>
      </c>
      <c r="B442" s="108"/>
      <c r="C442" s="34" t="s">
        <v>839</v>
      </c>
      <c r="D442" s="89">
        <v>1</v>
      </c>
      <c r="E442" s="89">
        <v>100</v>
      </c>
      <c r="F442" s="89"/>
      <c r="G442" s="89"/>
      <c r="H442" s="89">
        <v>100</v>
      </c>
      <c r="I442" s="89">
        <v>100</v>
      </c>
      <c r="J442" s="152"/>
      <c r="K442" s="152"/>
      <c r="L442" s="194"/>
      <c r="M442" s="194"/>
      <c r="N442" s="194"/>
      <c r="O442" s="194"/>
      <c r="P442" s="194"/>
      <c r="Q442" s="194"/>
      <c r="R442" s="194"/>
      <c r="S442" s="194"/>
      <c r="T442" s="194"/>
      <c r="U442" s="194"/>
      <c r="V442" s="194"/>
      <c r="W442" s="194"/>
      <c r="X442" s="194"/>
      <c r="Y442" s="194"/>
      <c r="Z442" s="194"/>
    </row>
    <row r="443" spans="1:26" ht="19.95" customHeight="1">
      <c r="A443" s="29" t="s">
        <v>817</v>
      </c>
      <c r="B443" s="108"/>
      <c r="C443" s="34" t="s">
        <v>841</v>
      </c>
      <c r="D443" s="89">
        <v>1</v>
      </c>
      <c r="E443" s="89">
        <v>107.7</v>
      </c>
      <c r="F443" s="89"/>
      <c r="G443" s="89"/>
      <c r="H443" s="89">
        <v>107.7</v>
      </c>
      <c r="I443" s="89">
        <v>107.7</v>
      </c>
      <c r="J443" s="152"/>
      <c r="K443" s="152"/>
      <c r="L443" s="194"/>
      <c r="M443" s="194"/>
      <c r="N443" s="194"/>
      <c r="O443" s="194"/>
      <c r="P443" s="194"/>
      <c r="Q443" s="194"/>
      <c r="R443" s="194"/>
      <c r="S443" s="194"/>
      <c r="T443" s="194"/>
      <c r="U443" s="194"/>
      <c r="V443" s="194"/>
      <c r="W443" s="194"/>
      <c r="X443" s="194"/>
      <c r="Y443" s="194"/>
      <c r="Z443" s="194"/>
    </row>
    <row r="444" spans="1:26" ht="19.95" customHeight="1">
      <c r="A444" s="29" t="s">
        <v>818</v>
      </c>
      <c r="B444" s="108"/>
      <c r="C444" s="34" t="s">
        <v>695</v>
      </c>
      <c r="D444" s="89">
        <v>1</v>
      </c>
      <c r="E444" s="89">
        <v>62.2</v>
      </c>
      <c r="F444" s="89"/>
      <c r="G444" s="89"/>
      <c r="H444" s="89">
        <v>62.2</v>
      </c>
      <c r="I444" s="89">
        <v>62.2</v>
      </c>
      <c r="J444" s="152"/>
      <c r="K444" s="152"/>
      <c r="L444" s="194"/>
      <c r="M444" s="194"/>
      <c r="N444" s="194"/>
      <c r="O444" s="194"/>
      <c r="P444" s="194"/>
      <c r="Q444" s="194"/>
      <c r="R444" s="194"/>
      <c r="S444" s="194"/>
      <c r="T444" s="194"/>
      <c r="U444" s="194"/>
      <c r="V444" s="194"/>
      <c r="W444" s="194"/>
      <c r="X444" s="194"/>
      <c r="Y444" s="194"/>
      <c r="Z444" s="194"/>
    </row>
    <row r="445" spans="1:26" ht="19.95" customHeight="1">
      <c r="A445" s="29" t="s">
        <v>819</v>
      </c>
      <c r="B445" s="108"/>
      <c r="C445" s="34" t="s">
        <v>842</v>
      </c>
      <c r="D445" s="89">
        <v>1</v>
      </c>
      <c r="E445" s="89">
        <v>36</v>
      </c>
      <c r="F445" s="89"/>
      <c r="G445" s="89"/>
      <c r="H445" s="89">
        <v>36</v>
      </c>
      <c r="I445" s="89">
        <v>36</v>
      </c>
      <c r="J445" s="152"/>
      <c r="K445" s="152"/>
      <c r="L445" s="194"/>
      <c r="M445" s="194"/>
      <c r="N445" s="194"/>
      <c r="O445" s="194"/>
      <c r="P445" s="194"/>
      <c r="Q445" s="194"/>
      <c r="R445" s="194"/>
      <c r="S445" s="194"/>
      <c r="T445" s="194"/>
      <c r="U445" s="194"/>
      <c r="V445" s="194"/>
      <c r="W445" s="194"/>
      <c r="X445" s="194"/>
      <c r="Y445" s="194"/>
      <c r="Z445" s="194"/>
    </row>
    <row r="446" spans="1:26" ht="49.95" customHeight="1">
      <c r="A446" s="29" t="s">
        <v>352</v>
      </c>
      <c r="B446" s="33">
        <v>92761</v>
      </c>
      <c r="C446" s="156" t="s">
        <v>567</v>
      </c>
      <c r="D446" s="89"/>
      <c r="E446" s="89"/>
      <c r="F446" s="89"/>
      <c r="G446" s="89"/>
      <c r="H446" s="89"/>
      <c r="I446" s="89"/>
      <c r="J446" s="157">
        <v>120.5</v>
      </c>
      <c r="K446" s="152" t="s">
        <v>42</v>
      </c>
      <c r="L446" s="194"/>
      <c r="M446" s="194"/>
      <c r="N446" s="194"/>
      <c r="O446" s="194"/>
      <c r="P446" s="194"/>
      <c r="Q446" s="194"/>
      <c r="R446" s="194"/>
      <c r="S446" s="194"/>
      <c r="T446" s="194"/>
      <c r="U446" s="194"/>
      <c r="V446" s="194"/>
      <c r="W446" s="194"/>
      <c r="X446" s="194"/>
      <c r="Y446" s="194"/>
      <c r="Z446" s="194"/>
    </row>
    <row r="447" spans="1:26" ht="19.95" customHeight="1">
      <c r="A447" s="29" t="s">
        <v>820</v>
      </c>
      <c r="B447" s="108"/>
      <c r="C447" s="34" t="s">
        <v>842</v>
      </c>
      <c r="D447" s="89">
        <v>1</v>
      </c>
      <c r="E447" s="89">
        <v>47.6</v>
      </c>
      <c r="F447" s="89"/>
      <c r="G447" s="89"/>
      <c r="H447" s="89">
        <v>47.6</v>
      </c>
      <c r="I447" s="89">
        <v>47.6</v>
      </c>
      <c r="J447" s="152"/>
      <c r="K447" s="152"/>
      <c r="L447" s="194"/>
      <c r="M447" s="194"/>
      <c r="N447" s="194"/>
      <c r="O447" s="194"/>
      <c r="P447" s="194"/>
      <c r="Q447" s="194"/>
      <c r="R447" s="194"/>
      <c r="S447" s="194"/>
      <c r="T447" s="194"/>
      <c r="U447" s="194"/>
      <c r="V447" s="194"/>
      <c r="W447" s="194"/>
      <c r="X447" s="194"/>
      <c r="Y447" s="194"/>
      <c r="Z447" s="194"/>
    </row>
    <row r="448" spans="1:26" ht="19.95" customHeight="1">
      <c r="A448" s="29" t="s">
        <v>821</v>
      </c>
      <c r="B448" s="108"/>
      <c r="C448" s="34" t="s">
        <v>843</v>
      </c>
      <c r="D448" s="89">
        <v>1</v>
      </c>
      <c r="E448" s="89">
        <v>72.900000000000006</v>
      </c>
      <c r="F448" s="89"/>
      <c r="G448" s="89"/>
      <c r="H448" s="89">
        <v>72.900000000000006</v>
      </c>
      <c r="I448" s="89">
        <v>72.900000000000006</v>
      </c>
      <c r="J448" s="152"/>
      <c r="K448" s="152"/>
      <c r="L448" s="194"/>
      <c r="M448" s="194"/>
      <c r="N448" s="194"/>
      <c r="O448" s="194"/>
      <c r="P448" s="194"/>
      <c r="Q448" s="194"/>
      <c r="R448" s="194"/>
      <c r="S448" s="194"/>
      <c r="T448" s="194"/>
      <c r="U448" s="194"/>
      <c r="V448" s="194"/>
      <c r="W448" s="194"/>
      <c r="X448" s="194"/>
      <c r="Y448" s="194"/>
      <c r="Z448" s="194"/>
    </row>
    <row r="449" spans="1:26" ht="49.95" customHeight="1">
      <c r="A449" s="29" t="s">
        <v>353</v>
      </c>
      <c r="B449" s="33">
        <v>94971</v>
      </c>
      <c r="C449" s="156" t="s">
        <v>414</v>
      </c>
      <c r="D449" s="89"/>
      <c r="E449" s="89"/>
      <c r="F449" s="89"/>
      <c r="G449" s="89"/>
      <c r="H449" s="89"/>
      <c r="I449" s="89"/>
      <c r="J449" s="157"/>
      <c r="K449" s="152"/>
      <c r="L449" s="194"/>
      <c r="M449" s="194"/>
      <c r="N449" s="194"/>
      <c r="O449" s="194"/>
      <c r="P449" s="194"/>
      <c r="Q449" s="194"/>
      <c r="R449" s="194"/>
      <c r="S449" s="194"/>
      <c r="T449" s="194"/>
      <c r="U449" s="194"/>
      <c r="V449" s="194"/>
      <c r="W449" s="194"/>
      <c r="X449" s="194"/>
      <c r="Y449" s="194"/>
      <c r="Z449" s="194"/>
    </row>
    <row r="450" spans="1:26" ht="49.95" customHeight="1">
      <c r="A450" s="29" t="s">
        <v>354</v>
      </c>
      <c r="B450" s="33">
        <v>103670</v>
      </c>
      <c r="C450" s="156" t="s">
        <v>415</v>
      </c>
      <c r="D450" s="89"/>
      <c r="E450" s="89"/>
      <c r="F450" s="89"/>
      <c r="G450" s="89"/>
      <c r="H450" s="89"/>
      <c r="I450" s="89"/>
      <c r="J450" s="157"/>
      <c r="K450" s="152"/>
      <c r="L450" s="194"/>
      <c r="M450" s="194"/>
      <c r="N450" s="194"/>
      <c r="O450" s="194"/>
      <c r="P450" s="194"/>
      <c r="Q450" s="194"/>
      <c r="R450" s="194"/>
      <c r="S450" s="194"/>
      <c r="T450" s="194"/>
      <c r="U450" s="194"/>
      <c r="V450" s="194"/>
      <c r="W450" s="194"/>
      <c r="X450" s="194"/>
      <c r="Y450" s="194"/>
      <c r="Z450" s="194"/>
    </row>
    <row r="451" spans="1:26" ht="25.05" customHeight="1">
      <c r="A451" s="91" t="s">
        <v>355</v>
      </c>
      <c r="B451" s="211" t="s">
        <v>356</v>
      </c>
      <c r="C451" s="211"/>
      <c r="D451" s="147"/>
      <c r="E451" s="147"/>
      <c r="F451" s="147"/>
      <c r="G451" s="147"/>
      <c r="H451" s="150"/>
      <c r="I451" s="150"/>
      <c r="J451" s="150"/>
      <c r="K451" s="150"/>
      <c r="L451" s="194"/>
      <c r="M451" s="194"/>
      <c r="N451" s="194"/>
      <c r="O451" s="194"/>
      <c r="P451" s="194"/>
      <c r="Q451" s="194"/>
      <c r="R451" s="194"/>
      <c r="S451" s="194"/>
      <c r="T451" s="194"/>
      <c r="U451" s="194"/>
      <c r="V451" s="194"/>
      <c r="W451" s="194"/>
      <c r="X451" s="194"/>
      <c r="Y451" s="194"/>
      <c r="Z451" s="194"/>
    </row>
    <row r="452" spans="1:26" ht="49.95" customHeight="1">
      <c r="A452" s="29" t="s">
        <v>357</v>
      </c>
      <c r="B452" s="33">
        <v>103356</v>
      </c>
      <c r="C452" s="156" t="s">
        <v>431</v>
      </c>
      <c r="D452" s="89"/>
      <c r="E452" s="89"/>
      <c r="F452" s="89"/>
      <c r="G452" s="89"/>
      <c r="H452" s="89"/>
      <c r="I452" s="89"/>
      <c r="J452" s="157"/>
      <c r="K452" s="152"/>
      <c r="L452" s="194"/>
      <c r="M452" s="194"/>
      <c r="N452" s="194"/>
      <c r="O452" s="194"/>
      <c r="P452" s="194"/>
      <c r="Q452" s="194"/>
      <c r="R452" s="194"/>
      <c r="S452" s="194"/>
      <c r="T452" s="194"/>
      <c r="U452" s="194"/>
      <c r="V452" s="194"/>
      <c r="W452" s="194"/>
      <c r="X452" s="194"/>
      <c r="Y452" s="194"/>
      <c r="Z452" s="194"/>
    </row>
    <row r="453" spans="1:26" ht="49.95" customHeight="1">
      <c r="A453" s="29" t="s">
        <v>358</v>
      </c>
      <c r="B453" s="89">
        <v>87894</v>
      </c>
      <c r="C453" s="156" t="s">
        <v>568</v>
      </c>
      <c r="D453" s="89"/>
      <c r="E453" s="89"/>
      <c r="F453" s="89"/>
      <c r="G453" s="89"/>
      <c r="H453" s="89"/>
      <c r="I453" s="89"/>
      <c r="J453" s="157"/>
      <c r="K453" s="152"/>
      <c r="L453" s="194"/>
      <c r="M453" s="194"/>
      <c r="N453" s="194"/>
      <c r="O453" s="194"/>
      <c r="P453" s="194"/>
      <c r="Q453" s="194"/>
      <c r="R453" s="194"/>
      <c r="S453" s="194"/>
      <c r="T453" s="194"/>
      <c r="U453" s="194"/>
      <c r="V453" s="194"/>
      <c r="W453" s="194"/>
      <c r="X453" s="194"/>
      <c r="Y453" s="194"/>
      <c r="Z453" s="194"/>
    </row>
    <row r="454" spans="1:26" ht="49.95" customHeight="1">
      <c r="A454" s="29" t="s">
        <v>359</v>
      </c>
      <c r="B454" s="33">
        <v>87792</v>
      </c>
      <c r="C454" s="156" t="s">
        <v>569</v>
      </c>
      <c r="D454" s="89"/>
      <c r="E454" s="89"/>
      <c r="F454" s="89"/>
      <c r="G454" s="89"/>
      <c r="H454" s="89"/>
      <c r="I454" s="89"/>
      <c r="J454" s="157"/>
      <c r="K454" s="152"/>
      <c r="L454" s="194"/>
      <c r="M454" s="194"/>
      <c r="N454" s="194"/>
      <c r="O454" s="194"/>
      <c r="P454" s="194"/>
      <c r="Q454" s="194"/>
      <c r="R454" s="194"/>
      <c r="S454" s="194"/>
      <c r="T454" s="194"/>
      <c r="U454" s="194"/>
      <c r="V454" s="194"/>
      <c r="W454" s="194"/>
      <c r="X454" s="194"/>
      <c r="Y454" s="194"/>
      <c r="Z454" s="194"/>
    </row>
    <row r="455" spans="1:26" ht="49.95" customHeight="1">
      <c r="A455" s="29" t="s">
        <v>360</v>
      </c>
      <c r="B455" s="33">
        <v>88485</v>
      </c>
      <c r="C455" s="156" t="s">
        <v>530</v>
      </c>
      <c r="D455" s="89"/>
      <c r="E455" s="89"/>
      <c r="F455" s="89"/>
      <c r="G455" s="89"/>
      <c r="H455" s="89"/>
      <c r="I455" s="89"/>
      <c r="J455" s="157"/>
      <c r="K455" s="152"/>
      <c r="L455" s="194"/>
      <c r="M455" s="194"/>
      <c r="N455" s="194"/>
      <c r="O455" s="194"/>
      <c r="P455" s="194"/>
      <c r="Q455" s="194"/>
      <c r="R455" s="194"/>
      <c r="S455" s="194"/>
      <c r="T455" s="194"/>
      <c r="U455" s="194"/>
      <c r="V455" s="194"/>
      <c r="W455" s="194"/>
      <c r="X455" s="194"/>
      <c r="Y455" s="194"/>
      <c r="Z455" s="194"/>
    </row>
    <row r="456" spans="1:26" ht="49.95" customHeight="1">
      <c r="A456" s="29" t="s">
        <v>361</v>
      </c>
      <c r="B456" s="33">
        <v>88497</v>
      </c>
      <c r="C456" s="156" t="s">
        <v>528</v>
      </c>
      <c r="D456" s="89"/>
      <c r="E456" s="89"/>
      <c r="F456" s="89"/>
      <c r="G456" s="89"/>
      <c r="H456" s="89"/>
      <c r="I456" s="89"/>
      <c r="J456" s="157"/>
      <c r="K456" s="152"/>
      <c r="L456" s="194"/>
      <c r="M456" s="194"/>
      <c r="N456" s="194"/>
      <c r="O456" s="194"/>
      <c r="P456" s="194"/>
      <c r="Q456" s="194"/>
      <c r="R456" s="194"/>
      <c r="S456" s="194"/>
      <c r="T456" s="194"/>
      <c r="U456" s="194"/>
      <c r="V456" s="194"/>
      <c r="W456" s="194"/>
      <c r="X456" s="194"/>
      <c r="Y456" s="194"/>
      <c r="Z456" s="194"/>
    </row>
    <row r="457" spans="1:26" ht="49.95" customHeight="1">
      <c r="A457" s="29" t="s">
        <v>362</v>
      </c>
      <c r="B457" s="33">
        <v>88489</v>
      </c>
      <c r="C457" s="156" t="s">
        <v>529</v>
      </c>
      <c r="D457" s="89"/>
      <c r="E457" s="89"/>
      <c r="F457" s="89"/>
      <c r="G457" s="89"/>
      <c r="H457" s="89"/>
      <c r="I457" s="89"/>
      <c r="J457" s="157"/>
      <c r="K457" s="152"/>
      <c r="L457" s="194"/>
      <c r="M457" s="194"/>
      <c r="N457" s="194"/>
      <c r="O457" s="194"/>
      <c r="P457" s="194"/>
      <c r="Q457" s="194"/>
      <c r="R457" s="194"/>
      <c r="S457" s="194"/>
      <c r="T457" s="194"/>
      <c r="U457" s="194"/>
      <c r="V457" s="194"/>
      <c r="W457" s="194"/>
      <c r="X457" s="194"/>
      <c r="Y457" s="194"/>
      <c r="Z457" s="194"/>
    </row>
    <row r="458" spans="1:26" ht="49.95" customHeight="1">
      <c r="A458" s="29" t="s">
        <v>363</v>
      </c>
      <c r="B458" s="33">
        <v>10</v>
      </c>
      <c r="C458" s="156" t="s">
        <v>570</v>
      </c>
      <c r="D458" s="89"/>
      <c r="E458" s="89"/>
      <c r="F458" s="89"/>
      <c r="G458" s="89"/>
      <c r="H458" s="89"/>
      <c r="I458" s="89"/>
      <c r="J458" s="157"/>
      <c r="K458" s="152"/>
      <c r="L458" s="194"/>
      <c r="M458" s="194"/>
      <c r="N458" s="194"/>
      <c r="O458" s="194"/>
      <c r="P458" s="194"/>
      <c r="Q458" s="194"/>
      <c r="R458" s="194"/>
      <c r="S458" s="194"/>
      <c r="T458" s="194"/>
      <c r="U458" s="194"/>
      <c r="V458" s="194"/>
      <c r="W458" s="194"/>
      <c r="X458" s="194"/>
      <c r="Y458" s="194"/>
      <c r="Z458" s="194"/>
    </row>
    <row r="459" spans="1:26" ht="49.95" customHeight="1">
      <c r="A459" s="29" t="s">
        <v>364</v>
      </c>
      <c r="B459" s="33">
        <v>24</v>
      </c>
      <c r="C459" s="156" t="s">
        <v>571</v>
      </c>
      <c r="D459" s="89"/>
      <c r="E459" s="89"/>
      <c r="F459" s="89"/>
      <c r="G459" s="89"/>
      <c r="H459" s="89"/>
      <c r="I459" s="89"/>
      <c r="J459" s="157"/>
      <c r="K459" s="152"/>
      <c r="L459" s="194"/>
      <c r="M459" s="194"/>
      <c r="N459" s="194"/>
      <c r="O459" s="194"/>
      <c r="P459" s="194"/>
      <c r="Q459" s="194"/>
      <c r="R459" s="194"/>
      <c r="S459" s="194"/>
      <c r="T459" s="194"/>
      <c r="U459" s="194"/>
      <c r="V459" s="194"/>
      <c r="W459" s="194"/>
      <c r="X459" s="194"/>
      <c r="Y459" s="194"/>
      <c r="Z459" s="194"/>
    </row>
    <row r="460" spans="1:26" ht="25.05" customHeight="1">
      <c r="A460" s="91">
        <v>5</v>
      </c>
      <c r="B460" s="211" t="s">
        <v>365</v>
      </c>
      <c r="C460" s="211"/>
      <c r="D460" s="147"/>
      <c r="E460" s="147"/>
      <c r="F460" s="147"/>
      <c r="G460" s="147"/>
      <c r="H460" s="150"/>
      <c r="I460" s="150"/>
      <c r="J460" s="150"/>
      <c r="K460" s="150"/>
      <c r="L460" s="194"/>
      <c r="M460" s="194"/>
      <c r="N460" s="194"/>
      <c r="O460" s="194"/>
      <c r="P460" s="194"/>
      <c r="Q460" s="194"/>
      <c r="R460" s="194"/>
      <c r="S460" s="194"/>
      <c r="T460" s="194"/>
      <c r="U460" s="194"/>
      <c r="V460" s="194"/>
      <c r="W460" s="194"/>
      <c r="X460" s="194"/>
      <c r="Y460" s="194"/>
      <c r="Z460" s="194"/>
    </row>
    <row r="461" spans="1:26" ht="25.05" customHeight="1">
      <c r="A461" s="91" t="s">
        <v>23</v>
      </c>
      <c r="B461" s="211" t="s">
        <v>366</v>
      </c>
      <c r="C461" s="211"/>
      <c r="D461" s="147"/>
      <c r="E461" s="147"/>
      <c r="F461" s="147"/>
      <c r="G461" s="147"/>
      <c r="H461" s="150"/>
      <c r="I461" s="150"/>
      <c r="J461" s="150"/>
      <c r="K461" s="150"/>
      <c r="L461" s="194"/>
      <c r="M461" s="194"/>
      <c r="N461" s="194"/>
      <c r="O461" s="194"/>
      <c r="P461" s="194"/>
      <c r="Q461" s="194"/>
      <c r="R461" s="194"/>
      <c r="S461" s="194"/>
      <c r="T461" s="194"/>
      <c r="U461" s="194"/>
      <c r="V461" s="194"/>
      <c r="W461" s="194"/>
      <c r="X461" s="194"/>
      <c r="Y461" s="194"/>
      <c r="Z461" s="194"/>
    </row>
    <row r="462" spans="1:26" ht="49.95" customHeight="1">
      <c r="A462" s="29" t="s">
        <v>367</v>
      </c>
      <c r="B462" s="33">
        <v>93679</v>
      </c>
      <c r="C462" s="156" t="s">
        <v>572</v>
      </c>
      <c r="D462" s="89"/>
      <c r="E462" s="89"/>
      <c r="F462" s="89"/>
      <c r="G462" s="89"/>
      <c r="H462" s="89"/>
      <c r="I462" s="89"/>
      <c r="J462" s="157"/>
      <c r="K462" s="152"/>
      <c r="L462" s="194"/>
      <c r="M462" s="194"/>
      <c r="N462" s="194"/>
      <c r="O462" s="194"/>
      <c r="P462" s="194"/>
      <c r="Q462" s="194"/>
      <c r="R462" s="194"/>
      <c r="S462" s="194"/>
      <c r="T462" s="194"/>
      <c r="U462" s="194"/>
      <c r="V462" s="194"/>
      <c r="W462" s="194"/>
      <c r="X462" s="194"/>
      <c r="Y462" s="194"/>
      <c r="Z462" s="194"/>
    </row>
    <row r="463" spans="1:26" ht="49.95" customHeight="1">
      <c r="A463" s="29" t="s">
        <v>368</v>
      </c>
      <c r="B463" s="89">
        <v>94275</v>
      </c>
      <c r="C463" s="156" t="s">
        <v>573</v>
      </c>
      <c r="D463" s="89"/>
      <c r="E463" s="89"/>
      <c r="F463" s="89"/>
      <c r="G463" s="89"/>
      <c r="H463" s="89"/>
      <c r="I463" s="89"/>
      <c r="J463" s="157"/>
      <c r="K463" s="152"/>
      <c r="L463" s="194"/>
      <c r="M463" s="194"/>
      <c r="N463" s="194"/>
      <c r="O463" s="194"/>
      <c r="P463" s="194"/>
      <c r="Q463" s="194"/>
      <c r="R463" s="194"/>
      <c r="S463" s="194"/>
      <c r="T463" s="194"/>
      <c r="U463" s="194"/>
      <c r="V463" s="194"/>
      <c r="W463" s="194"/>
      <c r="X463" s="194"/>
      <c r="Y463" s="194"/>
      <c r="Z463" s="194"/>
    </row>
    <row r="464" spans="1:26" ht="49.95" customHeight="1">
      <c r="A464" s="29" t="s">
        <v>369</v>
      </c>
      <c r="B464" s="33">
        <v>94276</v>
      </c>
      <c r="C464" s="156" t="s">
        <v>574</v>
      </c>
      <c r="D464" s="89"/>
      <c r="E464" s="89"/>
      <c r="F464" s="89"/>
      <c r="G464" s="89"/>
      <c r="H464" s="89"/>
      <c r="I464" s="89"/>
      <c r="J464" s="157"/>
      <c r="K464" s="152"/>
      <c r="L464" s="194"/>
      <c r="M464" s="194"/>
      <c r="N464" s="194"/>
      <c r="O464" s="194"/>
      <c r="P464" s="194"/>
      <c r="Q464" s="194"/>
      <c r="R464" s="194"/>
      <c r="S464" s="194"/>
      <c r="T464" s="194"/>
      <c r="U464" s="194"/>
      <c r="V464" s="194"/>
      <c r="W464" s="194"/>
      <c r="X464" s="194"/>
      <c r="Y464" s="194"/>
      <c r="Z464" s="194"/>
    </row>
    <row r="465" spans="1:26" ht="49.95" customHeight="1">
      <c r="A465" s="29" t="s">
        <v>370</v>
      </c>
      <c r="B465" s="33">
        <v>92397</v>
      </c>
      <c r="C465" s="156" t="s">
        <v>575</v>
      </c>
      <c r="D465" s="89"/>
      <c r="E465" s="89"/>
      <c r="F465" s="89"/>
      <c r="G465" s="89"/>
      <c r="H465" s="89"/>
      <c r="I465" s="89"/>
      <c r="J465" s="157"/>
      <c r="K465" s="152"/>
      <c r="L465" s="194"/>
      <c r="M465" s="194"/>
      <c r="N465" s="194"/>
      <c r="O465" s="194"/>
      <c r="P465" s="194"/>
      <c r="Q465" s="194"/>
      <c r="R465" s="194"/>
      <c r="S465" s="194"/>
      <c r="T465" s="194"/>
      <c r="U465" s="194"/>
      <c r="V465" s="194"/>
      <c r="W465" s="194"/>
      <c r="X465" s="194"/>
      <c r="Y465" s="194"/>
      <c r="Z465" s="194"/>
    </row>
    <row r="466" spans="1:26" ht="49.95" customHeight="1">
      <c r="A466" s="29" t="s">
        <v>371</v>
      </c>
      <c r="B466" s="33">
        <v>105004</v>
      </c>
      <c r="C466" s="156" t="s">
        <v>576</v>
      </c>
      <c r="D466" s="89"/>
      <c r="E466" s="89"/>
      <c r="F466" s="89"/>
      <c r="G466" s="89"/>
      <c r="H466" s="89"/>
      <c r="I466" s="89"/>
      <c r="J466" s="157"/>
      <c r="K466" s="152"/>
      <c r="L466" s="194"/>
      <c r="M466" s="194"/>
      <c r="N466" s="194"/>
      <c r="O466" s="194"/>
      <c r="P466" s="194"/>
      <c r="Q466" s="194"/>
      <c r="R466" s="194"/>
      <c r="S466" s="194"/>
      <c r="T466" s="194"/>
      <c r="U466" s="194"/>
      <c r="V466" s="194"/>
      <c r="W466" s="194"/>
      <c r="X466" s="194"/>
      <c r="Y466" s="194"/>
      <c r="Z466" s="194"/>
    </row>
    <row r="467" spans="1:26" ht="49.95" customHeight="1">
      <c r="A467" s="29" t="s">
        <v>372</v>
      </c>
      <c r="B467" s="33">
        <v>102498</v>
      </c>
      <c r="C467" s="156" t="s">
        <v>577</v>
      </c>
      <c r="D467" s="89"/>
      <c r="E467" s="89"/>
      <c r="F467" s="89"/>
      <c r="G467" s="89"/>
      <c r="H467" s="89"/>
      <c r="I467" s="89"/>
      <c r="J467" s="157"/>
      <c r="K467" s="152"/>
      <c r="L467" s="194"/>
      <c r="M467" s="194"/>
      <c r="N467" s="194"/>
      <c r="O467" s="194"/>
      <c r="P467" s="194"/>
      <c r="Q467" s="194"/>
      <c r="R467" s="194"/>
      <c r="S467" s="194"/>
      <c r="T467" s="194"/>
      <c r="U467" s="194"/>
      <c r="V467" s="194"/>
      <c r="W467" s="194"/>
      <c r="X467" s="194"/>
      <c r="Y467" s="194"/>
      <c r="Z467" s="194"/>
    </row>
    <row r="468" spans="1:26" ht="49.95" customHeight="1">
      <c r="A468" s="29" t="s">
        <v>373</v>
      </c>
      <c r="B468" s="33">
        <v>104658</v>
      </c>
      <c r="C468" s="156" t="s">
        <v>578</v>
      </c>
      <c r="D468" s="89"/>
      <c r="E468" s="89"/>
      <c r="F468" s="89"/>
      <c r="G468" s="89"/>
      <c r="H468" s="89"/>
      <c r="I468" s="89"/>
      <c r="J468" s="157"/>
      <c r="K468" s="152"/>
      <c r="L468" s="194"/>
      <c r="M468" s="194"/>
      <c r="N468" s="194"/>
      <c r="O468" s="194"/>
      <c r="P468" s="194"/>
      <c r="Q468" s="194"/>
      <c r="R468" s="194"/>
      <c r="S468" s="194"/>
      <c r="T468" s="194"/>
      <c r="U468" s="194"/>
      <c r="V468" s="194"/>
      <c r="W468" s="194"/>
      <c r="X468" s="194"/>
      <c r="Y468" s="194"/>
      <c r="Z468" s="194"/>
    </row>
    <row r="469" spans="1:26" ht="49.95" customHeight="1">
      <c r="A469" s="29" t="s">
        <v>374</v>
      </c>
      <c r="B469" s="33">
        <v>104658</v>
      </c>
      <c r="C469" s="156" t="s">
        <v>578</v>
      </c>
      <c r="D469" s="89"/>
      <c r="E469" s="89"/>
      <c r="F469" s="89"/>
      <c r="G469" s="89"/>
      <c r="H469" s="89"/>
      <c r="I469" s="89"/>
      <c r="J469" s="157"/>
      <c r="K469" s="152"/>
      <c r="L469" s="194"/>
      <c r="M469" s="194"/>
      <c r="N469" s="194"/>
      <c r="O469" s="194"/>
      <c r="P469" s="194"/>
      <c r="Q469" s="194"/>
      <c r="R469" s="194"/>
      <c r="S469" s="194"/>
      <c r="T469" s="194"/>
      <c r="U469" s="194"/>
      <c r="V469" s="194"/>
      <c r="W469" s="194"/>
      <c r="X469" s="194"/>
      <c r="Y469" s="194"/>
      <c r="Z469" s="194"/>
    </row>
    <row r="470" spans="1:26" ht="49.95" customHeight="1">
      <c r="A470" s="29" t="s">
        <v>375</v>
      </c>
      <c r="B470" s="33">
        <v>102494</v>
      </c>
      <c r="C470" s="156" t="s">
        <v>579</v>
      </c>
      <c r="D470" s="89"/>
      <c r="E470" s="89"/>
      <c r="F470" s="89"/>
      <c r="G470" s="89"/>
      <c r="H470" s="89"/>
      <c r="I470" s="89"/>
      <c r="J470" s="157"/>
      <c r="K470" s="152"/>
      <c r="L470" s="194"/>
      <c r="M470" s="194"/>
      <c r="N470" s="194"/>
      <c r="O470" s="194"/>
      <c r="P470" s="194"/>
      <c r="Q470" s="194"/>
      <c r="R470" s="194"/>
      <c r="S470" s="194"/>
      <c r="T470" s="194"/>
      <c r="U470" s="194"/>
      <c r="V470" s="194"/>
      <c r="W470" s="194"/>
      <c r="X470" s="194"/>
      <c r="Y470" s="194"/>
      <c r="Z470" s="194"/>
    </row>
    <row r="471" spans="1:26" ht="49.95" customHeight="1">
      <c r="A471" s="29" t="s">
        <v>376</v>
      </c>
      <c r="B471" s="89">
        <v>103946</v>
      </c>
      <c r="C471" s="156" t="s">
        <v>580</v>
      </c>
      <c r="D471" s="89"/>
      <c r="E471" s="89"/>
      <c r="F471" s="89"/>
      <c r="G471" s="89"/>
      <c r="H471" s="89"/>
      <c r="I471" s="89"/>
      <c r="J471" s="157"/>
      <c r="K471" s="152"/>
      <c r="L471" s="194"/>
      <c r="M471" s="194"/>
      <c r="N471" s="194"/>
      <c r="O471" s="194"/>
      <c r="P471" s="194"/>
      <c r="Q471" s="194"/>
      <c r="R471" s="194"/>
      <c r="S471" s="194"/>
      <c r="T471" s="194"/>
      <c r="U471" s="194"/>
      <c r="V471" s="194"/>
      <c r="W471" s="194"/>
      <c r="X471" s="194"/>
      <c r="Y471" s="194"/>
      <c r="Z471" s="194"/>
    </row>
    <row r="472" spans="1:26" ht="25.05" customHeight="1">
      <c r="A472" s="91" t="s">
        <v>34</v>
      </c>
      <c r="B472" s="211" t="s">
        <v>377</v>
      </c>
      <c r="C472" s="211"/>
      <c r="D472" s="147"/>
      <c r="E472" s="147"/>
      <c r="F472" s="147"/>
      <c r="G472" s="147"/>
      <c r="H472" s="150"/>
      <c r="I472" s="150"/>
      <c r="J472" s="150"/>
      <c r="K472" s="150"/>
      <c r="L472" s="194"/>
      <c r="M472" s="194"/>
      <c r="N472" s="194"/>
      <c r="O472" s="194"/>
      <c r="P472" s="194"/>
      <c r="Q472" s="194"/>
      <c r="R472" s="194"/>
      <c r="S472" s="194"/>
      <c r="T472" s="194"/>
      <c r="U472" s="194"/>
      <c r="V472" s="194"/>
      <c r="W472" s="194"/>
      <c r="X472" s="194"/>
      <c r="Y472" s="194"/>
      <c r="Z472" s="194"/>
    </row>
    <row r="473" spans="1:26" ht="49.95" customHeight="1">
      <c r="A473" s="29" t="s">
        <v>378</v>
      </c>
      <c r="B473" s="33">
        <v>103946</v>
      </c>
      <c r="C473" s="156" t="s">
        <v>580</v>
      </c>
      <c r="D473" s="89"/>
      <c r="E473" s="89"/>
      <c r="F473" s="89"/>
      <c r="G473" s="89"/>
      <c r="H473" s="89"/>
      <c r="I473" s="89"/>
      <c r="J473" s="157"/>
      <c r="K473" s="152"/>
      <c r="L473" s="194"/>
      <c r="M473" s="194"/>
      <c r="N473" s="194"/>
      <c r="O473" s="194"/>
      <c r="P473" s="194"/>
      <c r="Q473" s="194"/>
      <c r="R473" s="194"/>
      <c r="S473" s="194"/>
      <c r="T473" s="194"/>
      <c r="U473" s="194"/>
      <c r="V473" s="194"/>
      <c r="W473" s="194"/>
      <c r="X473" s="194"/>
      <c r="Y473" s="194"/>
      <c r="Z473" s="194"/>
    </row>
    <row r="474" spans="1:26" ht="49.95" customHeight="1">
      <c r="A474" s="29" t="s">
        <v>379</v>
      </c>
      <c r="B474" s="89">
        <v>105521</v>
      </c>
      <c r="C474" s="156" t="s">
        <v>581</v>
      </c>
      <c r="D474" s="89"/>
      <c r="E474" s="89"/>
      <c r="F474" s="89"/>
      <c r="G474" s="89"/>
      <c r="H474" s="89"/>
      <c r="I474" s="89"/>
      <c r="J474" s="157"/>
      <c r="K474" s="152"/>
      <c r="L474" s="194"/>
      <c r="M474" s="194"/>
      <c r="N474" s="194"/>
      <c r="O474" s="194"/>
      <c r="P474" s="194"/>
      <c r="Q474" s="194"/>
      <c r="R474" s="194"/>
      <c r="S474" s="194"/>
      <c r="T474" s="194"/>
      <c r="U474" s="194"/>
      <c r="V474" s="194"/>
      <c r="W474" s="194"/>
      <c r="X474" s="194"/>
      <c r="Y474" s="194"/>
      <c r="Z474" s="194"/>
    </row>
    <row r="475" spans="1:26" ht="49.95" customHeight="1">
      <c r="A475" s="29" t="s">
        <v>380</v>
      </c>
      <c r="B475" s="33">
        <v>25</v>
      </c>
      <c r="C475" s="156" t="s">
        <v>582</v>
      </c>
      <c r="D475" s="89"/>
      <c r="E475" s="89"/>
      <c r="F475" s="89"/>
      <c r="G475" s="89"/>
      <c r="H475" s="89"/>
      <c r="I475" s="89"/>
      <c r="J475" s="157"/>
      <c r="K475" s="152"/>
      <c r="L475" s="194"/>
      <c r="M475" s="194"/>
      <c r="N475" s="194"/>
      <c r="O475" s="194"/>
      <c r="P475" s="194"/>
      <c r="Q475" s="194"/>
      <c r="R475" s="194"/>
      <c r="S475" s="194"/>
      <c r="T475" s="194"/>
      <c r="U475" s="194"/>
      <c r="V475" s="194"/>
      <c r="W475" s="194"/>
      <c r="X475" s="194"/>
      <c r="Y475" s="194"/>
      <c r="Z475" s="194"/>
    </row>
    <row r="476" spans="1:26" ht="25.05" customHeight="1">
      <c r="A476" s="91" t="s">
        <v>35</v>
      </c>
      <c r="B476" s="211" t="s">
        <v>381</v>
      </c>
      <c r="C476" s="211"/>
      <c r="D476" s="147"/>
      <c r="E476" s="147"/>
      <c r="F476" s="147"/>
      <c r="G476" s="147"/>
      <c r="H476" s="150"/>
      <c r="I476" s="150"/>
      <c r="J476" s="150"/>
      <c r="K476" s="150"/>
      <c r="L476" s="194"/>
      <c r="M476" s="194"/>
      <c r="N476" s="194"/>
      <c r="O476" s="194"/>
      <c r="P476" s="194"/>
      <c r="Q476" s="194"/>
      <c r="R476" s="194"/>
      <c r="S476" s="194"/>
      <c r="T476" s="194"/>
      <c r="U476" s="194"/>
      <c r="V476" s="194"/>
      <c r="W476" s="194"/>
      <c r="X476" s="194"/>
      <c r="Y476" s="194"/>
      <c r="Z476" s="194"/>
    </row>
    <row r="477" spans="1:26" ht="49.95" customHeight="1">
      <c r="A477" s="29" t="s">
        <v>382</v>
      </c>
      <c r="B477" s="33">
        <v>93358</v>
      </c>
      <c r="C477" s="156" t="s">
        <v>410</v>
      </c>
      <c r="D477" s="89"/>
      <c r="E477" s="89"/>
      <c r="F477" s="89"/>
      <c r="G477" s="89"/>
      <c r="H477" s="89"/>
      <c r="I477" s="89"/>
      <c r="J477" s="157"/>
      <c r="K477" s="152"/>
      <c r="L477" s="194"/>
      <c r="M477" s="194"/>
      <c r="N477" s="194"/>
      <c r="O477" s="194"/>
      <c r="P477" s="194"/>
      <c r="Q477" s="194"/>
      <c r="R477" s="194"/>
      <c r="S477" s="194"/>
      <c r="T477" s="194"/>
      <c r="U477" s="194"/>
      <c r="V477" s="194"/>
      <c r="W477" s="194"/>
      <c r="X477" s="194"/>
      <c r="Y477" s="194"/>
      <c r="Z477" s="194"/>
    </row>
    <row r="478" spans="1:26" ht="49.95" customHeight="1">
      <c r="A478" s="29" t="s">
        <v>383</v>
      </c>
      <c r="B478" s="89">
        <v>101616</v>
      </c>
      <c r="C478" s="156" t="s">
        <v>413</v>
      </c>
      <c r="D478" s="89"/>
      <c r="E478" s="89"/>
      <c r="F478" s="89"/>
      <c r="G478" s="89"/>
      <c r="H478" s="89"/>
      <c r="I478" s="89"/>
      <c r="J478" s="157"/>
      <c r="K478" s="152"/>
      <c r="L478" s="194"/>
      <c r="M478" s="194"/>
      <c r="N478" s="194"/>
      <c r="O478" s="194"/>
      <c r="P478" s="194"/>
      <c r="Q478" s="194"/>
      <c r="R478" s="194"/>
      <c r="S478" s="194"/>
      <c r="T478" s="194"/>
      <c r="U478" s="194"/>
      <c r="V478" s="194"/>
      <c r="W478" s="194"/>
      <c r="X478" s="194"/>
      <c r="Y478" s="194"/>
      <c r="Z478" s="194"/>
    </row>
    <row r="479" spans="1:26" ht="49.95" customHeight="1">
      <c r="A479" s="29" t="s">
        <v>384</v>
      </c>
      <c r="B479" s="33">
        <v>96619</v>
      </c>
      <c r="C479" s="156" t="s">
        <v>412</v>
      </c>
      <c r="D479" s="89"/>
      <c r="E479" s="89"/>
      <c r="F479" s="89"/>
      <c r="G479" s="89"/>
      <c r="H479" s="89"/>
      <c r="I479" s="89"/>
      <c r="J479" s="157"/>
      <c r="K479" s="152"/>
      <c r="L479" s="194"/>
      <c r="M479" s="194"/>
      <c r="N479" s="194"/>
      <c r="O479" s="194"/>
      <c r="P479" s="194"/>
      <c r="Q479" s="194"/>
      <c r="R479" s="194"/>
      <c r="S479" s="194"/>
      <c r="T479" s="194"/>
      <c r="U479" s="194"/>
      <c r="V479" s="194"/>
      <c r="W479" s="194"/>
      <c r="X479" s="194"/>
      <c r="Y479" s="194"/>
      <c r="Z479" s="194"/>
    </row>
    <row r="480" spans="1:26" ht="49.95" customHeight="1">
      <c r="A480" s="29" t="s">
        <v>385</v>
      </c>
      <c r="B480" s="33">
        <v>8</v>
      </c>
      <c r="C480" s="156" t="s">
        <v>583</v>
      </c>
      <c r="D480" s="89"/>
      <c r="E480" s="89"/>
      <c r="F480" s="89"/>
      <c r="G480" s="89"/>
      <c r="H480" s="89"/>
      <c r="I480" s="89"/>
      <c r="J480" s="157"/>
      <c r="K480" s="152"/>
      <c r="L480" s="194"/>
      <c r="M480" s="194"/>
      <c r="N480" s="194"/>
      <c r="O480" s="194"/>
      <c r="P480" s="194"/>
      <c r="Q480" s="194"/>
      <c r="R480" s="194"/>
      <c r="S480" s="194"/>
      <c r="T480" s="194"/>
      <c r="U480" s="194"/>
      <c r="V480" s="194"/>
      <c r="W480" s="194"/>
      <c r="X480" s="194"/>
      <c r="Y480" s="194"/>
      <c r="Z480" s="194"/>
    </row>
    <row r="481" spans="1:26" ht="49.95" customHeight="1">
      <c r="A481" s="29" t="s">
        <v>386</v>
      </c>
      <c r="B481" s="33">
        <v>87878</v>
      </c>
      <c r="C481" s="156" t="s">
        <v>584</v>
      </c>
      <c r="D481" s="89"/>
      <c r="E481" s="89"/>
      <c r="F481" s="89"/>
      <c r="G481" s="89"/>
      <c r="H481" s="89"/>
      <c r="I481" s="89"/>
      <c r="J481" s="157"/>
      <c r="K481" s="152"/>
      <c r="L481" s="194"/>
      <c r="M481" s="194"/>
      <c r="N481" s="194"/>
      <c r="O481" s="194"/>
      <c r="P481" s="194"/>
      <c r="Q481" s="194"/>
      <c r="R481" s="194"/>
      <c r="S481" s="194"/>
      <c r="T481" s="194"/>
      <c r="U481" s="194"/>
      <c r="V481" s="194"/>
      <c r="W481" s="194"/>
      <c r="X481" s="194"/>
      <c r="Y481" s="194"/>
      <c r="Z481" s="194"/>
    </row>
    <row r="482" spans="1:26" ht="49.95" customHeight="1">
      <c r="A482" s="29" t="s">
        <v>387</v>
      </c>
      <c r="B482" s="33">
        <v>87528</v>
      </c>
      <c r="C482" s="156" t="s">
        <v>585</v>
      </c>
      <c r="D482" s="89"/>
      <c r="E482" s="89"/>
      <c r="F482" s="89"/>
      <c r="G482" s="89"/>
      <c r="H482" s="89"/>
      <c r="I482" s="89"/>
      <c r="J482" s="157"/>
      <c r="K482" s="152"/>
      <c r="L482" s="194"/>
      <c r="M482" s="194"/>
      <c r="N482" s="194"/>
      <c r="O482" s="194"/>
      <c r="P482" s="194"/>
      <c r="Q482" s="194"/>
      <c r="R482" s="194"/>
      <c r="S482" s="194"/>
      <c r="T482" s="194"/>
      <c r="U482" s="194"/>
      <c r="V482" s="194"/>
      <c r="W482" s="194"/>
      <c r="X482" s="194"/>
      <c r="Y482" s="194"/>
      <c r="Z482" s="194"/>
    </row>
    <row r="483" spans="1:26" ht="49.95" customHeight="1">
      <c r="A483" s="29" t="s">
        <v>388</v>
      </c>
      <c r="B483" s="33">
        <v>95305</v>
      </c>
      <c r="C483" s="156" t="s">
        <v>586</v>
      </c>
      <c r="D483" s="89"/>
      <c r="E483" s="89"/>
      <c r="F483" s="89"/>
      <c r="G483" s="89"/>
      <c r="H483" s="89"/>
      <c r="I483" s="89"/>
      <c r="J483" s="157"/>
      <c r="K483" s="152"/>
      <c r="L483" s="194"/>
      <c r="M483" s="194"/>
      <c r="N483" s="194"/>
      <c r="O483" s="194"/>
      <c r="P483" s="194"/>
      <c r="Q483" s="194"/>
      <c r="R483" s="194"/>
      <c r="S483" s="194"/>
      <c r="T483" s="194"/>
      <c r="U483" s="194"/>
      <c r="V483" s="194"/>
      <c r="W483" s="194"/>
      <c r="X483" s="194"/>
      <c r="Y483" s="194"/>
      <c r="Z483" s="194"/>
    </row>
    <row r="484" spans="1:26" ht="49.95" customHeight="1">
      <c r="A484" s="29" t="s">
        <v>389</v>
      </c>
      <c r="B484" s="33">
        <v>8</v>
      </c>
      <c r="C484" s="156" t="s">
        <v>583</v>
      </c>
      <c r="D484" s="89"/>
      <c r="E484" s="89"/>
      <c r="F484" s="89"/>
      <c r="G484" s="89"/>
      <c r="H484" s="89"/>
      <c r="I484" s="89"/>
      <c r="J484" s="157"/>
      <c r="K484" s="152"/>
      <c r="L484" s="194"/>
      <c r="M484" s="194"/>
      <c r="N484" s="194"/>
      <c r="O484" s="194"/>
      <c r="P484" s="194"/>
      <c r="Q484" s="194"/>
      <c r="R484" s="194"/>
      <c r="S484" s="194"/>
      <c r="T484" s="194"/>
      <c r="U484" s="194"/>
      <c r="V484" s="194"/>
      <c r="W484" s="194"/>
      <c r="X484" s="194"/>
      <c r="Y484" s="194"/>
      <c r="Z484" s="194"/>
    </row>
    <row r="485" spans="1:26" ht="49.95" customHeight="1">
      <c r="A485" s="29" t="s">
        <v>390</v>
      </c>
      <c r="B485" s="33">
        <v>7</v>
      </c>
      <c r="C485" s="156" t="s">
        <v>587</v>
      </c>
      <c r="D485" s="89"/>
      <c r="E485" s="89"/>
      <c r="F485" s="89"/>
      <c r="G485" s="89"/>
      <c r="H485" s="89"/>
      <c r="I485" s="89"/>
      <c r="J485" s="157"/>
      <c r="K485" s="152"/>
      <c r="L485" s="194"/>
      <c r="M485" s="194"/>
      <c r="N485" s="194"/>
      <c r="O485" s="194"/>
      <c r="P485" s="194"/>
      <c r="Q485" s="194"/>
      <c r="R485" s="194"/>
      <c r="S485" s="194"/>
      <c r="T485" s="194"/>
      <c r="U485" s="194"/>
      <c r="V485" s="194"/>
      <c r="W485" s="194"/>
      <c r="X485" s="194"/>
      <c r="Y485" s="194"/>
      <c r="Z485" s="194"/>
    </row>
    <row r="486" spans="1:26" ht="25.05" customHeight="1">
      <c r="A486" s="91">
        <v>6</v>
      </c>
      <c r="B486" s="211" t="s">
        <v>391</v>
      </c>
      <c r="C486" s="211"/>
      <c r="D486" s="147"/>
      <c r="E486" s="147"/>
      <c r="F486" s="147"/>
      <c r="G486" s="147"/>
      <c r="H486" s="150"/>
      <c r="I486" s="150"/>
      <c r="J486" s="150"/>
      <c r="K486" s="150"/>
      <c r="L486" s="194"/>
      <c r="M486" s="194"/>
      <c r="N486" s="194"/>
      <c r="O486" s="194"/>
      <c r="P486" s="194"/>
      <c r="Q486" s="194"/>
      <c r="R486" s="194"/>
      <c r="S486" s="194"/>
      <c r="T486" s="194"/>
      <c r="U486" s="194"/>
      <c r="V486" s="194"/>
      <c r="W486" s="194"/>
      <c r="X486" s="194"/>
      <c r="Y486" s="194"/>
      <c r="Z486" s="194"/>
    </row>
    <row r="487" spans="1:26" ht="49.95" customHeight="1">
      <c r="A487" s="29" t="s">
        <v>24</v>
      </c>
      <c r="B487" s="33">
        <v>93358</v>
      </c>
      <c r="C487" s="156" t="s">
        <v>410</v>
      </c>
      <c r="D487" s="89"/>
      <c r="E487" s="89"/>
      <c r="F487" s="89"/>
      <c r="G487" s="89"/>
      <c r="H487" s="89"/>
      <c r="I487" s="89"/>
      <c r="J487" s="157"/>
      <c r="K487" s="152"/>
      <c r="L487" s="194"/>
      <c r="M487" s="194"/>
      <c r="N487" s="194"/>
      <c r="O487" s="194"/>
      <c r="P487" s="194"/>
      <c r="Q487" s="194"/>
      <c r="R487" s="194"/>
      <c r="S487" s="194"/>
      <c r="T487" s="194"/>
      <c r="U487" s="194"/>
      <c r="V487" s="194"/>
      <c r="W487" s="194"/>
      <c r="X487" s="194"/>
      <c r="Y487" s="194"/>
      <c r="Z487" s="194"/>
    </row>
    <row r="488" spans="1:26" ht="49.95" customHeight="1">
      <c r="A488" s="29" t="s">
        <v>36</v>
      </c>
      <c r="B488" s="89">
        <v>97882</v>
      </c>
      <c r="C488" s="156" t="s">
        <v>588</v>
      </c>
      <c r="D488" s="89"/>
      <c r="E488" s="89"/>
      <c r="F488" s="89"/>
      <c r="G488" s="89"/>
      <c r="H488" s="89"/>
      <c r="I488" s="89"/>
      <c r="J488" s="157"/>
      <c r="K488" s="152"/>
      <c r="L488" s="194"/>
      <c r="M488" s="194"/>
      <c r="N488" s="194"/>
      <c r="O488" s="194"/>
      <c r="P488" s="194"/>
      <c r="Q488" s="194"/>
      <c r="R488" s="194"/>
      <c r="S488" s="194"/>
      <c r="T488" s="194"/>
      <c r="U488" s="194"/>
      <c r="V488" s="194"/>
      <c r="W488" s="194"/>
      <c r="X488" s="194"/>
      <c r="Y488" s="194"/>
      <c r="Z488" s="194"/>
    </row>
    <row r="489" spans="1:26" ht="49.95" customHeight="1">
      <c r="A489" s="29" t="s">
        <v>392</v>
      </c>
      <c r="B489" s="33">
        <v>20</v>
      </c>
      <c r="C489" s="156" t="s">
        <v>589</v>
      </c>
      <c r="D489" s="89"/>
      <c r="E489" s="89"/>
      <c r="F489" s="89"/>
      <c r="G489" s="89"/>
      <c r="H489" s="89"/>
      <c r="I489" s="89"/>
      <c r="J489" s="157"/>
      <c r="K489" s="152"/>
      <c r="L489" s="194"/>
      <c r="M489" s="194"/>
      <c r="N489" s="194"/>
      <c r="O489" s="194"/>
      <c r="P489" s="194"/>
      <c r="Q489" s="194"/>
      <c r="R489" s="194"/>
      <c r="S489" s="194"/>
      <c r="T489" s="194"/>
      <c r="U489" s="194"/>
      <c r="V489" s="194"/>
      <c r="W489" s="194"/>
      <c r="X489" s="194"/>
      <c r="Y489" s="194"/>
      <c r="Z489" s="194"/>
    </row>
    <row r="490" spans="1:26" ht="49.95" customHeight="1">
      <c r="A490" s="29" t="s">
        <v>393</v>
      </c>
      <c r="B490" s="33">
        <v>91914</v>
      </c>
      <c r="C490" s="156" t="s">
        <v>471</v>
      </c>
      <c r="D490" s="89"/>
      <c r="E490" s="89"/>
      <c r="F490" s="89"/>
      <c r="G490" s="89"/>
      <c r="H490" s="89"/>
      <c r="I490" s="89"/>
      <c r="J490" s="157"/>
      <c r="K490" s="152"/>
      <c r="L490" s="194"/>
      <c r="M490" s="194"/>
      <c r="N490" s="194"/>
      <c r="O490" s="194"/>
      <c r="P490" s="194"/>
      <c r="Q490" s="194"/>
      <c r="R490" s="194"/>
      <c r="S490" s="194"/>
      <c r="T490" s="194"/>
      <c r="U490" s="194"/>
      <c r="V490" s="194"/>
      <c r="W490" s="194"/>
      <c r="X490" s="194"/>
      <c r="Y490" s="194"/>
      <c r="Z490" s="194"/>
    </row>
    <row r="491" spans="1:26" ht="49.95" customHeight="1">
      <c r="A491" s="29" t="s">
        <v>394</v>
      </c>
      <c r="B491" s="33">
        <v>91902</v>
      </c>
      <c r="C491" s="156" t="s">
        <v>590</v>
      </c>
      <c r="D491" s="89"/>
      <c r="E491" s="89"/>
      <c r="F491" s="89"/>
      <c r="G491" s="89"/>
      <c r="H491" s="89"/>
      <c r="I491" s="89"/>
      <c r="J491" s="157"/>
      <c r="K491" s="152"/>
      <c r="L491" s="194"/>
      <c r="M491" s="194"/>
      <c r="N491" s="194"/>
      <c r="O491" s="194"/>
      <c r="P491" s="194"/>
      <c r="Q491" s="194"/>
      <c r="R491" s="194"/>
      <c r="S491" s="194"/>
      <c r="T491" s="194"/>
      <c r="U491" s="194"/>
      <c r="V491" s="194"/>
      <c r="W491" s="194"/>
      <c r="X491" s="194"/>
      <c r="Y491" s="194"/>
      <c r="Z491" s="194"/>
    </row>
    <row r="492" spans="1:26" ht="49.95" customHeight="1">
      <c r="A492" s="29" t="s">
        <v>395</v>
      </c>
      <c r="B492" s="33">
        <v>91884</v>
      </c>
      <c r="C492" s="156" t="s">
        <v>472</v>
      </c>
      <c r="D492" s="89"/>
      <c r="E492" s="89"/>
      <c r="F492" s="89"/>
      <c r="G492" s="89"/>
      <c r="H492" s="89"/>
      <c r="I492" s="89"/>
      <c r="J492" s="157"/>
      <c r="K492" s="152"/>
      <c r="L492" s="194"/>
      <c r="M492" s="194"/>
      <c r="N492" s="194"/>
      <c r="O492" s="194"/>
      <c r="P492" s="194"/>
      <c r="Q492" s="194"/>
      <c r="R492" s="194"/>
      <c r="S492" s="194"/>
      <c r="T492" s="194"/>
      <c r="U492" s="194"/>
      <c r="V492" s="194"/>
      <c r="W492" s="194"/>
      <c r="X492" s="194"/>
      <c r="Y492" s="194"/>
      <c r="Z492" s="194"/>
    </row>
    <row r="493" spans="1:26" ht="49.95" customHeight="1">
      <c r="A493" s="29" t="s">
        <v>396</v>
      </c>
      <c r="B493" s="33">
        <v>93013</v>
      </c>
      <c r="C493" s="156" t="s">
        <v>591</v>
      </c>
      <c r="D493" s="89"/>
      <c r="E493" s="89"/>
      <c r="F493" s="89"/>
      <c r="G493" s="89"/>
      <c r="H493" s="89"/>
      <c r="I493" s="89"/>
      <c r="J493" s="157"/>
      <c r="K493" s="152"/>
      <c r="L493" s="194"/>
      <c r="M493" s="194"/>
      <c r="N493" s="194"/>
      <c r="O493" s="194"/>
      <c r="P493" s="194"/>
      <c r="Q493" s="194"/>
      <c r="R493" s="194"/>
      <c r="S493" s="194"/>
      <c r="T493" s="194"/>
      <c r="U493" s="194"/>
      <c r="V493" s="194"/>
      <c r="W493" s="194"/>
      <c r="X493" s="194"/>
      <c r="Y493" s="194"/>
      <c r="Z493" s="194"/>
    </row>
    <row r="494" spans="1:26" ht="49.95" customHeight="1">
      <c r="A494" s="29" t="s">
        <v>397</v>
      </c>
      <c r="B494" s="33">
        <v>39470</v>
      </c>
      <c r="C494" s="156" t="s">
        <v>473</v>
      </c>
      <c r="D494" s="89"/>
      <c r="E494" s="89"/>
      <c r="F494" s="89"/>
      <c r="G494" s="89"/>
      <c r="H494" s="89"/>
      <c r="I494" s="89"/>
      <c r="J494" s="157"/>
      <c r="K494" s="152"/>
      <c r="L494" s="194"/>
      <c r="M494" s="194"/>
      <c r="N494" s="194"/>
      <c r="O494" s="194"/>
      <c r="P494" s="194"/>
      <c r="Q494" s="194"/>
      <c r="R494" s="194"/>
      <c r="S494" s="194"/>
      <c r="T494" s="194"/>
      <c r="U494" s="194"/>
      <c r="V494" s="194"/>
      <c r="W494" s="194"/>
      <c r="X494" s="194"/>
      <c r="Y494" s="194"/>
      <c r="Z494" s="194"/>
    </row>
    <row r="495" spans="1:26" ht="49.95" customHeight="1">
      <c r="A495" s="29" t="s">
        <v>398</v>
      </c>
      <c r="B495" s="33">
        <v>93656</v>
      </c>
      <c r="C495" s="156" t="s">
        <v>592</v>
      </c>
      <c r="D495" s="89"/>
      <c r="E495" s="89"/>
      <c r="F495" s="89"/>
      <c r="G495" s="89"/>
      <c r="H495" s="89"/>
      <c r="I495" s="89"/>
      <c r="J495" s="157"/>
      <c r="K495" s="152"/>
      <c r="L495" s="194"/>
      <c r="M495" s="194"/>
      <c r="N495" s="194"/>
      <c r="O495" s="194"/>
      <c r="P495" s="194"/>
      <c r="Q495" s="194"/>
      <c r="R495" s="194"/>
      <c r="S495" s="194"/>
      <c r="T495" s="194"/>
      <c r="U495" s="194"/>
      <c r="V495" s="194"/>
      <c r="W495" s="194"/>
      <c r="X495" s="194"/>
      <c r="Y495" s="194"/>
      <c r="Z495" s="194"/>
    </row>
    <row r="496" spans="1:26" ht="49.95" customHeight="1">
      <c r="A496" s="29" t="s">
        <v>399</v>
      </c>
      <c r="B496" s="89">
        <v>93657</v>
      </c>
      <c r="C496" s="156" t="s">
        <v>477</v>
      </c>
      <c r="D496" s="89"/>
      <c r="E496" s="89"/>
      <c r="F496" s="89"/>
      <c r="G496" s="89"/>
      <c r="H496" s="89"/>
      <c r="I496" s="89"/>
      <c r="J496" s="157"/>
      <c r="K496" s="152"/>
      <c r="L496" s="194"/>
      <c r="M496" s="194"/>
      <c r="N496" s="194"/>
      <c r="O496" s="194"/>
      <c r="P496" s="194"/>
      <c r="Q496" s="194"/>
      <c r="R496" s="194"/>
      <c r="S496" s="194"/>
      <c r="T496" s="194"/>
      <c r="U496" s="194"/>
      <c r="V496" s="194"/>
      <c r="W496" s="194"/>
      <c r="X496" s="194"/>
      <c r="Y496" s="194"/>
      <c r="Z496" s="194"/>
    </row>
    <row r="497" spans="1:37" ht="49.95" customHeight="1">
      <c r="A497" s="29" t="s">
        <v>400</v>
      </c>
      <c r="B497" s="33">
        <v>39396</v>
      </c>
      <c r="C497" s="156" t="s">
        <v>593</v>
      </c>
      <c r="D497" s="89"/>
      <c r="E497" s="89"/>
      <c r="F497" s="89"/>
      <c r="G497" s="89"/>
      <c r="H497" s="89"/>
      <c r="I497" s="89"/>
      <c r="J497" s="157"/>
      <c r="K497" s="152"/>
      <c r="L497" s="194"/>
      <c r="M497" s="194"/>
      <c r="N497" s="194"/>
      <c r="O497" s="194"/>
      <c r="P497" s="194"/>
      <c r="Q497" s="194"/>
      <c r="R497" s="194"/>
      <c r="S497" s="194"/>
      <c r="T497" s="194"/>
      <c r="U497" s="194"/>
      <c r="V497" s="194"/>
      <c r="W497" s="194"/>
      <c r="X497" s="194"/>
      <c r="Y497" s="194"/>
      <c r="Z497" s="194"/>
    </row>
    <row r="498" spans="1:37" ht="49.95" customHeight="1">
      <c r="A498" s="29" t="s">
        <v>401</v>
      </c>
      <c r="B498" s="89">
        <v>21</v>
      </c>
      <c r="C498" s="156" t="s">
        <v>594</v>
      </c>
      <c r="D498" s="89"/>
      <c r="E498" s="89"/>
      <c r="F498" s="89"/>
      <c r="G498" s="89"/>
      <c r="H498" s="89"/>
      <c r="I498" s="89"/>
      <c r="J498" s="157"/>
      <c r="K498" s="152"/>
      <c r="L498" s="194"/>
      <c r="M498" s="194"/>
      <c r="N498" s="194"/>
      <c r="O498" s="194"/>
      <c r="P498" s="194"/>
      <c r="Q498" s="194"/>
      <c r="R498" s="194"/>
      <c r="S498" s="194"/>
      <c r="T498" s="194"/>
      <c r="U498" s="194"/>
      <c r="V498" s="194"/>
      <c r="W498" s="194"/>
      <c r="X498" s="194"/>
      <c r="Y498" s="194"/>
      <c r="Z498" s="194"/>
    </row>
    <row r="499" spans="1:37" ht="49.95" customHeight="1">
      <c r="A499" s="29" t="s">
        <v>402</v>
      </c>
      <c r="B499" s="33">
        <v>101876</v>
      </c>
      <c r="C499" s="156" t="s">
        <v>548</v>
      </c>
      <c r="D499" s="89"/>
      <c r="E499" s="89"/>
      <c r="F499" s="89"/>
      <c r="G499" s="89"/>
      <c r="H499" s="89"/>
      <c r="I499" s="89"/>
      <c r="J499" s="157"/>
      <c r="K499" s="152"/>
      <c r="L499" s="194"/>
      <c r="M499" s="194"/>
      <c r="N499" s="194"/>
      <c r="O499" s="194"/>
      <c r="P499" s="194"/>
      <c r="Q499" s="194"/>
      <c r="R499" s="194"/>
      <c r="S499" s="194"/>
      <c r="T499" s="194"/>
      <c r="U499" s="194"/>
      <c r="V499" s="194"/>
      <c r="W499" s="194"/>
      <c r="X499" s="194"/>
      <c r="Y499" s="194"/>
      <c r="Z499" s="194"/>
    </row>
    <row r="500" spans="1:37" ht="49.95" customHeight="1">
      <c r="A500" s="29" t="s">
        <v>403</v>
      </c>
      <c r="B500" s="33">
        <v>97886</v>
      </c>
      <c r="C500" s="156" t="s">
        <v>595</v>
      </c>
      <c r="D500" s="89"/>
      <c r="E500" s="89"/>
      <c r="F500" s="89"/>
      <c r="G500" s="89"/>
      <c r="H500" s="89"/>
      <c r="I500" s="89"/>
      <c r="J500" s="157"/>
      <c r="K500" s="152"/>
      <c r="L500" s="194"/>
      <c r="M500" s="194"/>
      <c r="N500" s="194"/>
      <c r="O500" s="194"/>
      <c r="P500" s="194"/>
      <c r="Q500" s="194"/>
      <c r="R500" s="194"/>
      <c r="S500" s="194"/>
      <c r="T500" s="194"/>
      <c r="U500" s="194"/>
      <c r="V500" s="194"/>
      <c r="W500" s="194"/>
      <c r="X500" s="194"/>
      <c r="Y500" s="194"/>
      <c r="Z500" s="194"/>
    </row>
    <row r="501" spans="1:37" ht="49.95" customHeight="1">
      <c r="A501" s="29" t="s">
        <v>404</v>
      </c>
      <c r="B501" s="33">
        <v>17</v>
      </c>
      <c r="C501" s="156" t="s">
        <v>482</v>
      </c>
      <c r="D501" s="89"/>
      <c r="E501" s="89"/>
      <c r="F501" s="89"/>
      <c r="G501" s="89"/>
      <c r="H501" s="89"/>
      <c r="I501" s="89"/>
      <c r="J501" s="157"/>
      <c r="K501" s="152"/>
      <c r="L501" s="194"/>
      <c r="M501" s="194"/>
      <c r="N501" s="194"/>
      <c r="O501" s="194"/>
      <c r="P501" s="194"/>
      <c r="Q501" s="194"/>
      <c r="R501" s="194"/>
      <c r="S501" s="194"/>
      <c r="T501" s="194"/>
      <c r="U501" s="194"/>
      <c r="V501" s="194"/>
      <c r="W501" s="194"/>
      <c r="X501" s="194"/>
      <c r="Y501" s="194"/>
      <c r="Z501" s="194"/>
    </row>
    <row r="502" spans="1:37" ht="49.95" customHeight="1">
      <c r="A502" s="29" t="s">
        <v>405</v>
      </c>
      <c r="B502" s="33">
        <v>96985</v>
      </c>
      <c r="C502" s="156" t="s">
        <v>481</v>
      </c>
      <c r="D502" s="89"/>
      <c r="E502" s="89"/>
      <c r="F502" s="89"/>
      <c r="G502" s="89"/>
      <c r="H502" s="89"/>
      <c r="I502" s="89"/>
      <c r="J502" s="157"/>
      <c r="K502" s="152"/>
      <c r="L502" s="194"/>
      <c r="M502" s="194"/>
      <c r="N502" s="194"/>
      <c r="O502" s="194"/>
      <c r="P502" s="194"/>
      <c r="Q502" s="194"/>
      <c r="R502" s="194"/>
      <c r="S502" s="194"/>
      <c r="T502" s="194"/>
      <c r="U502" s="194"/>
      <c r="V502" s="194"/>
      <c r="W502" s="194"/>
      <c r="X502" s="194"/>
      <c r="Y502" s="194"/>
      <c r="Z502" s="194"/>
    </row>
    <row r="503" spans="1:37" ht="49.95" customHeight="1">
      <c r="A503" s="29" t="s">
        <v>406</v>
      </c>
      <c r="B503" s="33">
        <v>91929</v>
      </c>
      <c r="C503" s="156" t="s">
        <v>596</v>
      </c>
      <c r="D503" s="89"/>
      <c r="E503" s="89"/>
      <c r="F503" s="89"/>
      <c r="G503" s="89"/>
      <c r="H503" s="89"/>
      <c r="I503" s="89"/>
      <c r="J503" s="157"/>
      <c r="K503" s="152"/>
      <c r="L503" s="194"/>
      <c r="M503" s="194"/>
      <c r="N503" s="194"/>
      <c r="O503" s="194"/>
      <c r="P503" s="194"/>
      <c r="Q503" s="194"/>
      <c r="R503" s="194"/>
      <c r="S503" s="194"/>
      <c r="T503" s="194"/>
      <c r="U503" s="194"/>
      <c r="V503" s="194"/>
      <c r="W503" s="194"/>
      <c r="X503" s="194"/>
      <c r="Y503" s="194"/>
      <c r="Z503" s="194"/>
    </row>
    <row r="504" spans="1:37" ht="49.95" customHeight="1">
      <c r="A504" s="29" t="s">
        <v>407</v>
      </c>
      <c r="B504" s="33">
        <v>91931</v>
      </c>
      <c r="C504" s="156" t="s">
        <v>485</v>
      </c>
      <c r="D504" s="89"/>
      <c r="E504" s="89"/>
      <c r="F504" s="89"/>
      <c r="G504" s="89"/>
      <c r="H504" s="89"/>
      <c r="I504" s="89"/>
      <c r="J504" s="157"/>
      <c r="K504" s="152"/>
      <c r="L504" s="194"/>
      <c r="M504" s="194"/>
      <c r="N504" s="194"/>
      <c r="O504" s="194"/>
      <c r="P504" s="194"/>
      <c r="Q504" s="194"/>
      <c r="R504" s="194"/>
      <c r="S504" s="194"/>
      <c r="T504" s="194"/>
      <c r="U504" s="194"/>
      <c r="V504" s="194"/>
      <c r="W504" s="194"/>
      <c r="X504" s="194"/>
      <c r="Y504" s="194"/>
      <c r="Z504" s="194"/>
    </row>
    <row r="505" spans="1:37" ht="49.95" customHeight="1">
      <c r="A505" s="29" t="s">
        <v>408</v>
      </c>
      <c r="B505" s="33">
        <v>29</v>
      </c>
      <c r="C505" s="156" t="s">
        <v>597</v>
      </c>
      <c r="D505" s="89"/>
      <c r="E505" s="89"/>
      <c r="F505" s="89"/>
      <c r="G505" s="89"/>
      <c r="H505" s="89"/>
      <c r="I505" s="89"/>
      <c r="J505" s="157"/>
      <c r="K505" s="152"/>
      <c r="L505" s="194"/>
      <c r="M505" s="194"/>
      <c r="N505" s="194"/>
      <c r="O505" s="194"/>
      <c r="P505" s="194"/>
      <c r="Q505" s="194"/>
      <c r="R505" s="194"/>
      <c r="S505" s="194"/>
      <c r="T505" s="194"/>
      <c r="U505" s="194"/>
      <c r="V505" s="194"/>
      <c r="W505" s="194"/>
      <c r="X505" s="194"/>
      <c r="Y505" s="194"/>
      <c r="Z505" s="194"/>
    </row>
    <row r="506" spans="1:37" s="69" customFormat="1" ht="70.05" customHeight="1">
      <c r="A506" s="195" t="s">
        <v>640</v>
      </c>
      <c r="B506" s="196"/>
      <c r="C506" s="197"/>
      <c r="D506" s="195" t="s">
        <v>641</v>
      </c>
      <c r="E506" s="196"/>
      <c r="F506" s="196"/>
      <c r="G506" s="196"/>
      <c r="H506" s="196"/>
      <c r="I506" s="196"/>
      <c r="J506" s="196"/>
      <c r="K506" s="197"/>
      <c r="L506" s="194"/>
      <c r="M506" s="194"/>
      <c r="N506" s="194"/>
      <c r="O506" s="194"/>
      <c r="P506" s="194"/>
      <c r="Q506" s="194"/>
      <c r="R506" s="194"/>
      <c r="S506" s="194"/>
      <c r="T506" s="194"/>
      <c r="U506" s="194"/>
      <c r="V506" s="194"/>
      <c r="W506" s="194"/>
      <c r="X506" s="194"/>
      <c r="Y506" s="194"/>
      <c r="Z506" s="194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</row>
    <row r="507" spans="1:37" s="69" customFormat="1">
      <c r="A507" s="198"/>
      <c r="B507" s="199"/>
      <c r="C507" s="200"/>
      <c r="D507" s="198"/>
      <c r="E507" s="199"/>
      <c r="F507" s="199"/>
      <c r="G507" s="199"/>
      <c r="H507" s="199"/>
      <c r="I507" s="199"/>
      <c r="J507" s="199"/>
      <c r="K507" s="200"/>
      <c r="L507" s="194"/>
      <c r="M507" s="194"/>
      <c r="N507" s="194"/>
      <c r="O507" s="194"/>
      <c r="P507" s="194"/>
      <c r="Q507" s="194"/>
      <c r="R507" s="194"/>
      <c r="S507" s="194"/>
      <c r="T507" s="194"/>
      <c r="U507" s="194"/>
      <c r="V507" s="194"/>
      <c r="W507" s="194"/>
      <c r="X507" s="194"/>
      <c r="Y507" s="194"/>
      <c r="Z507" s="194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</row>
    <row r="508" spans="1:37">
      <c r="A508" s="198"/>
      <c r="B508" s="199"/>
      <c r="C508" s="200"/>
      <c r="D508" s="198"/>
      <c r="E508" s="199"/>
      <c r="F508" s="199"/>
      <c r="G508" s="199"/>
      <c r="H508" s="199"/>
      <c r="I508" s="199"/>
      <c r="J508" s="199"/>
      <c r="K508" s="200"/>
    </row>
    <row r="509" spans="1:37" s="69" customFormat="1">
      <c r="A509" s="201"/>
      <c r="B509" s="202"/>
      <c r="C509" s="203"/>
      <c r="D509" s="201"/>
      <c r="E509" s="202"/>
      <c r="F509" s="202"/>
      <c r="G509" s="202"/>
      <c r="H509" s="202"/>
      <c r="I509" s="202"/>
      <c r="J509" s="202"/>
      <c r="K509" s="203"/>
      <c r="L509" s="16"/>
      <c r="M509" s="83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</row>
    <row r="510" spans="1:37" s="69" customForma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8"/>
      <c r="M510" s="16"/>
      <c r="N510" s="16"/>
      <c r="O510" s="18"/>
      <c r="P510" s="16"/>
      <c r="Q510" s="16"/>
      <c r="R510" s="18"/>
      <c r="S510" s="16"/>
      <c r="T510" s="16"/>
      <c r="U510" s="16"/>
      <c r="V510" s="16"/>
      <c r="W510" s="16"/>
      <c r="X510" s="18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</row>
    <row r="511" spans="1:37" s="69" customForma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</row>
    <row r="512" spans="1:37" s="69" customFormat="1">
      <c r="A512" s="16"/>
      <c r="B512" s="16"/>
      <c r="C512" s="18"/>
      <c r="D512" s="16"/>
      <c r="E512" s="18"/>
      <c r="F512" s="16"/>
      <c r="G512" s="16"/>
      <c r="H512" s="16"/>
      <c r="I512" s="19"/>
      <c r="J512" s="19"/>
      <c r="K512" s="16"/>
      <c r="L512" s="16"/>
      <c r="M512" s="16"/>
      <c r="N512" s="16"/>
      <c r="O512" s="19">
        <v>1451015.78</v>
      </c>
      <c r="P512" s="16" t="s">
        <v>56</v>
      </c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</row>
    <row r="513" spans="1:37" s="69" customFormat="1">
      <c r="A513" s="16"/>
      <c r="B513" s="16"/>
      <c r="C513" s="16"/>
      <c r="D513" s="16"/>
      <c r="E513" s="16"/>
      <c r="F513" s="16"/>
      <c r="G513" s="16"/>
      <c r="H513" s="16"/>
      <c r="I513" s="16">
        <v>0.25</v>
      </c>
      <c r="J513" s="16"/>
      <c r="K513" s="16"/>
      <c r="L513" s="16"/>
      <c r="M513" s="16"/>
      <c r="N513" s="16"/>
      <c r="O513" s="19" t="e">
        <f>#REF!</f>
        <v>#REF!</v>
      </c>
      <c r="P513" s="16" t="s">
        <v>57</v>
      </c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</row>
    <row r="514" spans="1:37" s="69" customFormat="1">
      <c r="A514" s="16"/>
      <c r="B514" s="16"/>
      <c r="C514" s="16"/>
      <c r="D514" s="16"/>
      <c r="E514" s="16"/>
      <c r="F514" s="16"/>
      <c r="G514" s="16"/>
      <c r="H514" s="16"/>
      <c r="I514" s="19" t="e">
        <f>#REF!*I513</f>
        <v>#REF!</v>
      </c>
      <c r="J514" s="19"/>
      <c r="K514" s="16"/>
      <c r="L514" s="16"/>
      <c r="M514" s="16"/>
      <c r="N514" s="16"/>
      <c r="O514" s="64" t="e">
        <f>1-(O513/O512)</f>
        <v>#REF!</v>
      </c>
      <c r="P514" s="16" t="s">
        <v>58</v>
      </c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</row>
    <row r="515" spans="1:37" s="69" customFormat="1">
      <c r="A515" s="16"/>
      <c r="B515" s="16"/>
      <c r="C515" s="16"/>
      <c r="D515" s="16"/>
      <c r="E515" s="16"/>
      <c r="F515" s="16"/>
      <c r="G515" s="16"/>
      <c r="H515" s="16"/>
      <c r="I515" s="20" t="e">
        <f>#REF!</f>
        <v>#REF!</v>
      </c>
      <c r="J515" s="20"/>
      <c r="K515" s="16" t="s">
        <v>53</v>
      </c>
      <c r="L515" s="16" t="s">
        <v>54</v>
      </c>
      <c r="M515" s="16" t="s">
        <v>54</v>
      </c>
      <c r="N515" s="16" t="s">
        <v>54</v>
      </c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</row>
    <row r="516" spans="1:37" s="69" customFormat="1">
      <c r="A516" s="16"/>
      <c r="B516" s="16"/>
      <c r="C516" s="16"/>
      <c r="D516" s="16"/>
      <c r="E516" s="16"/>
      <c r="F516" s="16"/>
      <c r="G516" s="16"/>
      <c r="H516" s="16"/>
      <c r="I516" s="19" t="e">
        <f>I514+I515</f>
        <v>#REF!</v>
      </c>
      <c r="J516" s="19"/>
      <c r="K516" s="16" t="s">
        <v>60</v>
      </c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</row>
    <row r="517" spans="1:37" s="69" customFormat="1">
      <c r="A517" s="16"/>
      <c r="B517" s="16"/>
      <c r="C517" s="16"/>
      <c r="D517" s="16"/>
      <c r="E517" s="16"/>
      <c r="F517" s="16"/>
      <c r="G517" s="16"/>
      <c r="H517" s="16"/>
      <c r="I517" s="19">
        <v>111698.96</v>
      </c>
      <c r="J517" s="19"/>
      <c r="K517" s="16" t="s">
        <v>54</v>
      </c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</row>
    <row r="518" spans="1:37" s="69" customFormat="1">
      <c r="A518" s="16"/>
      <c r="B518" s="16"/>
      <c r="C518" s="16"/>
      <c r="D518" s="16"/>
      <c r="E518" s="16"/>
      <c r="F518" s="16"/>
      <c r="G518" s="16"/>
      <c r="H518" s="16"/>
      <c r="I518" s="19" t="e">
        <f>I517*(100%-O514)</f>
        <v>#REF!</v>
      </c>
      <c r="J518" s="19"/>
      <c r="K518" s="16" t="s">
        <v>59</v>
      </c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9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</row>
    <row r="519" spans="1:37" s="69" customFormat="1">
      <c r="A519" s="16"/>
      <c r="B519" s="16"/>
      <c r="C519" s="16"/>
      <c r="D519" s="16"/>
      <c r="E519" s="16"/>
      <c r="F519" s="16"/>
      <c r="G519" s="16"/>
      <c r="H519" s="16"/>
      <c r="I519" s="19" t="e">
        <f>I516-I518</f>
        <v>#REF!</v>
      </c>
      <c r="J519" s="19"/>
      <c r="K519" s="16" t="s">
        <v>55</v>
      </c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</row>
    <row r="520" spans="1:37">
      <c r="I520" s="19">
        <v>1451015.78</v>
      </c>
      <c r="J520" s="19"/>
      <c r="K520" s="16" t="s">
        <v>61</v>
      </c>
    </row>
    <row r="521" spans="1:37">
      <c r="I521" s="64" t="e">
        <f>1-(#REF!/I520)</f>
        <v>#REF!</v>
      </c>
      <c r="J521" s="64"/>
      <c r="K521" s="16" t="s">
        <v>62</v>
      </c>
    </row>
  </sheetData>
  <mergeCells count="74">
    <mergeCell ref="B270:C270"/>
    <mergeCell ref="B326:C326"/>
    <mergeCell ref="B109:C109"/>
    <mergeCell ref="B32:C32"/>
    <mergeCell ref="B71:C71"/>
    <mergeCell ref="B87:C87"/>
    <mergeCell ref="B91:C91"/>
    <mergeCell ref="B101:C101"/>
    <mergeCell ref="B104:C104"/>
    <mergeCell ref="B108:C108"/>
    <mergeCell ref="B135:C135"/>
    <mergeCell ref="B275:C275"/>
    <mergeCell ref="B279:C279"/>
    <mergeCell ref="B305:C305"/>
    <mergeCell ref="B280:C280"/>
    <mergeCell ref="B15:C15"/>
    <mergeCell ref="B18:C18"/>
    <mergeCell ref="A3:D3"/>
    <mergeCell ref="E3:K3"/>
    <mergeCell ref="A2:D2"/>
    <mergeCell ref="E2:F2"/>
    <mergeCell ref="G2:I2"/>
    <mergeCell ref="B7:C7"/>
    <mergeCell ref="A4:K4"/>
    <mergeCell ref="X1:Z2"/>
    <mergeCell ref="L1:N2"/>
    <mergeCell ref="O1:Q2"/>
    <mergeCell ref="R1:T2"/>
    <mergeCell ref="B14:C14"/>
    <mergeCell ref="J1:K1"/>
    <mergeCell ref="J2:K2"/>
    <mergeCell ref="B1:D1"/>
    <mergeCell ref="E1:F1"/>
    <mergeCell ref="G1:I1"/>
    <mergeCell ref="R7:T7"/>
    <mergeCell ref="U7:W7"/>
    <mergeCell ref="X7:Z7"/>
    <mergeCell ref="L3:M3"/>
    <mergeCell ref="O3:P3"/>
    <mergeCell ref="R3:S3"/>
    <mergeCell ref="X3:Y3"/>
    <mergeCell ref="L4:N4"/>
    <mergeCell ref="O4:Q4"/>
    <mergeCell ref="R4:T4"/>
    <mergeCell ref="X4:Z4"/>
    <mergeCell ref="A6:C6"/>
    <mergeCell ref="L109:Z507"/>
    <mergeCell ref="D5:K5"/>
    <mergeCell ref="A506:C509"/>
    <mergeCell ref="D506:K509"/>
    <mergeCell ref="B157:C157"/>
    <mergeCell ref="B179:C179"/>
    <mergeCell ref="B186:C186"/>
    <mergeCell ref="B190:C190"/>
    <mergeCell ref="B191:C191"/>
    <mergeCell ref="B194:C194"/>
    <mergeCell ref="B201:C201"/>
    <mergeCell ref="B226:C226"/>
    <mergeCell ref="B258:C258"/>
    <mergeCell ref="B262:C262"/>
    <mergeCell ref="L7:N7"/>
    <mergeCell ref="O7:Q7"/>
    <mergeCell ref="B345:C345"/>
    <mergeCell ref="B351:C351"/>
    <mergeCell ref="B355:C355"/>
    <mergeCell ref="B356:C356"/>
    <mergeCell ref="B428:C428"/>
    <mergeCell ref="B376:C376"/>
    <mergeCell ref="B486:C486"/>
    <mergeCell ref="B451:C451"/>
    <mergeCell ref="B460:C460"/>
    <mergeCell ref="B461:C461"/>
    <mergeCell ref="B472:C472"/>
    <mergeCell ref="B476:C476"/>
  </mergeCells>
  <phoneticPr fontId="15" type="noConversion"/>
  <conditionalFormatting sqref="L8:L11 O8:O11 R8:R11 X8:X11 L14:L18 O14:O18 R14:R18 X14:X18">
    <cfRule type="cellIs" dxfId="1454" priority="1587" operator="between">
      <formula>0.01</formula>
      <formula>1</formula>
    </cfRule>
  </conditionalFormatting>
  <conditionalFormatting sqref="M8:M11 P8:P11 S8:S11 Y8:Y11 M14:M18 P14:P18 S14:S18 Y14:Y18">
    <cfRule type="cellIs" dxfId="1453" priority="1586" operator="between">
      <formula>1</formula>
      <formula>1000</formula>
    </cfRule>
  </conditionalFormatting>
  <conditionalFormatting sqref="N8:N11 Q8:Q11 T8:W11 Z8:Z11 N14:N18 Q14:Q18 T14:W18 Z14:Z18">
    <cfRule type="cellIs" dxfId="1452" priority="1585" operator="between">
      <formula>1</formula>
      <formula>100000</formula>
    </cfRule>
  </conditionalFormatting>
  <conditionalFormatting sqref="L32 O32 R32 X32">
    <cfRule type="cellIs" dxfId="1451" priority="1554" operator="between">
      <formula>0.01</formula>
      <formula>1</formula>
    </cfRule>
  </conditionalFormatting>
  <conditionalFormatting sqref="M32 P32 S32 Y32">
    <cfRule type="cellIs" dxfId="1450" priority="1553" operator="between">
      <formula>1</formula>
      <formula>1000</formula>
    </cfRule>
  </conditionalFormatting>
  <conditionalFormatting sqref="N32 Q32 T32:W32 Z32">
    <cfRule type="cellIs" dxfId="1449" priority="1552" operator="between">
      <formula>1</formula>
      <formula>100000</formula>
    </cfRule>
  </conditionalFormatting>
  <conditionalFormatting sqref="L71 O71 R71 X71">
    <cfRule type="cellIs" dxfId="1448" priority="1551" operator="between">
      <formula>0.01</formula>
      <formula>1</formula>
    </cfRule>
  </conditionalFormatting>
  <conditionalFormatting sqref="M71 P71 S71 Y71">
    <cfRule type="cellIs" dxfId="1447" priority="1550" operator="between">
      <formula>1</formula>
      <formula>1000</formula>
    </cfRule>
  </conditionalFormatting>
  <conditionalFormatting sqref="N71 Q71 T71:W71 Z71">
    <cfRule type="cellIs" dxfId="1446" priority="1549" operator="between">
      <formula>1</formula>
      <formula>100000</formula>
    </cfRule>
  </conditionalFormatting>
  <conditionalFormatting sqref="L87 O87 R87 X87">
    <cfRule type="cellIs" dxfId="1445" priority="1548" operator="between">
      <formula>0.01</formula>
      <formula>1</formula>
    </cfRule>
  </conditionalFormatting>
  <conditionalFormatting sqref="M87 P87 S87 Y87">
    <cfRule type="cellIs" dxfId="1444" priority="1547" operator="between">
      <formula>1</formula>
      <formula>1000</formula>
    </cfRule>
  </conditionalFormatting>
  <conditionalFormatting sqref="N87 Q87 T87:W87 Z87">
    <cfRule type="cellIs" dxfId="1443" priority="1546" operator="between">
      <formula>1</formula>
      <formula>100000</formula>
    </cfRule>
  </conditionalFormatting>
  <conditionalFormatting sqref="L91 O91 R91 X91">
    <cfRule type="cellIs" dxfId="1442" priority="1545" operator="between">
      <formula>0.01</formula>
      <formula>1</formula>
    </cfRule>
  </conditionalFormatting>
  <conditionalFormatting sqref="M91 P91 S91 Y91">
    <cfRule type="cellIs" dxfId="1441" priority="1544" operator="between">
      <formula>1</formula>
      <formula>1000</formula>
    </cfRule>
  </conditionalFormatting>
  <conditionalFormatting sqref="N91 Q91 T91:W91 Z91">
    <cfRule type="cellIs" dxfId="1440" priority="1543" operator="between">
      <formula>1</formula>
      <formula>100000</formula>
    </cfRule>
  </conditionalFormatting>
  <conditionalFormatting sqref="L101 O101 R101 X101">
    <cfRule type="cellIs" dxfId="1439" priority="1542" operator="between">
      <formula>0.01</formula>
      <formula>1</formula>
    </cfRule>
  </conditionalFormatting>
  <conditionalFormatting sqref="M101 P101 S101 Y101">
    <cfRule type="cellIs" dxfId="1438" priority="1541" operator="between">
      <formula>1</formula>
      <formula>1000</formula>
    </cfRule>
  </conditionalFormatting>
  <conditionalFormatting sqref="N101 Q101 T101:W101 Z101">
    <cfRule type="cellIs" dxfId="1437" priority="1540" operator="between">
      <formula>1</formula>
      <formula>100000</formula>
    </cfRule>
  </conditionalFormatting>
  <conditionalFormatting sqref="L104 O104 R104 X104">
    <cfRule type="cellIs" dxfId="1436" priority="1539" operator="between">
      <formula>0.01</formula>
      <formula>1</formula>
    </cfRule>
  </conditionalFormatting>
  <conditionalFormatting sqref="M104 P104 S104 Y104">
    <cfRule type="cellIs" dxfId="1435" priority="1538" operator="between">
      <formula>1</formula>
      <formula>1000</formula>
    </cfRule>
  </conditionalFormatting>
  <conditionalFormatting sqref="N104 Q104 T104:W104 Z104">
    <cfRule type="cellIs" dxfId="1434" priority="1537" operator="between">
      <formula>1</formula>
      <formula>100000</formula>
    </cfRule>
  </conditionalFormatting>
  <conditionalFormatting sqref="L108 O108 R108 X108">
    <cfRule type="cellIs" dxfId="1433" priority="1536" operator="between">
      <formula>0.01</formula>
      <formula>1</formula>
    </cfRule>
  </conditionalFormatting>
  <conditionalFormatting sqref="M108 P108 S108 Y108">
    <cfRule type="cellIs" dxfId="1432" priority="1535" operator="between">
      <formula>1</formula>
      <formula>1000</formula>
    </cfRule>
  </conditionalFormatting>
  <conditionalFormatting sqref="N108 Q108 T108:W108 Z108">
    <cfRule type="cellIs" dxfId="1431" priority="1534" operator="between">
      <formula>1</formula>
      <formula>100000</formula>
    </cfRule>
  </conditionalFormatting>
  <conditionalFormatting sqref="L135 O135 R135 X135">
    <cfRule type="cellIs" dxfId="1430" priority="1533" operator="between">
      <formula>0.01</formula>
      <formula>1</formula>
    </cfRule>
  </conditionalFormatting>
  <conditionalFormatting sqref="M135 P135 S135 Y135">
    <cfRule type="cellIs" dxfId="1429" priority="1532" operator="between">
      <formula>1</formula>
      <formula>1000</formula>
    </cfRule>
  </conditionalFormatting>
  <conditionalFormatting sqref="N135 Q135 T135:W135 Z135">
    <cfRule type="cellIs" dxfId="1428" priority="1531" operator="between">
      <formula>1</formula>
      <formula>100000</formula>
    </cfRule>
  </conditionalFormatting>
  <conditionalFormatting sqref="L157 O157 R157 X157">
    <cfRule type="cellIs" dxfId="1427" priority="1530" operator="between">
      <formula>0.01</formula>
      <formula>1</formula>
    </cfRule>
  </conditionalFormatting>
  <conditionalFormatting sqref="M157 P157 S157 Y157">
    <cfRule type="cellIs" dxfId="1426" priority="1529" operator="between">
      <formula>1</formula>
      <formula>1000</formula>
    </cfRule>
  </conditionalFormatting>
  <conditionalFormatting sqref="N157 Q157 T157:W157 Z157">
    <cfRule type="cellIs" dxfId="1425" priority="1528" operator="between">
      <formula>1</formula>
      <formula>100000</formula>
    </cfRule>
  </conditionalFormatting>
  <conditionalFormatting sqref="L179 O179 R179 X179">
    <cfRule type="cellIs" dxfId="1424" priority="1527" operator="between">
      <formula>0.01</formula>
      <formula>1</formula>
    </cfRule>
  </conditionalFormatting>
  <conditionalFormatting sqref="M179 P179 S179 Y179">
    <cfRule type="cellIs" dxfId="1423" priority="1526" operator="between">
      <formula>1</formula>
      <formula>1000</formula>
    </cfRule>
  </conditionalFormatting>
  <conditionalFormatting sqref="N179 Q179 T179:W179 Z179">
    <cfRule type="cellIs" dxfId="1422" priority="1525" operator="between">
      <formula>1</formula>
      <formula>100000</formula>
    </cfRule>
  </conditionalFormatting>
  <conditionalFormatting sqref="L186 O186 R186 X186">
    <cfRule type="cellIs" dxfId="1421" priority="1524" operator="between">
      <formula>0.01</formula>
      <formula>1</formula>
    </cfRule>
  </conditionalFormatting>
  <conditionalFormatting sqref="M186 P186 S186 Y186">
    <cfRule type="cellIs" dxfId="1420" priority="1523" operator="between">
      <formula>1</formula>
      <formula>1000</formula>
    </cfRule>
  </conditionalFormatting>
  <conditionalFormatting sqref="N186 Q186 T186:W186 Z186">
    <cfRule type="cellIs" dxfId="1419" priority="1522" operator="between">
      <formula>1</formula>
      <formula>100000</formula>
    </cfRule>
  </conditionalFormatting>
  <conditionalFormatting sqref="L190 O190 R190 X190">
    <cfRule type="cellIs" dxfId="1418" priority="1521" operator="between">
      <formula>0.01</formula>
      <formula>1</formula>
    </cfRule>
  </conditionalFormatting>
  <conditionalFormatting sqref="M190 P190 S190 Y190">
    <cfRule type="cellIs" dxfId="1417" priority="1520" operator="between">
      <formula>1</formula>
      <formula>1000</formula>
    </cfRule>
  </conditionalFormatting>
  <conditionalFormatting sqref="N190 Q190 T190:W190 Z190">
    <cfRule type="cellIs" dxfId="1416" priority="1519" operator="between">
      <formula>1</formula>
      <formula>100000</formula>
    </cfRule>
  </conditionalFormatting>
  <conditionalFormatting sqref="L191 O191 R191 X191">
    <cfRule type="cellIs" dxfId="1415" priority="1518" operator="between">
      <formula>0.01</formula>
      <formula>1</formula>
    </cfRule>
  </conditionalFormatting>
  <conditionalFormatting sqref="M191 P191 S191 Y191">
    <cfRule type="cellIs" dxfId="1414" priority="1517" operator="between">
      <formula>1</formula>
      <formula>1000</formula>
    </cfRule>
  </conditionalFormatting>
  <conditionalFormatting sqref="N191 Q191 T191:W191 Z191">
    <cfRule type="cellIs" dxfId="1413" priority="1516" operator="between">
      <formula>1</formula>
      <formula>100000</formula>
    </cfRule>
  </conditionalFormatting>
  <conditionalFormatting sqref="L194 O194 R194 X194">
    <cfRule type="cellIs" dxfId="1412" priority="1515" operator="between">
      <formula>0.01</formula>
      <formula>1</formula>
    </cfRule>
  </conditionalFormatting>
  <conditionalFormatting sqref="M194 P194 S194 Y194">
    <cfRule type="cellIs" dxfId="1411" priority="1514" operator="between">
      <formula>1</formula>
      <formula>1000</formula>
    </cfRule>
  </conditionalFormatting>
  <conditionalFormatting sqref="N194 Q194 T194:W194 Z194">
    <cfRule type="cellIs" dxfId="1410" priority="1513" operator="between">
      <formula>1</formula>
      <formula>100000</formula>
    </cfRule>
  </conditionalFormatting>
  <conditionalFormatting sqref="N19:N20 Q19:Q20 T19:W20 Z19:Z20">
    <cfRule type="cellIs" dxfId="1409" priority="1492" operator="between">
      <formula>1</formula>
      <formula>100000</formula>
    </cfRule>
  </conditionalFormatting>
  <conditionalFormatting sqref="N30:N31 Q30:Q31 T30:W31 Z30:Z31">
    <cfRule type="cellIs" dxfId="1408" priority="1489" operator="between">
      <formula>1</formula>
      <formula>100000</formula>
    </cfRule>
  </conditionalFormatting>
  <conditionalFormatting sqref="L19:L20 O19:O20 R19:R20 X19:X20">
    <cfRule type="cellIs" dxfId="1407" priority="1494" operator="between">
      <formula>0.01</formula>
      <formula>1</formula>
    </cfRule>
  </conditionalFormatting>
  <conditionalFormatting sqref="M19:M20 P19:P20 S19:S20 Y19:Y20">
    <cfRule type="cellIs" dxfId="1406" priority="1493" operator="between">
      <formula>1</formula>
      <formula>1000</formula>
    </cfRule>
  </conditionalFormatting>
  <conditionalFormatting sqref="N23 Q23 T23:W23 Z23">
    <cfRule type="cellIs" dxfId="1405" priority="1477" operator="between">
      <formula>1</formula>
      <formula>100000</formula>
    </cfRule>
  </conditionalFormatting>
  <conditionalFormatting sqref="L30:L31 O30:O31 R30:R31 X30:X31">
    <cfRule type="cellIs" dxfId="1404" priority="1491" operator="between">
      <formula>0.01</formula>
      <formula>1</formula>
    </cfRule>
  </conditionalFormatting>
  <conditionalFormatting sqref="M30:M31 P30:P31 S30:S31 Y30:Y31">
    <cfRule type="cellIs" dxfId="1403" priority="1490" operator="between">
      <formula>1</formula>
      <formula>1000</formula>
    </cfRule>
  </conditionalFormatting>
  <conditionalFormatting sqref="Z22 T22:W22 Q22 N22">
    <cfRule type="cellIs" dxfId="1402" priority="1486" operator="between">
      <formula>1</formula>
      <formula>100000</formula>
    </cfRule>
  </conditionalFormatting>
  <conditionalFormatting sqref="X22 R22 O22 L22">
    <cfRule type="cellIs" dxfId="1401" priority="1488" operator="between">
      <formula>0.01</formula>
      <formula>1</formula>
    </cfRule>
  </conditionalFormatting>
  <conditionalFormatting sqref="Y22 S22 P22 M22">
    <cfRule type="cellIs" dxfId="1400" priority="1487" operator="between">
      <formula>1</formula>
      <formula>1000</formula>
    </cfRule>
  </conditionalFormatting>
  <conditionalFormatting sqref="N21 Q21 T21:W21 Z21">
    <cfRule type="cellIs" dxfId="1399" priority="1483" operator="between">
      <formula>1</formula>
      <formula>100000</formula>
    </cfRule>
  </conditionalFormatting>
  <conditionalFormatting sqref="N28 Q28 T28:W28 Z28">
    <cfRule type="cellIs" dxfId="1398" priority="1462" operator="between">
      <formula>1</formula>
      <formula>100000</formula>
    </cfRule>
  </conditionalFormatting>
  <conditionalFormatting sqref="L21 O21 R21 X21">
    <cfRule type="cellIs" dxfId="1397" priority="1485" operator="between">
      <formula>0.01</formula>
      <formula>1</formula>
    </cfRule>
  </conditionalFormatting>
  <conditionalFormatting sqref="M21 P21 S21 Y21">
    <cfRule type="cellIs" dxfId="1396" priority="1484" operator="between">
      <formula>1</formula>
      <formula>1000</formula>
    </cfRule>
  </conditionalFormatting>
  <conditionalFormatting sqref="Z24 T24:W24 Q24 N24">
    <cfRule type="cellIs" dxfId="1395" priority="1480" operator="between">
      <formula>1</formula>
      <formula>100000</formula>
    </cfRule>
  </conditionalFormatting>
  <conditionalFormatting sqref="X24 R24 O24 L24">
    <cfRule type="cellIs" dxfId="1394" priority="1482" operator="between">
      <formula>0.01</formula>
      <formula>1</formula>
    </cfRule>
  </conditionalFormatting>
  <conditionalFormatting sqref="Y24 S24 P24 M24">
    <cfRule type="cellIs" dxfId="1393" priority="1481" operator="between">
      <formula>1</formula>
      <formula>1000</formula>
    </cfRule>
  </conditionalFormatting>
  <conditionalFormatting sqref="L23 O23 R23 X23">
    <cfRule type="cellIs" dxfId="1392" priority="1479" operator="between">
      <formula>0.01</formula>
      <formula>1</formula>
    </cfRule>
  </conditionalFormatting>
  <conditionalFormatting sqref="M23 P23 S23 Y23">
    <cfRule type="cellIs" dxfId="1391" priority="1478" operator="between">
      <formula>1</formula>
      <formula>1000</formula>
    </cfRule>
  </conditionalFormatting>
  <conditionalFormatting sqref="N25 Q25 T25:W25 Z25">
    <cfRule type="cellIs" dxfId="1390" priority="1474" operator="between">
      <formula>1</formula>
      <formula>100000</formula>
    </cfRule>
  </conditionalFormatting>
  <conditionalFormatting sqref="L25 O25 R25 X25">
    <cfRule type="cellIs" dxfId="1389" priority="1476" operator="between">
      <formula>0.01</formula>
      <formula>1</formula>
    </cfRule>
  </conditionalFormatting>
  <conditionalFormatting sqref="M25 P25 S25 Y25">
    <cfRule type="cellIs" dxfId="1388" priority="1475" operator="between">
      <formula>1</formula>
      <formula>1000</formula>
    </cfRule>
  </conditionalFormatting>
  <conditionalFormatting sqref="N33 Q33 T33:W33 Z33">
    <cfRule type="cellIs" dxfId="1387" priority="1459" operator="between">
      <formula>1</formula>
      <formula>100000</formula>
    </cfRule>
  </conditionalFormatting>
  <conditionalFormatting sqref="Z27 T27:W27 Q27 N27">
    <cfRule type="cellIs" dxfId="1386" priority="1471" operator="between">
      <formula>1</formula>
      <formula>100000</formula>
    </cfRule>
  </conditionalFormatting>
  <conditionalFormatting sqref="X27 R27 O27 L27">
    <cfRule type="cellIs" dxfId="1385" priority="1473" operator="between">
      <formula>0.01</formula>
      <formula>1</formula>
    </cfRule>
  </conditionalFormatting>
  <conditionalFormatting sqref="Y27 S27 P27 M27">
    <cfRule type="cellIs" dxfId="1384" priority="1472" operator="between">
      <formula>1</formula>
      <formula>1000</formula>
    </cfRule>
  </conditionalFormatting>
  <conditionalFormatting sqref="N26 Q26 T26:W26 Z26">
    <cfRule type="cellIs" dxfId="1383" priority="1468" operator="between">
      <formula>1</formula>
      <formula>100000</formula>
    </cfRule>
  </conditionalFormatting>
  <conditionalFormatting sqref="L26 O26 R26 X26">
    <cfRule type="cellIs" dxfId="1382" priority="1470" operator="between">
      <formula>0.01</formula>
      <formula>1</formula>
    </cfRule>
  </conditionalFormatting>
  <conditionalFormatting sqref="M26 P26 S26 Y26">
    <cfRule type="cellIs" dxfId="1381" priority="1469" operator="between">
      <formula>1</formula>
      <formula>1000</formula>
    </cfRule>
  </conditionalFormatting>
  <conditionalFormatting sqref="Z29 T29:W29 Q29 N29">
    <cfRule type="cellIs" dxfId="1380" priority="1465" operator="between">
      <formula>1</formula>
      <formula>100000</formula>
    </cfRule>
  </conditionalFormatting>
  <conditionalFormatting sqref="X29 R29 O29 L29">
    <cfRule type="cellIs" dxfId="1379" priority="1467" operator="between">
      <formula>0.01</formula>
      <formula>1</formula>
    </cfRule>
  </conditionalFormatting>
  <conditionalFormatting sqref="Y29 S29 P29 M29">
    <cfRule type="cellIs" dxfId="1378" priority="1466" operator="between">
      <formula>1</formula>
      <formula>1000</formula>
    </cfRule>
  </conditionalFormatting>
  <conditionalFormatting sqref="L28 O28 R28 X28">
    <cfRule type="cellIs" dxfId="1377" priority="1464" operator="between">
      <formula>0.01</formula>
      <formula>1</formula>
    </cfRule>
  </conditionalFormatting>
  <conditionalFormatting sqref="M28 P28 S28 Y28">
    <cfRule type="cellIs" dxfId="1376" priority="1463" operator="between">
      <formula>1</formula>
      <formula>1000</formula>
    </cfRule>
  </conditionalFormatting>
  <conditionalFormatting sqref="N38 Q38 T38:W38 Z38">
    <cfRule type="cellIs" dxfId="1375" priority="1447" operator="between">
      <formula>1</formula>
      <formula>100000</formula>
    </cfRule>
  </conditionalFormatting>
  <conditionalFormatting sqref="L33 O33 R33 X33">
    <cfRule type="cellIs" dxfId="1374" priority="1461" operator="between">
      <formula>0.01</formula>
      <formula>1</formula>
    </cfRule>
  </conditionalFormatting>
  <conditionalFormatting sqref="M33 P33 S33 Y33">
    <cfRule type="cellIs" dxfId="1373" priority="1460" operator="between">
      <formula>1</formula>
      <formula>1000</formula>
    </cfRule>
  </conditionalFormatting>
  <conditionalFormatting sqref="N56 Q56 T56:W56 Z56">
    <cfRule type="cellIs" dxfId="1372" priority="1435" operator="between">
      <formula>1</formula>
      <formula>100000</formula>
    </cfRule>
  </conditionalFormatting>
  <conditionalFormatting sqref="L38 O38 R38 X38">
    <cfRule type="cellIs" dxfId="1371" priority="1449" operator="between">
      <formula>0.01</formula>
      <formula>1</formula>
    </cfRule>
  </conditionalFormatting>
  <conditionalFormatting sqref="M38 P38 S38 Y38">
    <cfRule type="cellIs" dxfId="1370" priority="1448" operator="between">
      <formula>1</formula>
      <formula>1000</formula>
    </cfRule>
  </conditionalFormatting>
  <conditionalFormatting sqref="N49 Q49 T49:W49 Z49">
    <cfRule type="cellIs" dxfId="1369" priority="1444" operator="between">
      <formula>1</formula>
      <formula>100000</formula>
    </cfRule>
  </conditionalFormatting>
  <conditionalFormatting sqref="N52 Q52 T52:W52 Z52">
    <cfRule type="cellIs" dxfId="1368" priority="1441" operator="between">
      <formula>1</formula>
      <formula>100000</formula>
    </cfRule>
  </conditionalFormatting>
  <conditionalFormatting sqref="L49 O49 R49 X49">
    <cfRule type="cellIs" dxfId="1367" priority="1446" operator="between">
      <formula>0.01</formula>
      <formula>1</formula>
    </cfRule>
  </conditionalFormatting>
  <conditionalFormatting sqref="M49 P49 S49 Y49">
    <cfRule type="cellIs" dxfId="1366" priority="1445" operator="between">
      <formula>1</formula>
      <formula>1000</formula>
    </cfRule>
  </conditionalFormatting>
  <conditionalFormatting sqref="L56 O56 R56 X56">
    <cfRule type="cellIs" dxfId="1365" priority="1437" operator="between">
      <formula>0.01</formula>
      <formula>1</formula>
    </cfRule>
  </conditionalFormatting>
  <conditionalFormatting sqref="M56 P56 S56 Y56">
    <cfRule type="cellIs" dxfId="1364" priority="1436" operator="between">
      <formula>1</formula>
      <formula>1000</formula>
    </cfRule>
  </conditionalFormatting>
  <conditionalFormatting sqref="N60 Q60 T60:W60 Z60">
    <cfRule type="cellIs" dxfId="1363" priority="1429" operator="between">
      <formula>1</formula>
      <formula>100000</formula>
    </cfRule>
  </conditionalFormatting>
  <conditionalFormatting sqref="L52 O52 R52 X52">
    <cfRule type="cellIs" dxfId="1362" priority="1443" operator="between">
      <formula>0.01</formula>
      <formula>1</formula>
    </cfRule>
  </conditionalFormatting>
  <conditionalFormatting sqref="M52 P52 S52 Y52">
    <cfRule type="cellIs" dxfId="1361" priority="1442" operator="between">
      <formula>1</formula>
      <formula>1000</formula>
    </cfRule>
  </conditionalFormatting>
  <conditionalFormatting sqref="N58 Q58 T58:W58 Z58">
    <cfRule type="cellIs" dxfId="1360" priority="1432" operator="between">
      <formula>1</formula>
      <formula>100000</formula>
    </cfRule>
  </conditionalFormatting>
  <conditionalFormatting sqref="N64 Q64 T64:W64 Z64">
    <cfRule type="cellIs" dxfId="1359" priority="1423" operator="between">
      <formula>1</formula>
      <formula>100000</formula>
    </cfRule>
  </conditionalFormatting>
  <conditionalFormatting sqref="L58 O58 R58 X58">
    <cfRule type="cellIs" dxfId="1358" priority="1434" operator="between">
      <formula>0.01</formula>
      <formula>1</formula>
    </cfRule>
  </conditionalFormatting>
  <conditionalFormatting sqref="M58 P58 S58 Y58">
    <cfRule type="cellIs" dxfId="1357" priority="1433" operator="between">
      <formula>1</formula>
      <formula>1000</formula>
    </cfRule>
  </conditionalFormatting>
  <conditionalFormatting sqref="L60 O60 R60 X60">
    <cfRule type="cellIs" dxfId="1356" priority="1431" operator="between">
      <formula>0.01</formula>
      <formula>1</formula>
    </cfRule>
  </conditionalFormatting>
  <conditionalFormatting sqref="M60 P60 S60 Y60">
    <cfRule type="cellIs" dxfId="1355" priority="1430" operator="between">
      <formula>1</formula>
      <formula>1000</formula>
    </cfRule>
  </conditionalFormatting>
  <conditionalFormatting sqref="N54 Q54 T54:W54 Z54">
    <cfRule type="cellIs" dxfId="1354" priority="1438" operator="between">
      <formula>1</formula>
      <formula>100000</formula>
    </cfRule>
  </conditionalFormatting>
  <conditionalFormatting sqref="N84 Q84 T84:W84 Z84">
    <cfRule type="cellIs" dxfId="1353" priority="1399" operator="between">
      <formula>1</formula>
      <formula>100000</formula>
    </cfRule>
  </conditionalFormatting>
  <conditionalFormatting sqref="L54 O54 R54 X54">
    <cfRule type="cellIs" dxfId="1352" priority="1440" operator="between">
      <formula>0.01</formula>
      <formula>1</formula>
    </cfRule>
  </conditionalFormatting>
  <conditionalFormatting sqref="M54 P54 S54 Y54">
    <cfRule type="cellIs" dxfId="1351" priority="1439" operator="between">
      <formula>1</formula>
      <formula>1000</formula>
    </cfRule>
  </conditionalFormatting>
  <conditionalFormatting sqref="L84 O84 R84 X84">
    <cfRule type="cellIs" dxfId="1350" priority="1401" operator="between">
      <formula>0.01</formula>
      <formula>1</formula>
    </cfRule>
  </conditionalFormatting>
  <conditionalFormatting sqref="M84 P84 S84 Y84">
    <cfRule type="cellIs" dxfId="1349" priority="1400" operator="between">
      <formula>1</formula>
      <formula>1000</formula>
    </cfRule>
  </conditionalFormatting>
  <conditionalFormatting sqref="N62 Q62 T62:W62 Z62">
    <cfRule type="cellIs" dxfId="1348" priority="1426" operator="between">
      <formula>1</formula>
      <formula>100000</formula>
    </cfRule>
  </conditionalFormatting>
  <conditionalFormatting sqref="N86 Q86 T86:W86 Z86">
    <cfRule type="cellIs" dxfId="1347" priority="1393" operator="between">
      <formula>1</formula>
      <formula>100000</formula>
    </cfRule>
  </conditionalFormatting>
  <conditionalFormatting sqref="L62 O62 R62 X62">
    <cfRule type="cellIs" dxfId="1346" priority="1428" operator="between">
      <formula>0.01</formula>
      <formula>1</formula>
    </cfRule>
  </conditionalFormatting>
  <conditionalFormatting sqref="M62 P62 S62 Y62">
    <cfRule type="cellIs" dxfId="1345" priority="1427" operator="between">
      <formula>1</formula>
      <formula>1000</formula>
    </cfRule>
  </conditionalFormatting>
  <conditionalFormatting sqref="L64 O64 R64 X64">
    <cfRule type="cellIs" dxfId="1344" priority="1425" operator="between">
      <formula>0.01</formula>
      <formula>1</formula>
    </cfRule>
  </conditionalFormatting>
  <conditionalFormatting sqref="M64 P64 S64 Y64">
    <cfRule type="cellIs" dxfId="1343" priority="1424" operator="between">
      <formula>1</formula>
      <formula>1000</formula>
    </cfRule>
  </conditionalFormatting>
  <conditionalFormatting sqref="N85 Q85 T85:W85 Z85">
    <cfRule type="cellIs" dxfId="1342" priority="1396" operator="between">
      <formula>1</formula>
      <formula>100000</formula>
    </cfRule>
  </conditionalFormatting>
  <conditionalFormatting sqref="N90 Q90 T90:W90 Z90">
    <cfRule type="cellIs" dxfId="1341" priority="1384" operator="between">
      <formula>1</formula>
      <formula>100000</formula>
    </cfRule>
  </conditionalFormatting>
  <conditionalFormatting sqref="L85 O85 R85 X85">
    <cfRule type="cellIs" dxfId="1340" priority="1398" operator="between">
      <formula>0.01</formula>
      <formula>1</formula>
    </cfRule>
  </conditionalFormatting>
  <conditionalFormatting sqref="M85 P85 S85 Y85">
    <cfRule type="cellIs" dxfId="1339" priority="1397" operator="between">
      <formula>1</formula>
      <formula>1000</formula>
    </cfRule>
  </conditionalFormatting>
  <conditionalFormatting sqref="L86 O86 R86 X86">
    <cfRule type="cellIs" dxfId="1338" priority="1395" operator="between">
      <formula>0.01</formula>
      <formula>1</formula>
    </cfRule>
  </conditionalFormatting>
  <conditionalFormatting sqref="M86 P86 S86 Y86">
    <cfRule type="cellIs" dxfId="1337" priority="1394" operator="between">
      <formula>1</formula>
      <formula>1000</formula>
    </cfRule>
  </conditionalFormatting>
  <conditionalFormatting sqref="N72 Q72 T72:W72 Z72">
    <cfRule type="cellIs" dxfId="1336" priority="1420" operator="between">
      <formula>1</formula>
      <formula>100000</formula>
    </cfRule>
  </conditionalFormatting>
  <conditionalFormatting sqref="N76 Q76 T76:W76 Z76">
    <cfRule type="cellIs" dxfId="1335" priority="1417" operator="between">
      <formula>1</formula>
      <formula>100000</formula>
    </cfRule>
  </conditionalFormatting>
  <conditionalFormatting sqref="L72 O72 R72 X72">
    <cfRule type="cellIs" dxfId="1334" priority="1422" operator="between">
      <formula>0.01</formula>
      <formula>1</formula>
    </cfRule>
  </conditionalFormatting>
  <conditionalFormatting sqref="M72 P72 S72 Y72">
    <cfRule type="cellIs" dxfId="1333" priority="1421" operator="between">
      <formula>1</formula>
      <formula>1000</formula>
    </cfRule>
  </conditionalFormatting>
  <conditionalFormatting sqref="N82 Q82 T82:W82 Z82">
    <cfRule type="cellIs" dxfId="1332" priority="1405" operator="between">
      <formula>1</formula>
      <formula>100000</formula>
    </cfRule>
  </conditionalFormatting>
  <conditionalFormatting sqref="L76 O76 R76 X76">
    <cfRule type="cellIs" dxfId="1331" priority="1419" operator="between">
      <formula>0.01</formula>
      <formula>1</formula>
    </cfRule>
  </conditionalFormatting>
  <conditionalFormatting sqref="M76 P76 S76 Y76">
    <cfRule type="cellIs" dxfId="1330" priority="1418" operator="between">
      <formula>1</formula>
      <formula>1000</formula>
    </cfRule>
  </conditionalFormatting>
  <conditionalFormatting sqref="N78 Q78 T78:W78 Z78">
    <cfRule type="cellIs" dxfId="1329" priority="1414" operator="between">
      <formula>1</formula>
      <formula>100000</formula>
    </cfRule>
  </conditionalFormatting>
  <conditionalFormatting sqref="N80 Q80 T80:W80 Z80">
    <cfRule type="cellIs" dxfId="1328" priority="1411" operator="between">
      <formula>1</formula>
      <formula>100000</formula>
    </cfRule>
  </conditionalFormatting>
  <conditionalFormatting sqref="L78 O78 R78 X78">
    <cfRule type="cellIs" dxfId="1327" priority="1416" operator="between">
      <formula>0.01</formula>
      <formula>1</formula>
    </cfRule>
  </conditionalFormatting>
  <conditionalFormatting sqref="M78 P78 S78 Y78">
    <cfRule type="cellIs" dxfId="1326" priority="1415" operator="between">
      <formula>1</formula>
      <formula>1000</formula>
    </cfRule>
  </conditionalFormatting>
  <conditionalFormatting sqref="L82 O82 R82 X82">
    <cfRule type="cellIs" dxfId="1325" priority="1407" operator="between">
      <formula>0.01</formula>
      <formula>1</formula>
    </cfRule>
  </conditionalFormatting>
  <conditionalFormatting sqref="M82 P82 S82 Y82">
    <cfRule type="cellIs" dxfId="1324" priority="1406" operator="between">
      <formula>1</formula>
      <formula>1000</formula>
    </cfRule>
  </conditionalFormatting>
  <conditionalFormatting sqref="N88 Q88 T88:W88 Z88">
    <cfRule type="cellIs" dxfId="1323" priority="1390" operator="between">
      <formula>1</formula>
      <formula>100000</formula>
    </cfRule>
  </conditionalFormatting>
  <conditionalFormatting sqref="L80 O80 R80 X80">
    <cfRule type="cellIs" dxfId="1322" priority="1413" operator="between">
      <formula>0.01</formula>
      <formula>1</formula>
    </cfRule>
  </conditionalFormatting>
  <conditionalFormatting sqref="M80 P80 S80 Y80">
    <cfRule type="cellIs" dxfId="1321" priority="1412" operator="between">
      <formula>1</formula>
      <formula>1000</formula>
    </cfRule>
  </conditionalFormatting>
  <conditionalFormatting sqref="N83 Q83 T83:W83 Z83">
    <cfRule type="cellIs" dxfId="1320" priority="1402" operator="between">
      <formula>1</formula>
      <formula>100000</formula>
    </cfRule>
  </conditionalFormatting>
  <conditionalFormatting sqref="N100 Q100 T100:W100 Z100">
    <cfRule type="cellIs" dxfId="1319" priority="1357" operator="between">
      <formula>1</formula>
      <formula>100000</formula>
    </cfRule>
  </conditionalFormatting>
  <conditionalFormatting sqref="L83 O83 R83 X83">
    <cfRule type="cellIs" dxfId="1318" priority="1404" operator="between">
      <formula>0.01</formula>
      <formula>1</formula>
    </cfRule>
  </conditionalFormatting>
  <conditionalFormatting sqref="M83 P83 S83 Y83">
    <cfRule type="cellIs" dxfId="1317" priority="1403" operator="between">
      <formula>1</formula>
      <formula>1000</formula>
    </cfRule>
  </conditionalFormatting>
  <conditionalFormatting sqref="L88 O88 R88 X88">
    <cfRule type="cellIs" dxfId="1316" priority="1392" operator="between">
      <formula>0.01</formula>
      <formula>1</formula>
    </cfRule>
  </conditionalFormatting>
  <conditionalFormatting sqref="M88 P88 S88 Y88">
    <cfRule type="cellIs" dxfId="1315" priority="1391" operator="between">
      <formula>1</formula>
      <formula>1000</formula>
    </cfRule>
  </conditionalFormatting>
  <conditionalFormatting sqref="N81 Q81 T81:W81 Z81">
    <cfRule type="cellIs" dxfId="1314" priority="1408" operator="between">
      <formula>1</formula>
      <formula>100000</formula>
    </cfRule>
  </conditionalFormatting>
  <conditionalFormatting sqref="L81 O81 R81 X81">
    <cfRule type="cellIs" dxfId="1313" priority="1410" operator="between">
      <formula>0.01</formula>
      <formula>1</formula>
    </cfRule>
  </conditionalFormatting>
  <conditionalFormatting sqref="M81 P81 S81 Y81">
    <cfRule type="cellIs" dxfId="1312" priority="1409" operator="between">
      <formula>1</formula>
      <formula>1000</formula>
    </cfRule>
  </conditionalFormatting>
  <conditionalFormatting sqref="N89 Q89 T89:W89 Z89">
    <cfRule type="cellIs" dxfId="1311" priority="1387" operator="between">
      <formula>1</formula>
      <formula>100000</formula>
    </cfRule>
  </conditionalFormatting>
  <conditionalFormatting sqref="L89 O89 R89 X89">
    <cfRule type="cellIs" dxfId="1310" priority="1389" operator="between">
      <formula>0.01</formula>
      <formula>1</formula>
    </cfRule>
  </conditionalFormatting>
  <conditionalFormatting sqref="M89 P89 S89 Y89">
    <cfRule type="cellIs" dxfId="1309" priority="1388" operator="between">
      <formula>1</formula>
      <formula>1000</formula>
    </cfRule>
  </conditionalFormatting>
  <conditionalFormatting sqref="L90 O90 R90 X90">
    <cfRule type="cellIs" dxfId="1308" priority="1386" operator="between">
      <formula>0.01</formula>
      <formula>1</formula>
    </cfRule>
  </conditionalFormatting>
  <conditionalFormatting sqref="M90 P90 S90 Y90">
    <cfRule type="cellIs" dxfId="1307" priority="1385" operator="between">
      <formula>1</formula>
      <formula>1000</formula>
    </cfRule>
  </conditionalFormatting>
  <conditionalFormatting sqref="N98 Q98 T98:W98 Z98">
    <cfRule type="cellIs" dxfId="1306" priority="1363" operator="between">
      <formula>1</formula>
      <formula>100000</formula>
    </cfRule>
  </conditionalFormatting>
  <conditionalFormatting sqref="N99 Q99 T99:W99 Z99">
    <cfRule type="cellIs" dxfId="1305" priority="1360" operator="between">
      <formula>1</formula>
      <formula>100000</formula>
    </cfRule>
  </conditionalFormatting>
  <conditionalFormatting sqref="L98 O98 R98 X98">
    <cfRule type="cellIs" dxfId="1304" priority="1365" operator="between">
      <formula>0.01</formula>
      <formula>1</formula>
    </cfRule>
  </conditionalFormatting>
  <conditionalFormatting sqref="M98 P98 S98 Y98">
    <cfRule type="cellIs" dxfId="1303" priority="1364" operator="between">
      <formula>1</formula>
      <formula>1000</formula>
    </cfRule>
  </conditionalFormatting>
  <conditionalFormatting sqref="L99 O99 R99 X99">
    <cfRule type="cellIs" dxfId="1302" priority="1362" operator="between">
      <formula>0.01</formula>
      <formula>1</formula>
    </cfRule>
  </conditionalFormatting>
  <conditionalFormatting sqref="M99 P99 S99 Y99">
    <cfRule type="cellIs" dxfId="1301" priority="1361" operator="between">
      <formula>1</formula>
      <formula>1000</formula>
    </cfRule>
  </conditionalFormatting>
  <conditionalFormatting sqref="N103 Q103 T103:W103 Z103">
    <cfRule type="cellIs" dxfId="1300" priority="1351" operator="between">
      <formula>1</formula>
      <formula>100000</formula>
    </cfRule>
  </conditionalFormatting>
  <conditionalFormatting sqref="L100 O100 R100 X100">
    <cfRule type="cellIs" dxfId="1299" priority="1359" operator="between">
      <formula>0.01</formula>
      <formula>1</formula>
    </cfRule>
  </conditionalFormatting>
  <conditionalFormatting sqref="M100 P100 S100 Y100">
    <cfRule type="cellIs" dxfId="1298" priority="1358" operator="between">
      <formula>1</formula>
      <formula>1000</formula>
    </cfRule>
  </conditionalFormatting>
  <conditionalFormatting sqref="N102 Q102 T102:W102 Z102">
    <cfRule type="cellIs" dxfId="1297" priority="1354" operator="between">
      <formula>1</formula>
      <formula>100000</formula>
    </cfRule>
  </conditionalFormatting>
  <conditionalFormatting sqref="L102 O102 R102 X102">
    <cfRule type="cellIs" dxfId="1296" priority="1356" operator="between">
      <formula>0.01</formula>
      <formula>1</formula>
    </cfRule>
  </conditionalFormatting>
  <conditionalFormatting sqref="M102 P102 S102 Y102">
    <cfRule type="cellIs" dxfId="1295" priority="1355" operator="between">
      <formula>1</formula>
      <formula>1000</formula>
    </cfRule>
  </conditionalFormatting>
  <conditionalFormatting sqref="N114 Q114 T114:W114 Z114">
    <cfRule type="cellIs" dxfId="1294" priority="1261" operator="between">
      <formula>1</formula>
      <formula>100000</formula>
    </cfRule>
  </conditionalFormatting>
  <conditionalFormatting sqref="L103 O103 R103 X103">
    <cfRule type="cellIs" dxfId="1293" priority="1353" operator="between">
      <formula>0.01</formula>
      <formula>1</formula>
    </cfRule>
  </conditionalFormatting>
  <conditionalFormatting sqref="M103 P103 S103 Y103">
    <cfRule type="cellIs" dxfId="1292" priority="1352" operator="between">
      <formula>1</formula>
      <formula>1000</formula>
    </cfRule>
  </conditionalFormatting>
  <conditionalFormatting sqref="N92 Q92 T92:W92 Z92">
    <cfRule type="cellIs" dxfId="1291" priority="1381" operator="between">
      <formula>1</formula>
      <formula>100000</formula>
    </cfRule>
  </conditionalFormatting>
  <conditionalFormatting sqref="N93 Q93 T93:W93 Z93">
    <cfRule type="cellIs" dxfId="1290" priority="1378" operator="between">
      <formula>1</formula>
      <formula>100000</formula>
    </cfRule>
  </conditionalFormatting>
  <conditionalFormatting sqref="L92 O92 R92 X92">
    <cfRule type="cellIs" dxfId="1289" priority="1383" operator="between">
      <formula>0.01</formula>
      <formula>1</formula>
    </cfRule>
  </conditionalFormatting>
  <conditionalFormatting sqref="M92 P92 S92 Y92">
    <cfRule type="cellIs" dxfId="1288" priority="1382" operator="between">
      <formula>1</formula>
      <formula>1000</formula>
    </cfRule>
  </conditionalFormatting>
  <conditionalFormatting sqref="N97 Q97 T97:W97 Z97">
    <cfRule type="cellIs" dxfId="1287" priority="1366" operator="between">
      <formula>1</formula>
      <formula>100000</formula>
    </cfRule>
  </conditionalFormatting>
  <conditionalFormatting sqref="L93 O93 R93 X93">
    <cfRule type="cellIs" dxfId="1286" priority="1380" operator="between">
      <formula>0.01</formula>
      <formula>1</formula>
    </cfRule>
  </conditionalFormatting>
  <conditionalFormatting sqref="M93 P93 S93 Y93">
    <cfRule type="cellIs" dxfId="1285" priority="1379" operator="between">
      <formula>1</formula>
      <formula>1000</formula>
    </cfRule>
  </conditionalFormatting>
  <conditionalFormatting sqref="N94 Q94 T94:W94 Z94">
    <cfRule type="cellIs" dxfId="1284" priority="1375" operator="between">
      <formula>1</formula>
      <formula>100000</formula>
    </cfRule>
  </conditionalFormatting>
  <conditionalFormatting sqref="N95 Q95 T95:W95 Z95">
    <cfRule type="cellIs" dxfId="1283" priority="1372" operator="between">
      <formula>1</formula>
      <formula>100000</formula>
    </cfRule>
  </conditionalFormatting>
  <conditionalFormatting sqref="L94 O94 R94 X94">
    <cfRule type="cellIs" dxfId="1282" priority="1377" operator="between">
      <formula>0.01</formula>
      <formula>1</formula>
    </cfRule>
  </conditionalFormatting>
  <conditionalFormatting sqref="M94 P94 S94 Y94">
    <cfRule type="cellIs" dxfId="1281" priority="1376" operator="between">
      <formula>1</formula>
      <formula>1000</formula>
    </cfRule>
  </conditionalFormatting>
  <conditionalFormatting sqref="L97 O97 R97 X97">
    <cfRule type="cellIs" dxfId="1280" priority="1368" operator="between">
      <formula>0.01</formula>
      <formula>1</formula>
    </cfRule>
  </conditionalFormatting>
  <conditionalFormatting sqref="M97 P97 S97 Y97">
    <cfRule type="cellIs" dxfId="1279" priority="1367" operator="between">
      <formula>1</formula>
      <formula>1000</formula>
    </cfRule>
  </conditionalFormatting>
  <conditionalFormatting sqref="L95 O95 R95 X95">
    <cfRule type="cellIs" dxfId="1278" priority="1374" operator="between">
      <formula>0.01</formula>
      <formula>1</formula>
    </cfRule>
  </conditionalFormatting>
  <conditionalFormatting sqref="M95 P95 S95 Y95">
    <cfRule type="cellIs" dxfId="1277" priority="1373" operator="between">
      <formula>1</formula>
      <formula>1000</formula>
    </cfRule>
  </conditionalFormatting>
  <conditionalFormatting sqref="N112 Q112 T112:W112 Z112">
    <cfRule type="cellIs" dxfId="1276" priority="1267" operator="between">
      <formula>1</formula>
      <formula>100000</formula>
    </cfRule>
  </conditionalFormatting>
  <conditionalFormatting sqref="L112 O112 R112 X112">
    <cfRule type="cellIs" dxfId="1275" priority="1269" operator="between">
      <formula>0.01</formula>
      <formula>1</formula>
    </cfRule>
  </conditionalFormatting>
  <conditionalFormatting sqref="M112 P112 S112 Y112">
    <cfRule type="cellIs" dxfId="1274" priority="1268" operator="between">
      <formula>1</formula>
      <formula>1000</formula>
    </cfRule>
  </conditionalFormatting>
  <conditionalFormatting sqref="N96 Q96 T96:W96 Z96">
    <cfRule type="cellIs" dxfId="1273" priority="1369" operator="between">
      <formula>1</formula>
      <formula>100000</formula>
    </cfRule>
  </conditionalFormatting>
  <conditionalFormatting sqref="L96 O96 R96 X96">
    <cfRule type="cellIs" dxfId="1272" priority="1371" operator="between">
      <formula>0.01</formula>
      <formula>1</formula>
    </cfRule>
  </conditionalFormatting>
  <conditionalFormatting sqref="M96 P96 S96 Y96">
    <cfRule type="cellIs" dxfId="1271" priority="1370" operator="between">
      <formula>1</formula>
      <formula>1000</formula>
    </cfRule>
  </conditionalFormatting>
  <conditionalFormatting sqref="N119 Q119 T119:W119 Z119">
    <cfRule type="cellIs" dxfId="1270" priority="1246" operator="between">
      <formula>1</formula>
      <formula>100000</formula>
    </cfRule>
  </conditionalFormatting>
  <conditionalFormatting sqref="N113 Q113 T113:W113 Z113">
    <cfRule type="cellIs" dxfId="1269" priority="1264" operator="between">
      <formula>1</formula>
      <formula>100000</formula>
    </cfRule>
  </conditionalFormatting>
  <conditionalFormatting sqref="L113 O113 R113 X113">
    <cfRule type="cellIs" dxfId="1268" priority="1266" operator="between">
      <formula>0.01</formula>
      <formula>1</formula>
    </cfRule>
  </conditionalFormatting>
  <conditionalFormatting sqref="M113 P113 S113 Y113">
    <cfRule type="cellIs" dxfId="1267" priority="1265" operator="between">
      <formula>1</formula>
      <formula>1000</formula>
    </cfRule>
  </conditionalFormatting>
  <conditionalFormatting sqref="L114 O114 R114 X114">
    <cfRule type="cellIs" dxfId="1266" priority="1263" operator="between">
      <formula>0.01</formula>
      <formula>1</formula>
    </cfRule>
  </conditionalFormatting>
  <conditionalFormatting sqref="M114 P114 S114 Y114">
    <cfRule type="cellIs" dxfId="1265" priority="1262" operator="between">
      <formula>1</formula>
      <formula>1000</formula>
    </cfRule>
  </conditionalFormatting>
  <conditionalFormatting sqref="N117 Q117 T117:W117 Z117">
    <cfRule type="cellIs" dxfId="1264" priority="1252" operator="between">
      <formula>1</formula>
      <formula>100000</formula>
    </cfRule>
  </conditionalFormatting>
  <conditionalFormatting sqref="L117 O117 R117 X117">
    <cfRule type="cellIs" dxfId="1263" priority="1254" operator="between">
      <formula>0.01</formula>
      <formula>1</formula>
    </cfRule>
  </conditionalFormatting>
  <conditionalFormatting sqref="M117 P117 S117 Y117">
    <cfRule type="cellIs" dxfId="1262" priority="1253" operator="between">
      <formula>1</formula>
      <formula>1000</formula>
    </cfRule>
  </conditionalFormatting>
  <conditionalFormatting sqref="N141 Q141 T141:W141 Z141">
    <cfRule type="cellIs" dxfId="1261" priority="1183" operator="between">
      <formula>1</formula>
      <formula>100000</formula>
    </cfRule>
  </conditionalFormatting>
  <conditionalFormatting sqref="N118 Q118 T118:W118 Z118">
    <cfRule type="cellIs" dxfId="1260" priority="1249" operator="between">
      <formula>1</formula>
      <formula>100000</formula>
    </cfRule>
  </conditionalFormatting>
  <conditionalFormatting sqref="L118 O118 R118 X118">
    <cfRule type="cellIs" dxfId="1259" priority="1251" operator="between">
      <formula>0.01</formula>
      <formula>1</formula>
    </cfRule>
  </conditionalFormatting>
  <conditionalFormatting sqref="M118 P118 S118 Y118">
    <cfRule type="cellIs" dxfId="1258" priority="1250" operator="between">
      <formula>1</formula>
      <formula>1000</formula>
    </cfRule>
  </conditionalFormatting>
  <conditionalFormatting sqref="L119 O119 R119 X119">
    <cfRule type="cellIs" dxfId="1257" priority="1248" operator="between">
      <formula>0.01</formula>
      <formula>1</formula>
    </cfRule>
  </conditionalFormatting>
  <conditionalFormatting sqref="M119 P119 S119 Y119">
    <cfRule type="cellIs" dxfId="1256" priority="1247" operator="between">
      <formula>1</formula>
      <formula>1000</formula>
    </cfRule>
  </conditionalFormatting>
  <conditionalFormatting sqref="N105 Q105 T105:W105 Z105">
    <cfRule type="cellIs" dxfId="1255" priority="1348" operator="between">
      <formula>1</formula>
      <formula>100000</formula>
    </cfRule>
  </conditionalFormatting>
  <conditionalFormatting sqref="N106 Q106 T106:W106 Z106">
    <cfRule type="cellIs" dxfId="1254" priority="1345" operator="between">
      <formula>1</formula>
      <formula>100000</formula>
    </cfRule>
  </conditionalFormatting>
  <conditionalFormatting sqref="L105 O105 R105 X105">
    <cfRule type="cellIs" dxfId="1253" priority="1350" operator="between">
      <formula>0.01</formula>
      <formula>1</formula>
    </cfRule>
  </conditionalFormatting>
  <conditionalFormatting sqref="M105 P105 S105 Y105">
    <cfRule type="cellIs" dxfId="1252" priority="1349" operator="between">
      <formula>1</formula>
      <formula>1000</formula>
    </cfRule>
  </conditionalFormatting>
  <conditionalFormatting sqref="N110 Q110 T110:W110 Z110">
    <cfRule type="cellIs" dxfId="1251" priority="1273" operator="between">
      <formula>1</formula>
      <formula>100000</formula>
    </cfRule>
  </conditionalFormatting>
  <conditionalFormatting sqref="L106 O106 R106 X106">
    <cfRule type="cellIs" dxfId="1250" priority="1347" operator="between">
      <formula>0.01</formula>
      <formula>1</formula>
    </cfRule>
  </conditionalFormatting>
  <conditionalFormatting sqref="M106 P106 S106 Y106">
    <cfRule type="cellIs" dxfId="1249" priority="1346" operator="between">
      <formula>1</formula>
      <formula>1000</formula>
    </cfRule>
  </conditionalFormatting>
  <conditionalFormatting sqref="N107 Q107 T107:W107 Z107">
    <cfRule type="cellIs" dxfId="1248" priority="1342" operator="between">
      <formula>1</formula>
      <formula>100000</formula>
    </cfRule>
  </conditionalFormatting>
  <conditionalFormatting sqref="N134 Q134 T134:W134 Z134">
    <cfRule type="cellIs" dxfId="1247" priority="1201" operator="between">
      <formula>1</formula>
      <formula>100000</formula>
    </cfRule>
  </conditionalFormatting>
  <conditionalFormatting sqref="L107 O107 R107 X107">
    <cfRule type="cellIs" dxfId="1246" priority="1344" operator="between">
      <formula>0.01</formula>
      <formula>1</formula>
    </cfRule>
  </conditionalFormatting>
  <conditionalFormatting sqref="M107 P107 S107 Y107">
    <cfRule type="cellIs" dxfId="1245" priority="1343" operator="between">
      <formula>1</formula>
      <formula>1000</formula>
    </cfRule>
  </conditionalFormatting>
  <conditionalFormatting sqref="L110 O110 R110 X110">
    <cfRule type="cellIs" dxfId="1244" priority="1275" operator="between">
      <formula>0.01</formula>
      <formula>1</formula>
    </cfRule>
  </conditionalFormatting>
  <conditionalFormatting sqref="M110 P110 S110 Y110">
    <cfRule type="cellIs" dxfId="1243" priority="1274" operator="between">
      <formula>1</formula>
      <formula>1000</formula>
    </cfRule>
  </conditionalFormatting>
  <conditionalFormatting sqref="L134 O134 R134 X134">
    <cfRule type="cellIs" dxfId="1242" priority="1203" operator="between">
      <formula>0.01</formula>
      <formula>1</formula>
    </cfRule>
  </conditionalFormatting>
  <conditionalFormatting sqref="M134 P134 S134 Y134">
    <cfRule type="cellIs" dxfId="1241" priority="1202" operator="between">
      <formula>1</formula>
      <formula>1000</formula>
    </cfRule>
  </conditionalFormatting>
  <conditionalFormatting sqref="N111 Q111 T111:W111 Z111">
    <cfRule type="cellIs" dxfId="1240" priority="1270" operator="between">
      <formula>1</formula>
      <formula>100000</formula>
    </cfRule>
  </conditionalFormatting>
  <conditionalFormatting sqref="L111 O111 R111 X111">
    <cfRule type="cellIs" dxfId="1239" priority="1272" operator="between">
      <formula>0.01</formula>
      <formula>1</formula>
    </cfRule>
  </conditionalFormatting>
  <conditionalFormatting sqref="M111 P111 S111 Y111">
    <cfRule type="cellIs" dxfId="1238" priority="1271" operator="between">
      <formula>1</formula>
      <formula>1000</formula>
    </cfRule>
  </conditionalFormatting>
  <conditionalFormatting sqref="N136 Q136 T136:W136 Z136">
    <cfRule type="cellIs" dxfId="1237" priority="1198" operator="between">
      <formula>1</formula>
      <formula>100000</formula>
    </cfRule>
  </conditionalFormatting>
  <conditionalFormatting sqref="L136 O136 R136 X136">
    <cfRule type="cellIs" dxfId="1236" priority="1200" operator="between">
      <formula>0.01</formula>
      <formula>1</formula>
    </cfRule>
  </conditionalFormatting>
  <conditionalFormatting sqref="M136 P136 S136 Y136">
    <cfRule type="cellIs" dxfId="1235" priority="1199" operator="between">
      <formula>1</formula>
      <formula>1000</formula>
    </cfRule>
  </conditionalFormatting>
  <conditionalFormatting sqref="N129 Q129 T129:W129 Z129">
    <cfRule type="cellIs" dxfId="1234" priority="1216" operator="between">
      <formula>1</formula>
      <formula>100000</formula>
    </cfRule>
  </conditionalFormatting>
  <conditionalFormatting sqref="N139 Q139 T139:W139 Z139">
    <cfRule type="cellIs" dxfId="1233" priority="1189" operator="between">
      <formula>1</formula>
      <formula>100000</formula>
    </cfRule>
  </conditionalFormatting>
  <conditionalFormatting sqref="L139 O139 R139 X139">
    <cfRule type="cellIs" dxfId="1232" priority="1191" operator="between">
      <formula>0.01</formula>
      <formula>1</formula>
    </cfRule>
  </conditionalFormatting>
  <conditionalFormatting sqref="M139 P139 S139 Y139">
    <cfRule type="cellIs" dxfId="1231" priority="1190" operator="between">
      <formula>1</formula>
      <formula>1000</formula>
    </cfRule>
  </conditionalFormatting>
  <conditionalFormatting sqref="N140 Q140 T140:W140 Z140">
    <cfRule type="cellIs" dxfId="1230" priority="1186" operator="between">
      <formula>1</formula>
      <formula>100000</formula>
    </cfRule>
  </conditionalFormatting>
  <conditionalFormatting sqref="L140 O140 R140 X140">
    <cfRule type="cellIs" dxfId="1229" priority="1188" operator="between">
      <formula>0.01</formula>
      <formula>1</formula>
    </cfRule>
  </conditionalFormatting>
  <conditionalFormatting sqref="M140 P140 S140 Y140">
    <cfRule type="cellIs" dxfId="1228" priority="1187" operator="between">
      <formula>1</formula>
      <formula>1000</formula>
    </cfRule>
  </conditionalFormatting>
  <conditionalFormatting sqref="L141 O141 R141 X141">
    <cfRule type="cellIs" dxfId="1227" priority="1185" operator="between">
      <formula>0.01</formula>
      <formula>1</formula>
    </cfRule>
  </conditionalFormatting>
  <conditionalFormatting sqref="M141 P141 S141 Y141">
    <cfRule type="cellIs" dxfId="1226" priority="1184" operator="between">
      <formula>1</formula>
      <formula>1000</formula>
    </cfRule>
  </conditionalFormatting>
  <conditionalFormatting sqref="N115 Q115 T115:W115 Z115">
    <cfRule type="cellIs" dxfId="1225" priority="1258" operator="between">
      <formula>1</formula>
      <formula>100000</formula>
    </cfRule>
  </conditionalFormatting>
  <conditionalFormatting sqref="N116 Q116 T116:W116 Z116">
    <cfRule type="cellIs" dxfId="1224" priority="1255" operator="between">
      <formula>1</formula>
      <formula>100000</formula>
    </cfRule>
  </conditionalFormatting>
  <conditionalFormatting sqref="L115 O115 R115 X115">
    <cfRule type="cellIs" dxfId="1223" priority="1260" operator="between">
      <formula>0.01</formula>
      <formula>1</formula>
    </cfRule>
  </conditionalFormatting>
  <conditionalFormatting sqref="M115 P115 S115 Y115">
    <cfRule type="cellIs" dxfId="1222" priority="1259" operator="between">
      <formula>1</formula>
      <formula>1000</formula>
    </cfRule>
  </conditionalFormatting>
  <conditionalFormatting sqref="N137 Q137 T137:W137 Z137">
    <cfRule type="cellIs" dxfId="1221" priority="1195" operator="between">
      <formula>1</formula>
      <formula>100000</formula>
    </cfRule>
  </conditionalFormatting>
  <conditionalFormatting sqref="L116 O116 R116 X116">
    <cfRule type="cellIs" dxfId="1220" priority="1257" operator="between">
      <formula>0.01</formula>
      <formula>1</formula>
    </cfRule>
  </conditionalFormatting>
  <conditionalFormatting sqref="M116 P116 S116 Y116">
    <cfRule type="cellIs" dxfId="1219" priority="1256" operator="between">
      <formula>1</formula>
      <formula>1000</formula>
    </cfRule>
  </conditionalFormatting>
  <conditionalFormatting sqref="N122 Q122 T122:W122 Z122">
    <cfRule type="cellIs" dxfId="1218" priority="1237" operator="between">
      <formula>1</formula>
      <formula>100000</formula>
    </cfRule>
  </conditionalFormatting>
  <conditionalFormatting sqref="N123 Q123 T123:W123 Z123">
    <cfRule type="cellIs" dxfId="1217" priority="1234" operator="between">
      <formula>1</formula>
      <formula>100000</formula>
    </cfRule>
  </conditionalFormatting>
  <conditionalFormatting sqref="L122 O122 R122 X122">
    <cfRule type="cellIs" dxfId="1216" priority="1239" operator="between">
      <formula>0.01</formula>
      <formula>1</formula>
    </cfRule>
  </conditionalFormatting>
  <conditionalFormatting sqref="M122 P122 S122 Y122">
    <cfRule type="cellIs" dxfId="1215" priority="1238" operator="between">
      <formula>1</formula>
      <formula>1000</formula>
    </cfRule>
  </conditionalFormatting>
  <conditionalFormatting sqref="L137 O137 R137 X137">
    <cfRule type="cellIs" dxfId="1214" priority="1197" operator="between">
      <formula>0.01</formula>
      <formula>1</formula>
    </cfRule>
  </conditionalFormatting>
  <conditionalFormatting sqref="M137 P137 S137 Y137">
    <cfRule type="cellIs" dxfId="1213" priority="1196" operator="between">
      <formula>1</formula>
      <formula>1000</formula>
    </cfRule>
  </conditionalFormatting>
  <conditionalFormatting sqref="L123 O123 R123 X123">
    <cfRule type="cellIs" dxfId="1212" priority="1236" operator="between">
      <formula>0.01</formula>
      <formula>1</formula>
    </cfRule>
  </conditionalFormatting>
  <conditionalFormatting sqref="M123 P123 S123 Y123">
    <cfRule type="cellIs" dxfId="1211" priority="1235" operator="between">
      <formula>1</formula>
      <formula>1000</formula>
    </cfRule>
  </conditionalFormatting>
  <conditionalFormatting sqref="N138 Q138 T138:W138 Z138">
    <cfRule type="cellIs" dxfId="1210" priority="1192" operator="between">
      <formula>1</formula>
      <formula>100000</formula>
    </cfRule>
  </conditionalFormatting>
  <conditionalFormatting sqref="L138 O138 R138 X138">
    <cfRule type="cellIs" dxfId="1209" priority="1194" operator="between">
      <formula>0.01</formula>
      <formula>1</formula>
    </cfRule>
  </conditionalFormatting>
  <conditionalFormatting sqref="M138 P138 S138 Y138">
    <cfRule type="cellIs" dxfId="1208" priority="1193" operator="between">
      <formula>1</formula>
      <formula>1000</formula>
    </cfRule>
  </conditionalFormatting>
  <conditionalFormatting sqref="N124 Q124 T124:W124 Z124">
    <cfRule type="cellIs" dxfId="1207" priority="1231" operator="between">
      <formula>1</formula>
      <formula>100000</formula>
    </cfRule>
  </conditionalFormatting>
  <conditionalFormatting sqref="L124 O124 R124 X124">
    <cfRule type="cellIs" dxfId="1206" priority="1233" operator="between">
      <formula>0.01</formula>
      <formula>1</formula>
    </cfRule>
  </conditionalFormatting>
  <conditionalFormatting sqref="M124 P124 S124 Y124">
    <cfRule type="cellIs" dxfId="1205" priority="1232" operator="between">
      <formula>1</formula>
      <formula>1000</formula>
    </cfRule>
  </conditionalFormatting>
  <conditionalFormatting sqref="N156 Q156 T156:W156 Z156">
    <cfRule type="cellIs" dxfId="1204" priority="1138" operator="between">
      <formula>1</formula>
      <formula>100000</formula>
    </cfRule>
  </conditionalFormatting>
  <conditionalFormatting sqref="N127 Q127 T127:W127 Z127">
    <cfRule type="cellIs" dxfId="1203" priority="1222" operator="between">
      <formula>1</formula>
      <formula>100000</formula>
    </cfRule>
  </conditionalFormatting>
  <conditionalFormatting sqref="L127 O127 R127 X127">
    <cfRule type="cellIs" dxfId="1202" priority="1224" operator="between">
      <formula>0.01</formula>
      <formula>1</formula>
    </cfRule>
  </conditionalFormatting>
  <conditionalFormatting sqref="M127 P127 S127 Y127">
    <cfRule type="cellIs" dxfId="1201" priority="1223" operator="between">
      <formula>1</formula>
      <formula>1000</formula>
    </cfRule>
  </conditionalFormatting>
  <conditionalFormatting sqref="N128 Q128 T128:W128 Z128">
    <cfRule type="cellIs" dxfId="1200" priority="1219" operator="between">
      <formula>1</formula>
      <formula>100000</formula>
    </cfRule>
  </conditionalFormatting>
  <conditionalFormatting sqref="L128 O128 R128 X128">
    <cfRule type="cellIs" dxfId="1199" priority="1221" operator="between">
      <formula>0.01</formula>
      <formula>1</formula>
    </cfRule>
  </conditionalFormatting>
  <conditionalFormatting sqref="M128 P128 S128 Y128">
    <cfRule type="cellIs" dxfId="1198" priority="1220" operator="between">
      <formula>1</formula>
      <formula>1000</formula>
    </cfRule>
  </conditionalFormatting>
  <conditionalFormatting sqref="L129 O129 R129 X129">
    <cfRule type="cellIs" dxfId="1197" priority="1218" operator="between">
      <formula>0.01</formula>
      <formula>1</formula>
    </cfRule>
  </conditionalFormatting>
  <conditionalFormatting sqref="M129 P129 S129 Y129">
    <cfRule type="cellIs" dxfId="1196" priority="1217" operator="between">
      <formula>1</formula>
      <formula>1000</formula>
    </cfRule>
  </conditionalFormatting>
  <conditionalFormatting sqref="N120 Q120 T120:W120 Z120">
    <cfRule type="cellIs" dxfId="1195" priority="1243" operator="between">
      <formula>1</formula>
      <formula>100000</formula>
    </cfRule>
  </conditionalFormatting>
  <conditionalFormatting sqref="L120 O120 R120 X120">
    <cfRule type="cellIs" dxfId="1194" priority="1245" operator="between">
      <formula>0.01</formula>
      <formula>1</formula>
    </cfRule>
  </conditionalFormatting>
  <conditionalFormatting sqref="M120 P120 S120 Y120">
    <cfRule type="cellIs" dxfId="1193" priority="1244" operator="between">
      <formula>1</formula>
      <formula>1000</formula>
    </cfRule>
  </conditionalFormatting>
  <conditionalFormatting sqref="N121 Q121 T121:W121 Z121">
    <cfRule type="cellIs" dxfId="1192" priority="1240" operator="between">
      <formula>1</formula>
      <formula>100000</formula>
    </cfRule>
  </conditionalFormatting>
  <conditionalFormatting sqref="L121 O121 R121 X121">
    <cfRule type="cellIs" dxfId="1191" priority="1242" operator="between">
      <formula>0.01</formula>
      <formula>1</formula>
    </cfRule>
  </conditionalFormatting>
  <conditionalFormatting sqref="M121 P121 S121 Y121">
    <cfRule type="cellIs" dxfId="1190" priority="1241" operator="between">
      <formula>1</formula>
      <formula>1000</formula>
    </cfRule>
  </conditionalFormatting>
  <conditionalFormatting sqref="N132 Q132 T132:W132 Z132">
    <cfRule type="cellIs" dxfId="1189" priority="1207" operator="between">
      <formula>1</formula>
      <formula>100000</formula>
    </cfRule>
  </conditionalFormatting>
  <conditionalFormatting sqref="L132 O132 R132 X132">
    <cfRule type="cellIs" dxfId="1188" priority="1209" operator="between">
      <formula>0.01</formula>
      <formula>1</formula>
    </cfRule>
  </conditionalFormatting>
  <conditionalFormatting sqref="M132 P132 S132 Y132">
    <cfRule type="cellIs" dxfId="1187" priority="1208" operator="between">
      <formula>1</formula>
      <formula>1000</formula>
    </cfRule>
  </conditionalFormatting>
  <conditionalFormatting sqref="N163 Q163 T163:W163 Z163">
    <cfRule type="cellIs" dxfId="1186" priority="1120" operator="between">
      <formula>1</formula>
      <formula>100000</formula>
    </cfRule>
  </conditionalFormatting>
  <conditionalFormatting sqref="N133 Q133 T133:W133 Z133">
    <cfRule type="cellIs" dxfId="1185" priority="1204" operator="between">
      <formula>1</formula>
      <formula>100000</formula>
    </cfRule>
  </conditionalFormatting>
  <conditionalFormatting sqref="L133 O133 R133 X133">
    <cfRule type="cellIs" dxfId="1184" priority="1206" operator="between">
      <formula>0.01</formula>
      <formula>1</formula>
    </cfRule>
  </conditionalFormatting>
  <conditionalFormatting sqref="M133 P133 S133 Y133">
    <cfRule type="cellIs" dxfId="1183" priority="1205" operator="between">
      <formula>1</formula>
      <formula>1000</formula>
    </cfRule>
  </conditionalFormatting>
  <conditionalFormatting sqref="L156 O156 R156 X156">
    <cfRule type="cellIs" dxfId="1182" priority="1140" operator="between">
      <formula>0.01</formula>
      <formula>1</formula>
    </cfRule>
  </conditionalFormatting>
  <conditionalFormatting sqref="M156 P156 S156 Y156">
    <cfRule type="cellIs" dxfId="1181" priority="1139" operator="between">
      <formula>1</formula>
      <formula>1000</formula>
    </cfRule>
  </conditionalFormatting>
  <conditionalFormatting sqref="N142 Q142 T142:W142 Z142">
    <cfRule type="cellIs" dxfId="1180" priority="1180" operator="between">
      <formula>1</formula>
      <formula>100000</formula>
    </cfRule>
  </conditionalFormatting>
  <conditionalFormatting sqref="N143 Q143 T143:W143 Z143">
    <cfRule type="cellIs" dxfId="1179" priority="1177" operator="between">
      <formula>1</formula>
      <formula>100000</formula>
    </cfRule>
  </conditionalFormatting>
  <conditionalFormatting sqref="L142 O142 R142 X142">
    <cfRule type="cellIs" dxfId="1178" priority="1182" operator="between">
      <formula>0.01</formula>
      <formula>1</formula>
    </cfRule>
  </conditionalFormatting>
  <conditionalFormatting sqref="M142 P142 S142 Y142">
    <cfRule type="cellIs" dxfId="1177" priority="1181" operator="between">
      <formula>1</formula>
      <formula>1000</formula>
    </cfRule>
  </conditionalFormatting>
  <conditionalFormatting sqref="N125 Q125 T125:W125 Z125">
    <cfRule type="cellIs" dxfId="1176" priority="1228" operator="between">
      <formula>1</formula>
      <formula>100000</formula>
    </cfRule>
  </conditionalFormatting>
  <conditionalFormatting sqref="L143 O143 R143 X143">
    <cfRule type="cellIs" dxfId="1175" priority="1179" operator="between">
      <formula>0.01</formula>
      <formula>1</formula>
    </cfRule>
  </conditionalFormatting>
  <conditionalFormatting sqref="M143 P143 S143 Y143">
    <cfRule type="cellIs" dxfId="1174" priority="1178" operator="between">
      <formula>1</formula>
      <formula>1000</formula>
    </cfRule>
  </conditionalFormatting>
  <conditionalFormatting sqref="N144 Q144 T144:W144 Z144">
    <cfRule type="cellIs" dxfId="1173" priority="1174" operator="between">
      <formula>1</formula>
      <formula>100000</formula>
    </cfRule>
  </conditionalFormatting>
  <conditionalFormatting sqref="N145 Q145 T145:W145 Z145">
    <cfRule type="cellIs" dxfId="1172" priority="1171" operator="between">
      <formula>1</formula>
      <formula>100000</formula>
    </cfRule>
  </conditionalFormatting>
  <conditionalFormatting sqref="L144 O144 R144 X144">
    <cfRule type="cellIs" dxfId="1171" priority="1176" operator="between">
      <formula>0.01</formula>
      <formula>1</formula>
    </cfRule>
  </conditionalFormatting>
  <conditionalFormatting sqref="M144 P144 S144 Y144">
    <cfRule type="cellIs" dxfId="1170" priority="1175" operator="between">
      <formula>1</formula>
      <formula>1000</formula>
    </cfRule>
  </conditionalFormatting>
  <conditionalFormatting sqref="L125 O125 R125 X125">
    <cfRule type="cellIs" dxfId="1169" priority="1230" operator="between">
      <formula>0.01</formula>
      <formula>1</formula>
    </cfRule>
  </conditionalFormatting>
  <conditionalFormatting sqref="M125 P125 S125 Y125">
    <cfRule type="cellIs" dxfId="1168" priority="1229" operator="between">
      <formula>1</formula>
      <formula>1000</formula>
    </cfRule>
  </conditionalFormatting>
  <conditionalFormatting sqref="L145 O145 R145 X145">
    <cfRule type="cellIs" dxfId="1167" priority="1173" operator="between">
      <formula>0.01</formula>
      <formula>1</formula>
    </cfRule>
  </conditionalFormatting>
  <conditionalFormatting sqref="M145 P145 S145 Y145">
    <cfRule type="cellIs" dxfId="1166" priority="1172" operator="between">
      <formula>1</formula>
      <formula>1000</formula>
    </cfRule>
  </conditionalFormatting>
  <conditionalFormatting sqref="N126 Q126 T126:W126 Z126">
    <cfRule type="cellIs" dxfId="1165" priority="1225" operator="between">
      <formula>1</formula>
      <formula>100000</formula>
    </cfRule>
  </conditionalFormatting>
  <conditionalFormatting sqref="L126 O126 R126 X126">
    <cfRule type="cellIs" dxfId="1164" priority="1227" operator="between">
      <formula>0.01</formula>
      <formula>1</formula>
    </cfRule>
  </conditionalFormatting>
  <conditionalFormatting sqref="M126 P126 S126 Y126">
    <cfRule type="cellIs" dxfId="1163" priority="1226" operator="between">
      <formula>1</formula>
      <formula>1000</formula>
    </cfRule>
  </conditionalFormatting>
  <conditionalFormatting sqref="N146 Q146 T146:W146 Z146">
    <cfRule type="cellIs" dxfId="1162" priority="1168" operator="between">
      <formula>1</formula>
      <formula>100000</formula>
    </cfRule>
  </conditionalFormatting>
  <conditionalFormatting sqref="L146 O146 R146 X146">
    <cfRule type="cellIs" dxfId="1161" priority="1170" operator="between">
      <formula>0.01</formula>
      <formula>1</formula>
    </cfRule>
  </conditionalFormatting>
  <conditionalFormatting sqref="M146 P146 S146 Y146">
    <cfRule type="cellIs" dxfId="1160" priority="1169" operator="between">
      <formula>1</formula>
      <formula>1000</formula>
    </cfRule>
  </conditionalFormatting>
  <conditionalFormatting sqref="N151 Q151 T151:W151 Z151">
    <cfRule type="cellIs" dxfId="1159" priority="1153" operator="between">
      <formula>1</formula>
      <formula>100000</formula>
    </cfRule>
  </conditionalFormatting>
  <conditionalFormatting sqref="N149 Q149 T149:W149 Z149">
    <cfRule type="cellIs" dxfId="1158" priority="1159" operator="between">
      <formula>1</formula>
      <formula>100000</formula>
    </cfRule>
  </conditionalFormatting>
  <conditionalFormatting sqref="L149 O149 R149 X149">
    <cfRule type="cellIs" dxfId="1157" priority="1161" operator="between">
      <formula>0.01</formula>
      <formula>1</formula>
    </cfRule>
  </conditionalFormatting>
  <conditionalFormatting sqref="M149 P149 S149 Y149">
    <cfRule type="cellIs" dxfId="1156" priority="1160" operator="between">
      <formula>1</formula>
      <formula>1000</formula>
    </cfRule>
  </conditionalFormatting>
  <conditionalFormatting sqref="N178 Q178 T178:W178 Z178">
    <cfRule type="cellIs" dxfId="1155" priority="1075" operator="between">
      <formula>1</formula>
      <formula>100000</formula>
    </cfRule>
  </conditionalFormatting>
  <conditionalFormatting sqref="N150 Q150 T150:W150 Z150">
    <cfRule type="cellIs" dxfId="1154" priority="1156" operator="between">
      <formula>1</formula>
      <formula>100000</formula>
    </cfRule>
  </conditionalFormatting>
  <conditionalFormatting sqref="L150 O150 R150 X150">
    <cfRule type="cellIs" dxfId="1153" priority="1158" operator="between">
      <formula>0.01</formula>
      <formula>1</formula>
    </cfRule>
  </conditionalFormatting>
  <conditionalFormatting sqref="M150 P150 S150 Y150">
    <cfRule type="cellIs" dxfId="1152" priority="1157" operator="between">
      <formula>1</formula>
      <formula>1000</formula>
    </cfRule>
  </conditionalFormatting>
  <conditionalFormatting sqref="L151 O151 R151 X151">
    <cfRule type="cellIs" dxfId="1151" priority="1155" operator="between">
      <formula>0.01</formula>
      <formula>1</formula>
    </cfRule>
  </conditionalFormatting>
  <conditionalFormatting sqref="M151 P151 S151 Y151">
    <cfRule type="cellIs" dxfId="1150" priority="1154" operator="between">
      <formula>1</formula>
      <formula>1000</formula>
    </cfRule>
  </conditionalFormatting>
  <conditionalFormatting sqref="N154 Q154 T154:W154 Z154">
    <cfRule type="cellIs" dxfId="1149" priority="1144" operator="between">
      <formula>1</formula>
      <formula>100000</formula>
    </cfRule>
  </conditionalFormatting>
  <conditionalFormatting sqref="L154 O154 R154 X154">
    <cfRule type="cellIs" dxfId="1148" priority="1146" operator="between">
      <formula>0.01</formula>
      <formula>1</formula>
    </cfRule>
  </conditionalFormatting>
  <conditionalFormatting sqref="M154 P154 S154 Y154">
    <cfRule type="cellIs" dxfId="1147" priority="1145" operator="between">
      <formula>1</formula>
      <formula>1000</formula>
    </cfRule>
  </conditionalFormatting>
  <conditionalFormatting sqref="N155 Q155 T155:W155 Z155">
    <cfRule type="cellIs" dxfId="1146" priority="1141" operator="between">
      <formula>1</formula>
      <formula>100000</formula>
    </cfRule>
  </conditionalFormatting>
  <conditionalFormatting sqref="L155 O155 R155 X155">
    <cfRule type="cellIs" dxfId="1145" priority="1143" operator="between">
      <formula>0.01</formula>
      <formula>1</formula>
    </cfRule>
  </conditionalFormatting>
  <conditionalFormatting sqref="M155 P155 S155 Y155">
    <cfRule type="cellIs" dxfId="1144" priority="1142" operator="between">
      <formula>1</formula>
      <formula>1000</formula>
    </cfRule>
  </conditionalFormatting>
  <conditionalFormatting sqref="L163 O163 R163 X163">
    <cfRule type="cellIs" dxfId="1143" priority="1122" operator="between">
      <formula>0.01</formula>
      <formula>1</formula>
    </cfRule>
  </conditionalFormatting>
  <conditionalFormatting sqref="M163 P163 S163 Y163">
    <cfRule type="cellIs" dxfId="1142" priority="1121" operator="between">
      <formula>1</formula>
      <formula>1000</formula>
    </cfRule>
  </conditionalFormatting>
  <conditionalFormatting sqref="N147 Q147 T147:W147 Z147">
    <cfRule type="cellIs" dxfId="1141" priority="1165" operator="between">
      <formula>1</formula>
      <formula>100000</formula>
    </cfRule>
  </conditionalFormatting>
  <conditionalFormatting sqref="L147 O147 R147 X147">
    <cfRule type="cellIs" dxfId="1140" priority="1167" operator="between">
      <formula>0.01</formula>
      <formula>1</formula>
    </cfRule>
  </conditionalFormatting>
  <conditionalFormatting sqref="M147 P147 S147 Y147">
    <cfRule type="cellIs" dxfId="1139" priority="1166" operator="between">
      <formula>1</formula>
      <formula>1000</formula>
    </cfRule>
  </conditionalFormatting>
  <conditionalFormatting sqref="N148 Q148 T148:W148 Z148">
    <cfRule type="cellIs" dxfId="1138" priority="1162" operator="between">
      <formula>1</formula>
      <formula>100000</formula>
    </cfRule>
  </conditionalFormatting>
  <conditionalFormatting sqref="L148 O148 R148 X148">
    <cfRule type="cellIs" dxfId="1137" priority="1164" operator="between">
      <formula>0.01</formula>
      <formula>1</formula>
    </cfRule>
  </conditionalFormatting>
  <conditionalFormatting sqref="M148 P148 S148 Y148">
    <cfRule type="cellIs" dxfId="1136" priority="1163" operator="between">
      <formula>1</formula>
      <formula>1000</formula>
    </cfRule>
  </conditionalFormatting>
  <conditionalFormatting sqref="N130 Q130 T130:W130 Z130">
    <cfRule type="cellIs" dxfId="1135" priority="1213" operator="between">
      <formula>1</formula>
      <formula>100000</formula>
    </cfRule>
  </conditionalFormatting>
  <conditionalFormatting sqref="L130 O130 R130 X130">
    <cfRule type="cellIs" dxfId="1134" priority="1215" operator="between">
      <formula>0.01</formula>
      <formula>1</formula>
    </cfRule>
  </conditionalFormatting>
  <conditionalFormatting sqref="M130 P130 S130 Y130">
    <cfRule type="cellIs" dxfId="1133" priority="1214" operator="between">
      <formula>1</formula>
      <formula>1000</formula>
    </cfRule>
  </conditionalFormatting>
  <conditionalFormatting sqref="N131 Q131 T131:W131 Z131">
    <cfRule type="cellIs" dxfId="1132" priority="1210" operator="between">
      <formula>1</formula>
      <formula>100000</formula>
    </cfRule>
  </conditionalFormatting>
  <conditionalFormatting sqref="L131 O131 R131 X131">
    <cfRule type="cellIs" dxfId="1131" priority="1212" operator="between">
      <formula>0.01</formula>
      <formula>1</formula>
    </cfRule>
  </conditionalFormatting>
  <conditionalFormatting sqref="M131 P131 S131 Y131">
    <cfRule type="cellIs" dxfId="1130" priority="1211" operator="between">
      <formula>1</formula>
      <formula>1000</formula>
    </cfRule>
  </conditionalFormatting>
  <conditionalFormatting sqref="N152 Q152 T152:W152 Z152">
    <cfRule type="cellIs" dxfId="1129" priority="1150" operator="between">
      <formula>1</formula>
      <formula>100000</formula>
    </cfRule>
  </conditionalFormatting>
  <conditionalFormatting sqref="N153 Q153 T153:W153 Z153">
    <cfRule type="cellIs" dxfId="1128" priority="1147" operator="between">
      <formula>1</formula>
      <formula>100000</formula>
    </cfRule>
  </conditionalFormatting>
  <conditionalFormatting sqref="L152 O152 R152 X152">
    <cfRule type="cellIs" dxfId="1127" priority="1152" operator="between">
      <formula>0.01</formula>
      <formula>1</formula>
    </cfRule>
  </conditionalFormatting>
  <conditionalFormatting sqref="M152 P152 S152 Y152">
    <cfRule type="cellIs" dxfId="1126" priority="1151" operator="between">
      <formula>1</formula>
      <formula>1000</formula>
    </cfRule>
  </conditionalFormatting>
  <conditionalFormatting sqref="L153 O153 R153 X153">
    <cfRule type="cellIs" dxfId="1125" priority="1149" operator="between">
      <formula>0.01</formula>
      <formula>1</formula>
    </cfRule>
  </conditionalFormatting>
  <conditionalFormatting sqref="M153 P153 S153 Y153">
    <cfRule type="cellIs" dxfId="1124" priority="1148" operator="between">
      <formula>1</formula>
      <formula>1000</formula>
    </cfRule>
  </conditionalFormatting>
  <conditionalFormatting sqref="N176 Q176 T176:W176 Z176">
    <cfRule type="cellIs" dxfId="1123" priority="1081" operator="between">
      <formula>1</formula>
      <formula>100000</formula>
    </cfRule>
  </conditionalFormatting>
  <conditionalFormatting sqref="N177 Q177 T177:W177 Z177">
    <cfRule type="cellIs" dxfId="1122" priority="1078" operator="between">
      <formula>1</formula>
      <formula>100000</formula>
    </cfRule>
  </conditionalFormatting>
  <conditionalFormatting sqref="L176 O176 R176 X176">
    <cfRule type="cellIs" dxfId="1121" priority="1083" operator="between">
      <formula>0.01</formula>
      <formula>1</formula>
    </cfRule>
  </conditionalFormatting>
  <conditionalFormatting sqref="M176 P176 S176 Y176">
    <cfRule type="cellIs" dxfId="1120" priority="1082" operator="between">
      <formula>1</formula>
      <formula>1000</formula>
    </cfRule>
  </conditionalFormatting>
  <conditionalFormatting sqref="L177 O177 R177 X177">
    <cfRule type="cellIs" dxfId="1119" priority="1080" operator="between">
      <formula>0.01</formula>
      <formula>1</formula>
    </cfRule>
  </conditionalFormatting>
  <conditionalFormatting sqref="M177 P177 S177 Y177">
    <cfRule type="cellIs" dxfId="1118" priority="1079" operator="between">
      <formula>1</formula>
      <formula>1000</formula>
    </cfRule>
  </conditionalFormatting>
  <conditionalFormatting sqref="N185 Q185 T185:W185 Z185">
    <cfRule type="cellIs" dxfId="1117" priority="1057" operator="between">
      <formula>1</formula>
      <formula>100000</formula>
    </cfRule>
  </conditionalFormatting>
  <conditionalFormatting sqref="L178 O178 R178 X178">
    <cfRule type="cellIs" dxfId="1116" priority="1077" operator="between">
      <formula>0.01</formula>
      <formula>1</formula>
    </cfRule>
  </conditionalFormatting>
  <conditionalFormatting sqref="M178 P178 S178 Y178">
    <cfRule type="cellIs" dxfId="1115" priority="1076" operator="between">
      <formula>1</formula>
      <formula>1000</formula>
    </cfRule>
  </conditionalFormatting>
  <conditionalFormatting sqref="N162 Q162 T162:W162 Z162">
    <cfRule type="cellIs" dxfId="1114" priority="1123" operator="between">
      <formula>1</formula>
      <formula>100000</formula>
    </cfRule>
  </conditionalFormatting>
  <conditionalFormatting sqref="N160 Q160 T160:W160 Z160">
    <cfRule type="cellIs" dxfId="1113" priority="1129" operator="between">
      <formula>1</formula>
      <formula>100000</formula>
    </cfRule>
  </conditionalFormatting>
  <conditionalFormatting sqref="L160 O160 R160 X160">
    <cfRule type="cellIs" dxfId="1112" priority="1131" operator="between">
      <formula>0.01</formula>
      <formula>1</formula>
    </cfRule>
  </conditionalFormatting>
  <conditionalFormatting sqref="M160 P160 S160 Y160">
    <cfRule type="cellIs" dxfId="1111" priority="1130" operator="between">
      <formula>1</formula>
      <formula>1000</formula>
    </cfRule>
  </conditionalFormatting>
  <conditionalFormatting sqref="N167 Q167 T167:W167 Z167">
    <cfRule type="cellIs" dxfId="1110" priority="1108" operator="between">
      <formula>1</formula>
      <formula>100000</formula>
    </cfRule>
  </conditionalFormatting>
  <conditionalFormatting sqref="N161 Q161 T161:W161 Z161">
    <cfRule type="cellIs" dxfId="1109" priority="1126" operator="between">
      <formula>1</formula>
      <formula>100000</formula>
    </cfRule>
  </conditionalFormatting>
  <conditionalFormatting sqref="L161 O161 R161 X161">
    <cfRule type="cellIs" dxfId="1108" priority="1128" operator="between">
      <formula>0.01</formula>
      <formula>1</formula>
    </cfRule>
  </conditionalFormatting>
  <conditionalFormatting sqref="M161 P161 S161 Y161">
    <cfRule type="cellIs" dxfId="1107" priority="1127" operator="between">
      <formula>1</formula>
      <formula>1000</formula>
    </cfRule>
  </conditionalFormatting>
  <conditionalFormatting sqref="L162 O162 R162 X162">
    <cfRule type="cellIs" dxfId="1106" priority="1125" operator="between">
      <formula>0.01</formula>
      <formula>1</formula>
    </cfRule>
  </conditionalFormatting>
  <conditionalFormatting sqref="M162 P162 S162 Y162">
    <cfRule type="cellIs" dxfId="1105" priority="1124" operator="between">
      <formula>1</formula>
      <formula>1000</formula>
    </cfRule>
  </conditionalFormatting>
  <conditionalFormatting sqref="N165 Q165 T165:W165 Z165">
    <cfRule type="cellIs" dxfId="1104" priority="1114" operator="between">
      <formula>1</formula>
      <formula>100000</formula>
    </cfRule>
  </conditionalFormatting>
  <conditionalFormatting sqref="L165 O165 R165 X165">
    <cfRule type="cellIs" dxfId="1103" priority="1116" operator="between">
      <formula>0.01</formula>
      <formula>1</formula>
    </cfRule>
  </conditionalFormatting>
  <conditionalFormatting sqref="M165 P165 S165 Y165">
    <cfRule type="cellIs" dxfId="1102" priority="1115" operator="between">
      <formula>1</formula>
      <formula>1000</formula>
    </cfRule>
  </conditionalFormatting>
  <conditionalFormatting sqref="N166 Q166 T166:W166 Z166">
    <cfRule type="cellIs" dxfId="1101" priority="1111" operator="between">
      <formula>1</formula>
      <formula>100000</formula>
    </cfRule>
  </conditionalFormatting>
  <conditionalFormatting sqref="L166 O166 R166 X166">
    <cfRule type="cellIs" dxfId="1100" priority="1113" operator="between">
      <formula>0.01</formula>
      <formula>1</formula>
    </cfRule>
  </conditionalFormatting>
  <conditionalFormatting sqref="M166 P166 S166 Y166">
    <cfRule type="cellIs" dxfId="1099" priority="1112" operator="between">
      <formula>1</formula>
      <formula>1000</formula>
    </cfRule>
  </conditionalFormatting>
  <conditionalFormatting sqref="L167 O167 R167 X167">
    <cfRule type="cellIs" dxfId="1098" priority="1110" operator="between">
      <formula>0.01</formula>
      <formula>1</formula>
    </cfRule>
  </conditionalFormatting>
  <conditionalFormatting sqref="M167 P167 S167 Y167">
    <cfRule type="cellIs" dxfId="1097" priority="1109" operator="between">
      <formula>1</formula>
      <formula>1000</formula>
    </cfRule>
  </conditionalFormatting>
  <conditionalFormatting sqref="N158 Q158 T158:W158 Z158">
    <cfRule type="cellIs" dxfId="1096" priority="1135" operator="between">
      <formula>1</formula>
      <formula>100000</formula>
    </cfRule>
  </conditionalFormatting>
  <conditionalFormatting sqref="L158 O158 R158 X158">
    <cfRule type="cellIs" dxfId="1095" priority="1137" operator="between">
      <formula>0.01</formula>
      <formula>1</formula>
    </cfRule>
  </conditionalFormatting>
  <conditionalFormatting sqref="M158 P158 S158 Y158">
    <cfRule type="cellIs" dxfId="1094" priority="1136" operator="between">
      <formula>1</formula>
      <formula>1000</formula>
    </cfRule>
  </conditionalFormatting>
  <conditionalFormatting sqref="N159 Q159 T159:W159 Z159">
    <cfRule type="cellIs" dxfId="1093" priority="1132" operator="between">
      <formula>1</formula>
      <formula>100000</formula>
    </cfRule>
  </conditionalFormatting>
  <conditionalFormatting sqref="L159 O159 R159 X159">
    <cfRule type="cellIs" dxfId="1092" priority="1134" operator="between">
      <formula>0.01</formula>
      <formula>1</formula>
    </cfRule>
  </conditionalFormatting>
  <conditionalFormatting sqref="M159 P159 S159 Y159">
    <cfRule type="cellIs" dxfId="1091" priority="1133" operator="between">
      <formula>1</formula>
      <formula>1000</formula>
    </cfRule>
  </conditionalFormatting>
  <conditionalFormatting sqref="N184 Q184 T184:W184 Z184">
    <cfRule type="cellIs" dxfId="1090" priority="1060" operator="between">
      <formula>1</formula>
      <formula>100000</formula>
    </cfRule>
  </conditionalFormatting>
  <conditionalFormatting sqref="N169 Q169 T169:W169 Z169">
    <cfRule type="cellIs" dxfId="1089" priority="1102" operator="between">
      <formula>1</formula>
      <formula>100000</formula>
    </cfRule>
  </conditionalFormatting>
  <conditionalFormatting sqref="N164 Q164 T164:W164 Z164">
    <cfRule type="cellIs" dxfId="1088" priority="1117" operator="between">
      <formula>1</formula>
      <formula>100000</formula>
    </cfRule>
  </conditionalFormatting>
  <conditionalFormatting sqref="L169 O169 R169 X169">
    <cfRule type="cellIs" dxfId="1087" priority="1104" operator="between">
      <formula>0.01</formula>
      <formula>1</formula>
    </cfRule>
  </conditionalFormatting>
  <conditionalFormatting sqref="M169 P169 S169 Y169">
    <cfRule type="cellIs" dxfId="1086" priority="1103" operator="between">
      <formula>1</formula>
      <formula>1000</formula>
    </cfRule>
  </conditionalFormatting>
  <conditionalFormatting sqref="L164 O164 R164 X164">
    <cfRule type="cellIs" dxfId="1085" priority="1119" operator="between">
      <formula>0.01</formula>
      <formula>1</formula>
    </cfRule>
  </conditionalFormatting>
  <conditionalFormatting sqref="M164 P164 S164 Y164">
    <cfRule type="cellIs" dxfId="1084" priority="1118" operator="between">
      <formula>1</formula>
      <formula>1000</formula>
    </cfRule>
  </conditionalFormatting>
  <conditionalFormatting sqref="N170 Q170 T170:W170 Z170">
    <cfRule type="cellIs" dxfId="1083" priority="1099" operator="between">
      <formula>1</formula>
      <formula>100000</formula>
    </cfRule>
  </conditionalFormatting>
  <conditionalFormatting sqref="N171 Q171 T171:W171 Z171">
    <cfRule type="cellIs" dxfId="1082" priority="1096" operator="between">
      <formula>1</formula>
      <formula>100000</formula>
    </cfRule>
  </conditionalFormatting>
  <conditionalFormatting sqref="L170 O170 R170 X170">
    <cfRule type="cellIs" dxfId="1081" priority="1101" operator="between">
      <formula>0.01</formula>
      <formula>1</formula>
    </cfRule>
  </conditionalFormatting>
  <conditionalFormatting sqref="M170 P170 S170 Y170">
    <cfRule type="cellIs" dxfId="1080" priority="1100" operator="between">
      <formula>1</formula>
      <formula>1000</formula>
    </cfRule>
  </conditionalFormatting>
  <conditionalFormatting sqref="L171 O171 R171 X171">
    <cfRule type="cellIs" dxfId="1079" priority="1098" operator="between">
      <formula>0.01</formula>
      <formula>1</formula>
    </cfRule>
  </conditionalFormatting>
  <conditionalFormatting sqref="M171 P171 S171 Y171">
    <cfRule type="cellIs" dxfId="1078" priority="1097" operator="between">
      <formula>1</formula>
      <formula>1000</formula>
    </cfRule>
  </conditionalFormatting>
  <conditionalFormatting sqref="N172 Q172 T172:W172 Z172">
    <cfRule type="cellIs" dxfId="1077" priority="1093" operator="between">
      <formula>1</formula>
      <formula>100000</formula>
    </cfRule>
  </conditionalFormatting>
  <conditionalFormatting sqref="L172 O172 R172 X172">
    <cfRule type="cellIs" dxfId="1076" priority="1095" operator="between">
      <formula>0.01</formula>
      <formula>1</formula>
    </cfRule>
  </conditionalFormatting>
  <conditionalFormatting sqref="M172 P172 S172 Y172">
    <cfRule type="cellIs" dxfId="1075" priority="1094" operator="between">
      <formula>1</formula>
      <formula>1000</formula>
    </cfRule>
  </conditionalFormatting>
  <conditionalFormatting sqref="N175 Q175 T175:W175 Z175">
    <cfRule type="cellIs" dxfId="1074" priority="1084" operator="between">
      <formula>1</formula>
      <formula>100000</formula>
    </cfRule>
  </conditionalFormatting>
  <conditionalFormatting sqref="L175 O175 R175 X175">
    <cfRule type="cellIs" dxfId="1073" priority="1086" operator="between">
      <formula>0.01</formula>
      <formula>1</formula>
    </cfRule>
  </conditionalFormatting>
  <conditionalFormatting sqref="M175 P175 S175 Y175">
    <cfRule type="cellIs" dxfId="1072" priority="1085" operator="between">
      <formula>1</formula>
      <formula>1000</formula>
    </cfRule>
  </conditionalFormatting>
  <conditionalFormatting sqref="N183 Q183 T183:W183 Z183">
    <cfRule type="cellIs" dxfId="1071" priority="1063" operator="between">
      <formula>1</formula>
      <formula>100000</formula>
    </cfRule>
  </conditionalFormatting>
  <conditionalFormatting sqref="L183 O183 R183 X183">
    <cfRule type="cellIs" dxfId="1070" priority="1065" operator="between">
      <formula>0.01</formula>
      <formula>1</formula>
    </cfRule>
  </conditionalFormatting>
  <conditionalFormatting sqref="M183 P183 S183 Y183">
    <cfRule type="cellIs" dxfId="1069" priority="1064" operator="between">
      <formula>1</formula>
      <formula>1000</formula>
    </cfRule>
  </conditionalFormatting>
  <conditionalFormatting sqref="L184 O184 R184 X184">
    <cfRule type="cellIs" dxfId="1068" priority="1062" operator="between">
      <formula>0.01</formula>
      <formula>1</formula>
    </cfRule>
  </conditionalFormatting>
  <conditionalFormatting sqref="M184 P184 S184 Y184">
    <cfRule type="cellIs" dxfId="1067" priority="1061" operator="between">
      <formula>1</formula>
      <formula>1000</formula>
    </cfRule>
  </conditionalFormatting>
  <conditionalFormatting sqref="N168 Q168 T168:W168 Z168">
    <cfRule type="cellIs" dxfId="1066" priority="1105" operator="between">
      <formula>1</formula>
      <formula>100000</formula>
    </cfRule>
  </conditionalFormatting>
  <conditionalFormatting sqref="L168 O168 R168 X168">
    <cfRule type="cellIs" dxfId="1065" priority="1107" operator="between">
      <formula>0.01</formula>
      <formula>1</formula>
    </cfRule>
  </conditionalFormatting>
  <conditionalFormatting sqref="M168 P168 S168 Y168">
    <cfRule type="cellIs" dxfId="1064" priority="1106" operator="between">
      <formula>1</formula>
      <formula>1000</formula>
    </cfRule>
  </conditionalFormatting>
  <conditionalFormatting sqref="N173 Q173 T173:W173 Z173">
    <cfRule type="cellIs" dxfId="1063" priority="1090" operator="between">
      <formula>1</formula>
      <formula>100000</formula>
    </cfRule>
  </conditionalFormatting>
  <conditionalFormatting sqref="L173 O173 R173 X173">
    <cfRule type="cellIs" dxfId="1062" priority="1092" operator="between">
      <formula>0.01</formula>
      <formula>1</formula>
    </cfRule>
  </conditionalFormatting>
  <conditionalFormatting sqref="M173 P173 S173 Y173">
    <cfRule type="cellIs" dxfId="1061" priority="1091" operator="between">
      <formula>1</formula>
      <formula>1000</formula>
    </cfRule>
  </conditionalFormatting>
  <conditionalFormatting sqref="N174 Q174 T174:W174 Z174">
    <cfRule type="cellIs" dxfId="1060" priority="1087" operator="between">
      <formula>1</formula>
      <formula>100000</formula>
    </cfRule>
  </conditionalFormatting>
  <conditionalFormatting sqref="L174 O174 R174 X174">
    <cfRule type="cellIs" dxfId="1059" priority="1089" operator="between">
      <formula>0.01</formula>
      <formula>1</formula>
    </cfRule>
  </conditionalFormatting>
  <conditionalFormatting sqref="M174 P174 S174 Y174">
    <cfRule type="cellIs" dxfId="1058" priority="1088" operator="between">
      <formula>1</formula>
      <formula>1000</formula>
    </cfRule>
  </conditionalFormatting>
  <conditionalFormatting sqref="N258 Q258 T258:W258 Z258">
    <cfRule type="cellIs" dxfId="1057" priority="1048" operator="between">
      <formula>1</formula>
      <formula>100000</formula>
    </cfRule>
  </conditionalFormatting>
  <conditionalFormatting sqref="L185 O185 R185 X185">
    <cfRule type="cellIs" dxfId="1056" priority="1059" operator="between">
      <formula>0.01</formula>
      <formula>1</formula>
    </cfRule>
  </conditionalFormatting>
  <conditionalFormatting sqref="M185 P185 S185 Y185">
    <cfRule type="cellIs" dxfId="1055" priority="1058" operator="between">
      <formula>1</formula>
      <formula>1000</formula>
    </cfRule>
  </conditionalFormatting>
  <conditionalFormatting sqref="N180 Q180 T180:W180 Z180">
    <cfRule type="cellIs" dxfId="1054" priority="1072" operator="between">
      <formula>1</formula>
      <formula>100000</formula>
    </cfRule>
  </conditionalFormatting>
  <conditionalFormatting sqref="L180 O180 R180 X180">
    <cfRule type="cellIs" dxfId="1053" priority="1074" operator="between">
      <formula>0.01</formula>
      <formula>1</formula>
    </cfRule>
  </conditionalFormatting>
  <conditionalFormatting sqref="M180 P180 S180 Y180">
    <cfRule type="cellIs" dxfId="1052" priority="1073" operator="between">
      <formula>1</formula>
      <formula>1000</formula>
    </cfRule>
  </conditionalFormatting>
  <conditionalFormatting sqref="N326 Q326 T326:W326 Z326">
    <cfRule type="cellIs" dxfId="1051" priority="1039" operator="between">
      <formula>1</formula>
      <formula>100000</formula>
    </cfRule>
  </conditionalFormatting>
  <conditionalFormatting sqref="N181 Q181 T181:W181 Z181">
    <cfRule type="cellIs" dxfId="1050" priority="1069" operator="between">
      <formula>1</formula>
      <formula>100000</formula>
    </cfRule>
  </conditionalFormatting>
  <conditionalFormatting sqref="L181 O181 R181 X181">
    <cfRule type="cellIs" dxfId="1049" priority="1071" operator="between">
      <formula>0.01</formula>
      <formula>1</formula>
    </cfRule>
  </conditionalFormatting>
  <conditionalFormatting sqref="M181 P181 S181 Y181">
    <cfRule type="cellIs" dxfId="1048" priority="1070" operator="between">
      <formula>1</formula>
      <formula>1000</formula>
    </cfRule>
  </conditionalFormatting>
  <conditionalFormatting sqref="N182 Q182 T182:W182 Z182">
    <cfRule type="cellIs" dxfId="1047" priority="1066" operator="between">
      <formula>1</formula>
      <formula>100000</formula>
    </cfRule>
  </conditionalFormatting>
  <conditionalFormatting sqref="L182 O182 R182 X182">
    <cfRule type="cellIs" dxfId="1046" priority="1068" operator="between">
      <formula>0.01</formula>
      <formula>1</formula>
    </cfRule>
  </conditionalFormatting>
  <conditionalFormatting sqref="M182 P182 S182 Y182">
    <cfRule type="cellIs" dxfId="1045" priority="1067" operator="between">
      <formula>1</formula>
      <formula>1000</formula>
    </cfRule>
  </conditionalFormatting>
  <conditionalFormatting sqref="N201 Q201 T201:W201 Z201">
    <cfRule type="cellIs" dxfId="1044" priority="1054" operator="between">
      <formula>1</formula>
      <formula>100000</formula>
    </cfRule>
  </conditionalFormatting>
  <conditionalFormatting sqref="L201 O201 R201 X201">
    <cfRule type="cellIs" dxfId="1043" priority="1056" operator="between">
      <formula>0.01</formula>
      <formula>1</formula>
    </cfRule>
  </conditionalFormatting>
  <conditionalFormatting sqref="M201 P201 S201 Y201">
    <cfRule type="cellIs" dxfId="1042" priority="1055" operator="between">
      <formula>1</formula>
      <formula>1000</formula>
    </cfRule>
  </conditionalFormatting>
  <conditionalFormatting sqref="N226 Q226 T226:W226 Z226">
    <cfRule type="cellIs" dxfId="1041" priority="1051" operator="between">
      <formula>1</formula>
      <formula>100000</formula>
    </cfRule>
  </conditionalFormatting>
  <conditionalFormatting sqref="L226 O226 R226 X226">
    <cfRule type="cellIs" dxfId="1040" priority="1053" operator="between">
      <formula>0.01</formula>
      <formula>1</formula>
    </cfRule>
  </conditionalFormatting>
  <conditionalFormatting sqref="M226 P226 S226 Y226">
    <cfRule type="cellIs" dxfId="1039" priority="1052" operator="between">
      <formula>1</formula>
      <formula>1000</formula>
    </cfRule>
  </conditionalFormatting>
  <conditionalFormatting sqref="L258 O258 R258 X258">
    <cfRule type="cellIs" dxfId="1038" priority="1050" operator="between">
      <formula>0.01</formula>
      <formula>1</formula>
    </cfRule>
  </conditionalFormatting>
  <conditionalFormatting sqref="M258 P258 S258 Y258">
    <cfRule type="cellIs" dxfId="1037" priority="1049" operator="between">
      <formula>1</formula>
      <formula>1000</formula>
    </cfRule>
  </conditionalFormatting>
  <conditionalFormatting sqref="N262 Q262 T262:W262 Z262">
    <cfRule type="cellIs" dxfId="1036" priority="1045" operator="between">
      <formula>1</formula>
      <formula>100000</formula>
    </cfRule>
  </conditionalFormatting>
  <conditionalFormatting sqref="L262 O262 R262 X262">
    <cfRule type="cellIs" dxfId="1035" priority="1047" operator="between">
      <formula>0.01</formula>
      <formula>1</formula>
    </cfRule>
  </conditionalFormatting>
  <conditionalFormatting sqref="M262 P262 S262 Y262">
    <cfRule type="cellIs" dxfId="1034" priority="1046" operator="between">
      <formula>1</formula>
      <formula>1000</formula>
    </cfRule>
  </conditionalFormatting>
  <conditionalFormatting sqref="N270 Q270 T270:W270 Z270">
    <cfRule type="cellIs" dxfId="1033" priority="1042" operator="between">
      <formula>1</formula>
      <formula>100000</formula>
    </cfRule>
  </conditionalFormatting>
  <conditionalFormatting sqref="N187 Q187 T187:W187 Z187">
    <cfRule type="cellIs" dxfId="1032" priority="1036" operator="between">
      <formula>1</formula>
      <formula>100000</formula>
    </cfRule>
  </conditionalFormatting>
  <conditionalFormatting sqref="L326 O326 R326 X326">
    <cfRule type="cellIs" dxfId="1031" priority="1041" operator="between">
      <formula>0.01</formula>
      <formula>1</formula>
    </cfRule>
  </conditionalFormatting>
  <conditionalFormatting sqref="M326 P326 S326 Y326">
    <cfRule type="cellIs" dxfId="1030" priority="1040" operator="between">
      <formula>1</formula>
      <formula>1000</formula>
    </cfRule>
  </conditionalFormatting>
  <conditionalFormatting sqref="L270 O270 R270 X270">
    <cfRule type="cellIs" dxfId="1029" priority="1044" operator="between">
      <formula>0.01</formula>
      <formula>1</formula>
    </cfRule>
  </conditionalFormatting>
  <conditionalFormatting sqref="M270 P270 S270 Y270">
    <cfRule type="cellIs" dxfId="1028" priority="1043" operator="between">
      <formula>1</formula>
      <formula>1000</formula>
    </cfRule>
  </conditionalFormatting>
  <conditionalFormatting sqref="N189 Q189 T189:W189 Z189">
    <cfRule type="cellIs" dxfId="1027" priority="1030" operator="between">
      <formula>1</formula>
      <formula>100000</formula>
    </cfRule>
  </conditionalFormatting>
  <conditionalFormatting sqref="L187 O187 R187 X187">
    <cfRule type="cellIs" dxfId="1026" priority="1038" operator="between">
      <formula>0.01</formula>
      <formula>1</formula>
    </cfRule>
  </conditionalFormatting>
  <conditionalFormatting sqref="M187 P187 S187 Y187">
    <cfRule type="cellIs" dxfId="1025" priority="1037" operator="between">
      <formula>1</formula>
      <formula>1000</formula>
    </cfRule>
  </conditionalFormatting>
  <conditionalFormatting sqref="L188 O188 R188 X188">
    <cfRule type="cellIs" dxfId="1024" priority="1035" operator="between">
      <formula>0.01</formula>
      <formula>1</formula>
    </cfRule>
  </conditionalFormatting>
  <conditionalFormatting sqref="M188 P188 S188 Y188">
    <cfRule type="cellIs" dxfId="1023" priority="1034" operator="between">
      <formula>1</formula>
      <formula>1000</formula>
    </cfRule>
  </conditionalFormatting>
  <conditionalFormatting sqref="N188 Q188 T188:W188 Z188">
    <cfRule type="cellIs" dxfId="1022" priority="1033" operator="between">
      <formula>1</formula>
      <formula>100000</formula>
    </cfRule>
  </conditionalFormatting>
  <conditionalFormatting sqref="L189 O189 R189 X189">
    <cfRule type="cellIs" dxfId="1021" priority="1032" operator="between">
      <formula>0.01</formula>
      <formula>1</formula>
    </cfRule>
  </conditionalFormatting>
  <conditionalFormatting sqref="M189 P189 S189 Y189">
    <cfRule type="cellIs" dxfId="1020" priority="1031" operator="between">
      <formula>1</formula>
      <formula>1000</formula>
    </cfRule>
  </conditionalFormatting>
  <conditionalFormatting sqref="N192 Q192 T192:W192 Z192">
    <cfRule type="cellIs" dxfId="1019" priority="1027" operator="between">
      <formula>1</formula>
      <formula>100000</formula>
    </cfRule>
  </conditionalFormatting>
  <conditionalFormatting sqref="L192 O192 R192 X192">
    <cfRule type="cellIs" dxfId="1018" priority="1029" operator="between">
      <formula>0.01</formula>
      <formula>1</formula>
    </cfRule>
  </conditionalFormatting>
  <conditionalFormatting sqref="M192 P192 S192 Y192">
    <cfRule type="cellIs" dxfId="1017" priority="1028" operator="between">
      <formula>1</formula>
      <formula>1000</formula>
    </cfRule>
  </conditionalFormatting>
  <conditionalFormatting sqref="N199 Q199 T199:W199 Z199">
    <cfRule type="cellIs" dxfId="1016" priority="1021" operator="between">
      <formula>1</formula>
      <formula>100000</formula>
    </cfRule>
  </conditionalFormatting>
  <conditionalFormatting sqref="L195 O195 R195 X195">
    <cfRule type="cellIs" dxfId="1015" priority="1026" operator="between">
      <formula>0.01</formula>
      <formula>1</formula>
    </cfRule>
  </conditionalFormatting>
  <conditionalFormatting sqref="M195 P195 S195 Y195">
    <cfRule type="cellIs" dxfId="1014" priority="1025" operator="between">
      <formula>1</formula>
      <formula>1000</formula>
    </cfRule>
  </conditionalFormatting>
  <conditionalFormatting sqref="N195 Q195 T195:W195 Z195">
    <cfRule type="cellIs" dxfId="1013" priority="1024" operator="between">
      <formula>1</formula>
      <formula>100000</formula>
    </cfRule>
  </conditionalFormatting>
  <conditionalFormatting sqref="L199 O199 R199 X199">
    <cfRule type="cellIs" dxfId="1012" priority="1023" operator="between">
      <formula>0.01</formula>
      <formula>1</formula>
    </cfRule>
  </conditionalFormatting>
  <conditionalFormatting sqref="M199 P199 S199 Y199">
    <cfRule type="cellIs" dxfId="1011" priority="1022" operator="between">
      <formula>1</formula>
      <formula>1000</formula>
    </cfRule>
  </conditionalFormatting>
  <conditionalFormatting sqref="N215 Q215 T215:W215 Z215">
    <cfRule type="cellIs" dxfId="1010" priority="1003" operator="between">
      <formula>1</formula>
      <formula>100000</formula>
    </cfRule>
  </conditionalFormatting>
  <conditionalFormatting sqref="N202 Q202 T202:W202 Z202">
    <cfRule type="cellIs" dxfId="1009" priority="1018" operator="between">
      <formula>1</formula>
      <formula>100000</formula>
    </cfRule>
  </conditionalFormatting>
  <conditionalFormatting sqref="L202 O202 R202 X202">
    <cfRule type="cellIs" dxfId="1008" priority="1020" operator="between">
      <formula>0.01</formula>
      <formula>1</formula>
    </cfRule>
  </conditionalFormatting>
  <conditionalFormatting sqref="M202 P202 S202 Y202">
    <cfRule type="cellIs" dxfId="1007" priority="1019" operator="between">
      <formula>1</formula>
      <formula>1000</formula>
    </cfRule>
  </conditionalFormatting>
  <conditionalFormatting sqref="N211 Q211 T211:W211 Z211">
    <cfRule type="cellIs" dxfId="1006" priority="1009" operator="between">
      <formula>1</formula>
      <formula>100000</formula>
    </cfRule>
  </conditionalFormatting>
  <conditionalFormatting sqref="L211 O211 R211 X211">
    <cfRule type="cellIs" dxfId="1005" priority="1011" operator="between">
      <formula>0.01</formula>
      <formula>1</formula>
    </cfRule>
  </conditionalFormatting>
  <conditionalFormatting sqref="M211 P211 S211 Y211">
    <cfRule type="cellIs" dxfId="1004" priority="1010" operator="between">
      <formula>1</formula>
      <formula>1000</formula>
    </cfRule>
  </conditionalFormatting>
  <conditionalFormatting sqref="N213 Q213 T213:W213 Z213">
    <cfRule type="cellIs" dxfId="1003" priority="1006" operator="between">
      <formula>1</formula>
      <formula>100000</formula>
    </cfRule>
  </conditionalFormatting>
  <conditionalFormatting sqref="L213 O213 R213 X213">
    <cfRule type="cellIs" dxfId="1002" priority="1008" operator="between">
      <formula>0.01</formula>
      <formula>1</formula>
    </cfRule>
  </conditionalFormatting>
  <conditionalFormatting sqref="M213 P213 S213 Y213">
    <cfRule type="cellIs" dxfId="1001" priority="1007" operator="between">
      <formula>1</formula>
      <formula>1000</formula>
    </cfRule>
  </conditionalFormatting>
  <conditionalFormatting sqref="L215 O215 R215 X215">
    <cfRule type="cellIs" dxfId="1000" priority="1005" operator="between">
      <formula>0.01</formula>
      <formula>1</formula>
    </cfRule>
  </conditionalFormatting>
  <conditionalFormatting sqref="M215 P215 S215 Y215">
    <cfRule type="cellIs" dxfId="999" priority="1004" operator="between">
      <formula>1</formula>
      <formula>1000</formula>
    </cfRule>
  </conditionalFormatting>
  <conditionalFormatting sqref="N204 Q204 T204:W204 Z204">
    <cfRule type="cellIs" dxfId="998" priority="1015" operator="between">
      <formula>1</formula>
      <formula>100000</formula>
    </cfRule>
  </conditionalFormatting>
  <conditionalFormatting sqref="L204 O204 R204 X204">
    <cfRule type="cellIs" dxfId="997" priority="1017" operator="between">
      <formula>0.01</formula>
      <formula>1</formula>
    </cfRule>
  </conditionalFormatting>
  <conditionalFormatting sqref="M204 P204 S204 Y204">
    <cfRule type="cellIs" dxfId="996" priority="1016" operator="between">
      <formula>1</formula>
      <formula>1000</formula>
    </cfRule>
  </conditionalFormatting>
  <conditionalFormatting sqref="N208 Q208 T208:W208 Z208">
    <cfRule type="cellIs" dxfId="995" priority="1012" operator="between">
      <formula>1</formula>
      <formula>100000</formula>
    </cfRule>
  </conditionalFormatting>
  <conditionalFormatting sqref="L208 O208 R208 X208">
    <cfRule type="cellIs" dxfId="994" priority="1014" operator="between">
      <formula>0.01</formula>
      <formula>1</formula>
    </cfRule>
  </conditionalFormatting>
  <conditionalFormatting sqref="M208 P208 S208 Y208">
    <cfRule type="cellIs" dxfId="993" priority="1013" operator="between">
      <formula>1</formula>
      <formula>1000</formula>
    </cfRule>
  </conditionalFormatting>
  <conditionalFormatting sqref="N217 Q217 T217:W217 Z217">
    <cfRule type="cellIs" dxfId="992" priority="1000" operator="between">
      <formula>1</formula>
      <formula>100000</formula>
    </cfRule>
  </conditionalFormatting>
  <conditionalFormatting sqref="N219 Q219 T219:W219 Z219">
    <cfRule type="cellIs" dxfId="991" priority="997" operator="between">
      <formula>1</formula>
      <formula>100000</formula>
    </cfRule>
  </conditionalFormatting>
  <conditionalFormatting sqref="L217 O217 R217 X217">
    <cfRule type="cellIs" dxfId="990" priority="1002" operator="between">
      <formula>0.01</formula>
      <formula>1</formula>
    </cfRule>
  </conditionalFormatting>
  <conditionalFormatting sqref="M217 P217 S217 Y217">
    <cfRule type="cellIs" dxfId="989" priority="1001" operator="between">
      <formula>1</formula>
      <formula>1000</formula>
    </cfRule>
  </conditionalFormatting>
  <conditionalFormatting sqref="L219 O219 R219 X219">
    <cfRule type="cellIs" dxfId="988" priority="999" operator="between">
      <formula>0.01</formula>
      <formula>1</formula>
    </cfRule>
  </conditionalFormatting>
  <conditionalFormatting sqref="M219 P219 S219 Y219">
    <cfRule type="cellIs" dxfId="987" priority="998" operator="between">
      <formula>1</formula>
      <formula>1000</formula>
    </cfRule>
  </conditionalFormatting>
  <conditionalFormatting sqref="N221 Q221 T221:W221 Z221">
    <cfRule type="cellIs" dxfId="986" priority="994" operator="between">
      <formula>1</formula>
      <formula>100000</formula>
    </cfRule>
  </conditionalFormatting>
  <conditionalFormatting sqref="N223 Q223 T223:W223 Z223">
    <cfRule type="cellIs" dxfId="985" priority="991" operator="between">
      <formula>1</formula>
      <formula>100000</formula>
    </cfRule>
  </conditionalFormatting>
  <conditionalFormatting sqref="L221 O221 R221 X221">
    <cfRule type="cellIs" dxfId="984" priority="996" operator="between">
      <formula>0.01</formula>
      <formula>1</formula>
    </cfRule>
  </conditionalFormatting>
  <conditionalFormatting sqref="M221 P221 S221 Y221">
    <cfRule type="cellIs" dxfId="983" priority="995" operator="between">
      <formula>1</formula>
      <formula>1000</formula>
    </cfRule>
  </conditionalFormatting>
  <conditionalFormatting sqref="L223 O223 R223 X223">
    <cfRule type="cellIs" dxfId="982" priority="993" operator="between">
      <formula>0.01</formula>
      <formula>1</formula>
    </cfRule>
  </conditionalFormatting>
  <conditionalFormatting sqref="M223 P223 S223 Y223">
    <cfRule type="cellIs" dxfId="981" priority="992" operator="between">
      <formula>1</formula>
      <formula>1000</formula>
    </cfRule>
  </conditionalFormatting>
  <conditionalFormatting sqref="N242 Q242 T242:W242 Z242">
    <cfRule type="cellIs" dxfId="980" priority="973" operator="between">
      <formula>1</formula>
      <formula>100000</formula>
    </cfRule>
  </conditionalFormatting>
  <conditionalFormatting sqref="N227 Q227 T227:W227 Z227">
    <cfRule type="cellIs" dxfId="979" priority="988" operator="between">
      <formula>1</formula>
      <formula>100000</formula>
    </cfRule>
  </conditionalFormatting>
  <conditionalFormatting sqref="L227 O227 R227 X227">
    <cfRule type="cellIs" dxfId="978" priority="990" operator="between">
      <formula>0.01</formula>
      <formula>1</formula>
    </cfRule>
  </conditionalFormatting>
  <conditionalFormatting sqref="M227 P227 S227 Y227">
    <cfRule type="cellIs" dxfId="977" priority="989" operator="between">
      <formula>1</formula>
      <formula>1000</formula>
    </cfRule>
  </conditionalFormatting>
  <conditionalFormatting sqref="N236 Q236 T236:W236 Z236">
    <cfRule type="cellIs" dxfId="976" priority="979" operator="between">
      <formula>1</formula>
      <formula>100000</formula>
    </cfRule>
  </conditionalFormatting>
  <conditionalFormatting sqref="L236 O236 R236 X236">
    <cfRule type="cellIs" dxfId="975" priority="981" operator="between">
      <formula>0.01</formula>
      <formula>1</formula>
    </cfRule>
  </conditionalFormatting>
  <conditionalFormatting sqref="M236 P236 S236 Y236">
    <cfRule type="cellIs" dxfId="974" priority="980" operator="between">
      <formula>1</formula>
      <formula>1000</formula>
    </cfRule>
  </conditionalFormatting>
  <conditionalFormatting sqref="N239 Q239 T239:W239 Z239">
    <cfRule type="cellIs" dxfId="973" priority="976" operator="between">
      <formula>1</formula>
      <formula>100000</formula>
    </cfRule>
  </conditionalFormatting>
  <conditionalFormatting sqref="L239 O239 R239 X239">
    <cfRule type="cellIs" dxfId="972" priority="978" operator="between">
      <formula>0.01</formula>
      <formula>1</formula>
    </cfRule>
  </conditionalFormatting>
  <conditionalFormatting sqref="M239 P239 S239 Y239">
    <cfRule type="cellIs" dxfId="971" priority="977" operator="between">
      <formula>1</formula>
      <formula>1000</formula>
    </cfRule>
  </conditionalFormatting>
  <conditionalFormatting sqref="L242 O242 R242 X242">
    <cfRule type="cellIs" dxfId="970" priority="975" operator="between">
      <formula>0.01</formula>
      <formula>1</formula>
    </cfRule>
  </conditionalFormatting>
  <conditionalFormatting sqref="M242 P242 S242 Y242">
    <cfRule type="cellIs" dxfId="969" priority="974" operator="between">
      <formula>1</formula>
      <formula>1000</formula>
    </cfRule>
  </conditionalFormatting>
  <conditionalFormatting sqref="N229 Q229 T229:W229 Z229">
    <cfRule type="cellIs" dxfId="968" priority="985" operator="between">
      <formula>1</formula>
      <formula>100000</formula>
    </cfRule>
  </conditionalFormatting>
  <conditionalFormatting sqref="L229 O229 R229 X229">
    <cfRule type="cellIs" dxfId="967" priority="987" operator="between">
      <formula>0.01</formula>
      <formula>1</formula>
    </cfRule>
  </conditionalFormatting>
  <conditionalFormatting sqref="M229 P229 S229 Y229">
    <cfRule type="cellIs" dxfId="966" priority="986" operator="between">
      <formula>1</formula>
      <formula>1000</formula>
    </cfRule>
  </conditionalFormatting>
  <conditionalFormatting sqref="N232 Q232 T232:W232 Z232">
    <cfRule type="cellIs" dxfId="965" priority="982" operator="between">
      <formula>1</formula>
      <formula>100000</formula>
    </cfRule>
  </conditionalFormatting>
  <conditionalFormatting sqref="L232 O232 R232 X232">
    <cfRule type="cellIs" dxfId="964" priority="984" operator="between">
      <formula>0.01</formula>
      <formula>1</formula>
    </cfRule>
  </conditionalFormatting>
  <conditionalFormatting sqref="M232 P232 S232 Y232">
    <cfRule type="cellIs" dxfId="963" priority="983" operator="between">
      <formula>1</formula>
      <formula>1000</formula>
    </cfRule>
  </conditionalFormatting>
  <conditionalFormatting sqref="N247 Q247 T247:W247 Z247">
    <cfRule type="cellIs" dxfId="962" priority="970" operator="between">
      <formula>1</formula>
      <formula>100000</formula>
    </cfRule>
  </conditionalFormatting>
  <conditionalFormatting sqref="N252 Q252 T252:W252 Z252">
    <cfRule type="cellIs" dxfId="961" priority="967" operator="between">
      <formula>1</formula>
      <formula>100000</formula>
    </cfRule>
  </conditionalFormatting>
  <conditionalFormatting sqref="L247 O247 R247 X247">
    <cfRule type="cellIs" dxfId="960" priority="972" operator="between">
      <formula>0.01</formula>
      <formula>1</formula>
    </cfRule>
  </conditionalFormatting>
  <conditionalFormatting sqref="M247 P247 S247 Y247">
    <cfRule type="cellIs" dxfId="959" priority="971" operator="between">
      <formula>1</formula>
      <formula>1000</formula>
    </cfRule>
  </conditionalFormatting>
  <conditionalFormatting sqref="L252 O252 R252 X252">
    <cfRule type="cellIs" dxfId="958" priority="969" operator="between">
      <formula>0.01</formula>
      <formula>1</formula>
    </cfRule>
  </conditionalFormatting>
  <conditionalFormatting sqref="M252 P252 S252 Y252">
    <cfRule type="cellIs" dxfId="957" priority="968" operator="between">
      <formula>1</formula>
      <formula>1000</formula>
    </cfRule>
  </conditionalFormatting>
  <conditionalFormatting sqref="N254 Q254 T254:W254 Z254">
    <cfRule type="cellIs" dxfId="956" priority="964" operator="between">
      <formula>1</formula>
      <formula>100000</formula>
    </cfRule>
  </conditionalFormatting>
  <conditionalFormatting sqref="N256 Q256 T256:W256 Z256">
    <cfRule type="cellIs" dxfId="955" priority="961" operator="between">
      <formula>1</formula>
      <formula>100000</formula>
    </cfRule>
  </conditionalFormatting>
  <conditionalFormatting sqref="L254 O254 R254 X254">
    <cfRule type="cellIs" dxfId="954" priority="966" operator="between">
      <formula>0.01</formula>
      <formula>1</formula>
    </cfRule>
  </conditionalFormatting>
  <conditionalFormatting sqref="M254 P254 S254 Y254">
    <cfRule type="cellIs" dxfId="953" priority="965" operator="between">
      <formula>1</formula>
      <formula>1000</formula>
    </cfRule>
  </conditionalFormatting>
  <conditionalFormatting sqref="L256 O256 R256 X256">
    <cfRule type="cellIs" dxfId="952" priority="963" operator="between">
      <formula>0.01</formula>
      <formula>1</formula>
    </cfRule>
  </conditionalFormatting>
  <conditionalFormatting sqref="M256 P256 S256 Y256">
    <cfRule type="cellIs" dxfId="951" priority="962" operator="between">
      <formula>1</formula>
      <formula>1000</formula>
    </cfRule>
  </conditionalFormatting>
  <conditionalFormatting sqref="N259 Q259 T259:W259 Z259">
    <cfRule type="cellIs" dxfId="950" priority="958" operator="between">
      <formula>1</formula>
      <formula>100000</formula>
    </cfRule>
  </conditionalFormatting>
  <conditionalFormatting sqref="L259 O259 R259 X259">
    <cfRule type="cellIs" dxfId="949" priority="960" operator="between">
      <formula>0.01</formula>
      <formula>1</formula>
    </cfRule>
  </conditionalFormatting>
  <conditionalFormatting sqref="M259 P259 S259 Y259">
    <cfRule type="cellIs" dxfId="948" priority="959" operator="between">
      <formula>1</formula>
      <formula>1000</formula>
    </cfRule>
  </conditionalFormatting>
  <conditionalFormatting sqref="N260 Q260 T260:W260 Z260">
    <cfRule type="cellIs" dxfId="947" priority="955" operator="between">
      <formula>1</formula>
      <formula>100000</formula>
    </cfRule>
  </conditionalFormatting>
  <conditionalFormatting sqref="N261 Q261 T261:W261 Z261">
    <cfRule type="cellIs" dxfId="946" priority="952" operator="between">
      <formula>1</formula>
      <formula>100000</formula>
    </cfRule>
  </conditionalFormatting>
  <conditionalFormatting sqref="L260 O260 R260 X260">
    <cfRule type="cellIs" dxfId="945" priority="957" operator="between">
      <formula>0.01</formula>
      <formula>1</formula>
    </cfRule>
  </conditionalFormatting>
  <conditionalFormatting sqref="M260 P260 S260 Y260">
    <cfRule type="cellIs" dxfId="944" priority="956" operator="between">
      <formula>1</formula>
      <formula>1000</formula>
    </cfRule>
  </conditionalFormatting>
  <conditionalFormatting sqref="L261 O261 R261 X261">
    <cfRule type="cellIs" dxfId="943" priority="954" operator="between">
      <formula>0.01</formula>
      <formula>1</formula>
    </cfRule>
  </conditionalFormatting>
  <conditionalFormatting sqref="M261 P261 S261 Y261">
    <cfRule type="cellIs" dxfId="942" priority="953" operator="between">
      <formula>1</formula>
      <formula>1000</formula>
    </cfRule>
  </conditionalFormatting>
  <conditionalFormatting sqref="N268 Q268 T268:W268 Z268">
    <cfRule type="cellIs" dxfId="941" priority="934" operator="between">
      <formula>1</formula>
      <formula>100000</formula>
    </cfRule>
  </conditionalFormatting>
  <conditionalFormatting sqref="N263 Q263 T263:W263 Z263">
    <cfRule type="cellIs" dxfId="940" priority="949" operator="between">
      <formula>1</formula>
      <formula>100000</formula>
    </cfRule>
  </conditionalFormatting>
  <conditionalFormatting sqref="L263 O263 R263 X263">
    <cfRule type="cellIs" dxfId="939" priority="951" operator="between">
      <formula>0.01</formula>
      <formula>1</formula>
    </cfRule>
  </conditionalFormatting>
  <conditionalFormatting sqref="M263 P263 S263 Y263">
    <cfRule type="cellIs" dxfId="938" priority="950" operator="between">
      <formula>1</formula>
      <formula>1000</formula>
    </cfRule>
  </conditionalFormatting>
  <conditionalFormatting sqref="N266 Q266 T266:W266 Z266">
    <cfRule type="cellIs" dxfId="937" priority="940" operator="between">
      <formula>1</formula>
      <formula>100000</formula>
    </cfRule>
  </conditionalFormatting>
  <conditionalFormatting sqref="L266 O266 R266 X266">
    <cfRule type="cellIs" dxfId="936" priority="942" operator="between">
      <formula>0.01</formula>
      <formula>1</formula>
    </cfRule>
  </conditionalFormatting>
  <conditionalFormatting sqref="M266 P266 S266 Y266">
    <cfRule type="cellIs" dxfId="935" priority="941" operator="between">
      <formula>1</formula>
      <formula>1000</formula>
    </cfRule>
  </conditionalFormatting>
  <conditionalFormatting sqref="N267 Q267 T267:W267 Z267">
    <cfRule type="cellIs" dxfId="934" priority="937" operator="between">
      <formula>1</formula>
      <formula>100000</formula>
    </cfRule>
  </conditionalFormatting>
  <conditionalFormatting sqref="L267 O267 R267 X267">
    <cfRule type="cellIs" dxfId="933" priority="939" operator="between">
      <formula>0.01</formula>
      <formula>1</formula>
    </cfRule>
  </conditionalFormatting>
  <conditionalFormatting sqref="M267 P267 S267 Y267">
    <cfRule type="cellIs" dxfId="932" priority="938" operator="between">
      <formula>1</formula>
      <formula>1000</formula>
    </cfRule>
  </conditionalFormatting>
  <conditionalFormatting sqref="L268 O268 R268 X268">
    <cfRule type="cellIs" dxfId="931" priority="936" operator="between">
      <formula>0.01</formula>
      <formula>1</formula>
    </cfRule>
  </conditionalFormatting>
  <conditionalFormatting sqref="M268 P268 S268 Y268">
    <cfRule type="cellIs" dxfId="930" priority="935" operator="between">
      <formula>1</formula>
      <formula>1000</formula>
    </cfRule>
  </conditionalFormatting>
  <conditionalFormatting sqref="N264 Q264 T264:W264 Z264">
    <cfRule type="cellIs" dxfId="929" priority="946" operator="between">
      <formula>1</formula>
      <formula>100000</formula>
    </cfRule>
  </conditionalFormatting>
  <conditionalFormatting sqref="L264 O264 R264 X264">
    <cfRule type="cellIs" dxfId="928" priority="948" operator="between">
      <formula>0.01</formula>
      <formula>1</formula>
    </cfRule>
  </conditionalFormatting>
  <conditionalFormatting sqref="M264 P264 S264 Y264">
    <cfRule type="cellIs" dxfId="927" priority="947" operator="between">
      <formula>1</formula>
      <formula>1000</formula>
    </cfRule>
  </conditionalFormatting>
  <conditionalFormatting sqref="N265 Q265 T265:W265 Z265">
    <cfRule type="cellIs" dxfId="926" priority="943" operator="between">
      <formula>1</formula>
      <formula>100000</formula>
    </cfRule>
  </conditionalFormatting>
  <conditionalFormatting sqref="L265 O265 R265 X265">
    <cfRule type="cellIs" dxfId="925" priority="945" operator="between">
      <formula>0.01</formula>
      <formula>1</formula>
    </cfRule>
  </conditionalFormatting>
  <conditionalFormatting sqref="M265 P265 S265 Y265">
    <cfRule type="cellIs" dxfId="924" priority="944" operator="between">
      <formula>1</formula>
      <formula>1000</formula>
    </cfRule>
  </conditionalFormatting>
  <conditionalFormatting sqref="N269 Q269 T269:W269 Z269">
    <cfRule type="cellIs" dxfId="923" priority="931" operator="between">
      <formula>1</formula>
      <formula>100000</formula>
    </cfRule>
  </conditionalFormatting>
  <conditionalFormatting sqref="L269 O269 R269 X269">
    <cfRule type="cellIs" dxfId="922" priority="933" operator="between">
      <formula>0.01</formula>
      <formula>1</formula>
    </cfRule>
  </conditionalFormatting>
  <conditionalFormatting sqref="M269 P269 S269 Y269">
    <cfRule type="cellIs" dxfId="921" priority="932" operator="between">
      <formula>1</formula>
      <formula>1000</formula>
    </cfRule>
  </conditionalFormatting>
  <conditionalFormatting sqref="N275 Q275 T275:W275 Z275">
    <cfRule type="cellIs" dxfId="920" priority="928" operator="between">
      <formula>1</formula>
      <formula>100000</formula>
    </cfRule>
  </conditionalFormatting>
  <conditionalFormatting sqref="L275 O275 R275 X275">
    <cfRule type="cellIs" dxfId="919" priority="930" operator="between">
      <formula>0.01</formula>
      <formula>1</formula>
    </cfRule>
  </conditionalFormatting>
  <conditionalFormatting sqref="M275 P275 S275 Y275">
    <cfRule type="cellIs" dxfId="918" priority="929" operator="between">
      <formula>1</formula>
      <formula>1000</formula>
    </cfRule>
  </conditionalFormatting>
  <conditionalFormatting sqref="N279 Q279 T279:W279 Z279">
    <cfRule type="cellIs" dxfId="917" priority="925" operator="between">
      <formula>1</formula>
      <formula>100000</formula>
    </cfRule>
  </conditionalFormatting>
  <conditionalFormatting sqref="L279 O279 R279 X279">
    <cfRule type="cellIs" dxfId="916" priority="927" operator="between">
      <formula>0.01</formula>
      <formula>1</formula>
    </cfRule>
  </conditionalFormatting>
  <conditionalFormatting sqref="M279 P279 S279 Y279">
    <cfRule type="cellIs" dxfId="915" priority="926" operator="between">
      <formula>1</formula>
      <formula>1000</formula>
    </cfRule>
  </conditionalFormatting>
  <conditionalFormatting sqref="N305 Q305 T305:W305 Z305">
    <cfRule type="cellIs" dxfId="914" priority="922" operator="between">
      <formula>1</formula>
      <formula>100000</formula>
    </cfRule>
  </conditionalFormatting>
  <conditionalFormatting sqref="L305 O305 R305 X305">
    <cfRule type="cellIs" dxfId="913" priority="924" operator="between">
      <formula>0.01</formula>
      <formula>1</formula>
    </cfRule>
  </conditionalFormatting>
  <conditionalFormatting sqref="M305 P305 S305 Y305">
    <cfRule type="cellIs" dxfId="912" priority="923" operator="between">
      <formula>1</formula>
      <formula>1000</formula>
    </cfRule>
  </conditionalFormatting>
  <conditionalFormatting sqref="N280 Q280 T280:W280 Z280">
    <cfRule type="cellIs" dxfId="911" priority="919" operator="between">
      <formula>1</formula>
      <formula>100000</formula>
    </cfRule>
  </conditionalFormatting>
  <conditionalFormatting sqref="L280 O280 R280 X280">
    <cfRule type="cellIs" dxfId="910" priority="921" operator="between">
      <formula>0.01</formula>
      <formula>1</formula>
    </cfRule>
  </conditionalFormatting>
  <conditionalFormatting sqref="M280 P280 S280 Y280">
    <cfRule type="cellIs" dxfId="909" priority="920" operator="between">
      <formula>1</formula>
      <formula>1000</formula>
    </cfRule>
  </conditionalFormatting>
  <conditionalFormatting sqref="N428 Q428 T428:W428 Z428">
    <cfRule type="cellIs" dxfId="908" priority="916" operator="between">
      <formula>1</formula>
      <formula>100000</formula>
    </cfRule>
  </conditionalFormatting>
  <conditionalFormatting sqref="L428 O428 R428 X428">
    <cfRule type="cellIs" dxfId="907" priority="918" operator="between">
      <formula>0.01</formula>
      <formula>1</formula>
    </cfRule>
  </conditionalFormatting>
  <conditionalFormatting sqref="M428 P428 S428 Y428">
    <cfRule type="cellIs" dxfId="906" priority="917" operator="between">
      <formula>1</formula>
      <formula>1000</formula>
    </cfRule>
  </conditionalFormatting>
  <conditionalFormatting sqref="N345 Q345 T345:W345 Z345">
    <cfRule type="cellIs" dxfId="905" priority="913" operator="between">
      <formula>1</formula>
      <formula>100000</formula>
    </cfRule>
  </conditionalFormatting>
  <conditionalFormatting sqref="L345 O345 R345 X345">
    <cfRule type="cellIs" dxfId="904" priority="915" operator="between">
      <formula>0.01</formula>
      <formula>1</formula>
    </cfRule>
  </conditionalFormatting>
  <conditionalFormatting sqref="M345 P345 S345 Y345">
    <cfRule type="cellIs" dxfId="903" priority="914" operator="between">
      <formula>1</formula>
      <formula>1000</formula>
    </cfRule>
  </conditionalFormatting>
  <conditionalFormatting sqref="N351 Q351 T351:W351 Z351">
    <cfRule type="cellIs" dxfId="902" priority="910" operator="between">
      <formula>1</formula>
      <formula>100000</formula>
    </cfRule>
  </conditionalFormatting>
  <conditionalFormatting sqref="L351 O351 R351 X351">
    <cfRule type="cellIs" dxfId="901" priority="912" operator="between">
      <formula>0.01</formula>
      <formula>1</formula>
    </cfRule>
  </conditionalFormatting>
  <conditionalFormatting sqref="M351 P351 S351 Y351">
    <cfRule type="cellIs" dxfId="900" priority="911" operator="between">
      <formula>1</formula>
      <formula>1000</formula>
    </cfRule>
  </conditionalFormatting>
  <conditionalFormatting sqref="N356 Q356 T356:W356 Z356">
    <cfRule type="cellIs" dxfId="899" priority="907" operator="between">
      <formula>1</formula>
      <formula>100000</formula>
    </cfRule>
  </conditionalFormatting>
  <conditionalFormatting sqref="L356 O356 R356 X356">
    <cfRule type="cellIs" dxfId="898" priority="909" operator="between">
      <formula>0.01</formula>
      <formula>1</formula>
    </cfRule>
  </conditionalFormatting>
  <conditionalFormatting sqref="M356 P356 S356 Y356">
    <cfRule type="cellIs" dxfId="897" priority="908" operator="between">
      <formula>1</formula>
      <formula>1000</formula>
    </cfRule>
  </conditionalFormatting>
  <conditionalFormatting sqref="N355 Q355 T355:W355 Z355">
    <cfRule type="cellIs" dxfId="896" priority="904" operator="between">
      <formula>1</formula>
      <formula>100000</formula>
    </cfRule>
  </conditionalFormatting>
  <conditionalFormatting sqref="L355 O355 R355 X355">
    <cfRule type="cellIs" dxfId="895" priority="906" operator="between">
      <formula>0.01</formula>
      <formula>1</formula>
    </cfRule>
  </conditionalFormatting>
  <conditionalFormatting sqref="M355 P355 S355 Y355">
    <cfRule type="cellIs" dxfId="894" priority="905" operator="between">
      <formula>1</formula>
      <formula>1000</formula>
    </cfRule>
  </conditionalFormatting>
  <conditionalFormatting sqref="N273 Q273 T273:W273 Z273">
    <cfRule type="cellIs" dxfId="893" priority="895" operator="between">
      <formula>1</formula>
      <formula>100000</formula>
    </cfRule>
  </conditionalFormatting>
  <conditionalFormatting sqref="N271 Q271 T271:W271 Z271">
    <cfRule type="cellIs" dxfId="892" priority="901" operator="between">
      <formula>1</formula>
      <formula>100000</formula>
    </cfRule>
  </conditionalFormatting>
  <conditionalFormatting sqref="L271 O271 R271 X271">
    <cfRule type="cellIs" dxfId="891" priority="903" operator="between">
      <formula>0.01</formula>
      <formula>1</formula>
    </cfRule>
  </conditionalFormatting>
  <conditionalFormatting sqref="M271 P271 S271 Y271">
    <cfRule type="cellIs" dxfId="890" priority="902" operator="between">
      <formula>1</formula>
      <formula>1000</formula>
    </cfRule>
  </conditionalFormatting>
  <conditionalFormatting sqref="N272 Q272 T272:W272 Z272">
    <cfRule type="cellIs" dxfId="889" priority="898" operator="between">
      <formula>1</formula>
      <formula>100000</formula>
    </cfRule>
  </conditionalFormatting>
  <conditionalFormatting sqref="L272 O272 R272 X272">
    <cfRule type="cellIs" dxfId="888" priority="900" operator="between">
      <formula>0.01</formula>
      <formula>1</formula>
    </cfRule>
  </conditionalFormatting>
  <conditionalFormatting sqref="M272 P272 S272 Y272">
    <cfRule type="cellIs" dxfId="887" priority="899" operator="between">
      <formula>1</formula>
      <formula>1000</formula>
    </cfRule>
  </conditionalFormatting>
  <conditionalFormatting sqref="L273 O273 R273 X273">
    <cfRule type="cellIs" dxfId="886" priority="897" operator="between">
      <formula>0.01</formula>
      <formula>1</formula>
    </cfRule>
  </conditionalFormatting>
  <conditionalFormatting sqref="M273 P273 S273 Y273">
    <cfRule type="cellIs" dxfId="885" priority="896" operator="between">
      <formula>1</formula>
      <formula>1000</formula>
    </cfRule>
  </conditionalFormatting>
  <conditionalFormatting sqref="N274 Q274 T274:W274 Z274">
    <cfRule type="cellIs" dxfId="884" priority="892" operator="between">
      <formula>1</formula>
      <formula>100000</formula>
    </cfRule>
  </conditionalFormatting>
  <conditionalFormatting sqref="L274 O274 R274 X274">
    <cfRule type="cellIs" dxfId="883" priority="894" operator="between">
      <formula>0.01</formula>
      <formula>1</formula>
    </cfRule>
  </conditionalFormatting>
  <conditionalFormatting sqref="M274 P274 S274 Y274">
    <cfRule type="cellIs" dxfId="882" priority="893" operator="between">
      <formula>1</formula>
      <formula>1000</formula>
    </cfRule>
  </conditionalFormatting>
  <conditionalFormatting sqref="N278 Q278 T278:W278 Z278">
    <cfRule type="cellIs" dxfId="881" priority="883" operator="between">
      <formula>1</formula>
      <formula>100000</formula>
    </cfRule>
  </conditionalFormatting>
  <conditionalFormatting sqref="N276 Q276 T276:W276 Z276">
    <cfRule type="cellIs" dxfId="880" priority="889" operator="between">
      <formula>1</formula>
      <formula>100000</formula>
    </cfRule>
  </conditionalFormatting>
  <conditionalFormatting sqref="L276 O276 R276 X276">
    <cfRule type="cellIs" dxfId="879" priority="891" operator="between">
      <formula>0.01</formula>
      <formula>1</formula>
    </cfRule>
  </conditionalFormatting>
  <conditionalFormatting sqref="M276 P276 S276 Y276">
    <cfRule type="cellIs" dxfId="878" priority="890" operator="between">
      <formula>1</formula>
      <formula>1000</formula>
    </cfRule>
  </conditionalFormatting>
  <conditionalFormatting sqref="N277 Q277 T277:W277 Z277">
    <cfRule type="cellIs" dxfId="877" priority="886" operator="between">
      <formula>1</formula>
      <formula>100000</formula>
    </cfRule>
  </conditionalFormatting>
  <conditionalFormatting sqref="L277 O277 R277 X277">
    <cfRule type="cellIs" dxfId="876" priority="888" operator="between">
      <formula>0.01</formula>
      <formula>1</formula>
    </cfRule>
  </conditionalFormatting>
  <conditionalFormatting sqref="M277 P277 S277 Y277">
    <cfRule type="cellIs" dxfId="875" priority="887" operator="between">
      <formula>1</formula>
      <formula>1000</formula>
    </cfRule>
  </conditionalFormatting>
  <conditionalFormatting sqref="L278 O278 R278 X278">
    <cfRule type="cellIs" dxfId="874" priority="885" operator="between">
      <formula>0.01</formula>
      <formula>1</formula>
    </cfRule>
  </conditionalFormatting>
  <conditionalFormatting sqref="M278 P278 S278 Y278">
    <cfRule type="cellIs" dxfId="873" priority="884" operator="between">
      <formula>1</formula>
      <formula>1000</formula>
    </cfRule>
  </conditionalFormatting>
  <conditionalFormatting sqref="N286 Q286 T286:W286 Z286">
    <cfRule type="cellIs" dxfId="872" priority="865" operator="between">
      <formula>1</formula>
      <formula>100000</formula>
    </cfRule>
  </conditionalFormatting>
  <conditionalFormatting sqref="N281 Q281 T281:W281 Z281">
    <cfRule type="cellIs" dxfId="871" priority="880" operator="between">
      <formula>1</formula>
      <formula>100000</formula>
    </cfRule>
  </conditionalFormatting>
  <conditionalFormatting sqref="L281 O281 R281 X281">
    <cfRule type="cellIs" dxfId="870" priority="882" operator="between">
      <formula>0.01</formula>
      <formula>1</formula>
    </cfRule>
  </conditionalFormatting>
  <conditionalFormatting sqref="M281 P281 S281 Y281">
    <cfRule type="cellIs" dxfId="869" priority="881" operator="between">
      <formula>1</formula>
      <formula>1000</formula>
    </cfRule>
  </conditionalFormatting>
  <conditionalFormatting sqref="N284 Q284 T284:W284 Z284">
    <cfRule type="cellIs" dxfId="868" priority="871" operator="between">
      <formula>1</formula>
      <formula>100000</formula>
    </cfRule>
  </conditionalFormatting>
  <conditionalFormatting sqref="L284 O284 R284 X284">
    <cfRule type="cellIs" dxfId="867" priority="873" operator="between">
      <formula>0.01</formula>
      <formula>1</formula>
    </cfRule>
  </conditionalFormatting>
  <conditionalFormatting sqref="M284 P284 S284 Y284">
    <cfRule type="cellIs" dxfId="866" priority="872" operator="between">
      <formula>1</formula>
      <formula>1000</formula>
    </cfRule>
  </conditionalFormatting>
  <conditionalFormatting sqref="N285 Q285 T285:W285 Z285">
    <cfRule type="cellIs" dxfId="865" priority="868" operator="between">
      <formula>1</formula>
      <formula>100000</formula>
    </cfRule>
  </conditionalFormatting>
  <conditionalFormatting sqref="L285 O285 R285 X285">
    <cfRule type="cellIs" dxfId="864" priority="870" operator="between">
      <formula>0.01</formula>
      <formula>1</formula>
    </cfRule>
  </conditionalFormatting>
  <conditionalFormatting sqref="M285 P285 S285 Y285">
    <cfRule type="cellIs" dxfId="863" priority="869" operator="between">
      <formula>1</formula>
      <formula>1000</formula>
    </cfRule>
  </conditionalFormatting>
  <conditionalFormatting sqref="L286 O286 R286 X286">
    <cfRule type="cellIs" dxfId="862" priority="867" operator="between">
      <formula>0.01</formula>
      <formula>1</formula>
    </cfRule>
  </conditionalFormatting>
  <conditionalFormatting sqref="M286 P286 S286 Y286">
    <cfRule type="cellIs" dxfId="861" priority="866" operator="between">
      <formula>1</formula>
      <formula>1000</formula>
    </cfRule>
  </conditionalFormatting>
  <conditionalFormatting sqref="N282 Q282 T282:W282 Z282">
    <cfRule type="cellIs" dxfId="860" priority="877" operator="between">
      <formula>1</formula>
      <formula>100000</formula>
    </cfRule>
  </conditionalFormatting>
  <conditionalFormatting sqref="L282 O282 R282 X282">
    <cfRule type="cellIs" dxfId="859" priority="879" operator="between">
      <formula>0.01</formula>
      <formula>1</formula>
    </cfRule>
  </conditionalFormatting>
  <conditionalFormatting sqref="M282 P282 S282 Y282">
    <cfRule type="cellIs" dxfId="858" priority="878" operator="between">
      <formula>1</formula>
      <formula>1000</formula>
    </cfRule>
  </conditionalFormatting>
  <conditionalFormatting sqref="N283 Q283 T283:W283 Z283">
    <cfRule type="cellIs" dxfId="857" priority="874" operator="between">
      <formula>1</formula>
      <formula>100000</formula>
    </cfRule>
  </conditionalFormatting>
  <conditionalFormatting sqref="L283 O283 R283 X283">
    <cfRule type="cellIs" dxfId="856" priority="876" operator="between">
      <formula>0.01</formula>
      <formula>1</formula>
    </cfRule>
  </conditionalFormatting>
  <conditionalFormatting sqref="M283 P283 S283 Y283">
    <cfRule type="cellIs" dxfId="855" priority="875" operator="between">
      <formula>1</formula>
      <formula>1000</formula>
    </cfRule>
  </conditionalFormatting>
  <conditionalFormatting sqref="N287 Q287 T287:W287 Z287">
    <cfRule type="cellIs" dxfId="854" priority="862" operator="between">
      <formula>1</formula>
      <formula>100000</formula>
    </cfRule>
  </conditionalFormatting>
  <conditionalFormatting sqref="L287 O287 R287 X287">
    <cfRule type="cellIs" dxfId="853" priority="864" operator="between">
      <formula>0.01</formula>
      <formula>1</formula>
    </cfRule>
  </conditionalFormatting>
  <conditionalFormatting sqref="M287 P287 S287 Y287">
    <cfRule type="cellIs" dxfId="852" priority="863" operator="between">
      <formula>1</formula>
      <formula>1000</formula>
    </cfRule>
  </conditionalFormatting>
  <conditionalFormatting sqref="N293 Q293 T293:W293 Z293">
    <cfRule type="cellIs" dxfId="851" priority="844" operator="between">
      <formula>1</formula>
      <formula>100000</formula>
    </cfRule>
  </conditionalFormatting>
  <conditionalFormatting sqref="N288 Q288 T288:W288 Z288">
    <cfRule type="cellIs" dxfId="850" priority="859" operator="between">
      <formula>1</formula>
      <formula>100000</formula>
    </cfRule>
  </conditionalFormatting>
  <conditionalFormatting sqref="L288 O288 R288 X288">
    <cfRule type="cellIs" dxfId="849" priority="861" operator="between">
      <formula>0.01</formula>
      <formula>1</formula>
    </cfRule>
  </conditionalFormatting>
  <conditionalFormatting sqref="M288 P288 S288 Y288">
    <cfRule type="cellIs" dxfId="848" priority="860" operator="between">
      <formula>1</formula>
      <formula>1000</formula>
    </cfRule>
  </conditionalFormatting>
  <conditionalFormatting sqref="N291 Q291 T291:W291 Z291">
    <cfRule type="cellIs" dxfId="847" priority="850" operator="between">
      <formula>1</formula>
      <formula>100000</formula>
    </cfRule>
  </conditionalFormatting>
  <conditionalFormatting sqref="L291 O291 R291 X291">
    <cfRule type="cellIs" dxfId="846" priority="852" operator="between">
      <formula>0.01</formula>
      <formula>1</formula>
    </cfRule>
  </conditionalFormatting>
  <conditionalFormatting sqref="M291 P291 S291 Y291">
    <cfRule type="cellIs" dxfId="845" priority="851" operator="between">
      <formula>1</formula>
      <formula>1000</formula>
    </cfRule>
  </conditionalFormatting>
  <conditionalFormatting sqref="N292 Q292 T292:W292 Z292">
    <cfRule type="cellIs" dxfId="844" priority="847" operator="between">
      <formula>1</formula>
      <formula>100000</formula>
    </cfRule>
  </conditionalFormatting>
  <conditionalFormatting sqref="L292 O292 R292 X292">
    <cfRule type="cellIs" dxfId="843" priority="849" operator="between">
      <formula>0.01</formula>
      <formula>1</formula>
    </cfRule>
  </conditionalFormatting>
  <conditionalFormatting sqref="M292 P292 S292 Y292">
    <cfRule type="cellIs" dxfId="842" priority="848" operator="between">
      <formula>1</formula>
      <formula>1000</formula>
    </cfRule>
  </conditionalFormatting>
  <conditionalFormatting sqref="L293 O293 R293 X293">
    <cfRule type="cellIs" dxfId="841" priority="846" operator="between">
      <formula>0.01</formula>
      <formula>1</formula>
    </cfRule>
  </conditionalFormatting>
  <conditionalFormatting sqref="M293 P293 S293 Y293">
    <cfRule type="cellIs" dxfId="840" priority="845" operator="between">
      <formula>1</formula>
      <formula>1000</formula>
    </cfRule>
  </conditionalFormatting>
  <conditionalFormatting sqref="N289 Q289 T289:W289 Z289">
    <cfRule type="cellIs" dxfId="839" priority="856" operator="between">
      <formula>1</formula>
      <formula>100000</formula>
    </cfRule>
  </conditionalFormatting>
  <conditionalFormatting sqref="L289 O289 R289 X289">
    <cfRule type="cellIs" dxfId="838" priority="858" operator="between">
      <formula>0.01</formula>
      <formula>1</formula>
    </cfRule>
  </conditionalFormatting>
  <conditionalFormatting sqref="M289 P289 S289 Y289">
    <cfRule type="cellIs" dxfId="837" priority="857" operator="between">
      <formula>1</formula>
      <formula>1000</formula>
    </cfRule>
  </conditionalFormatting>
  <conditionalFormatting sqref="N290 Q290 T290:W290 Z290">
    <cfRule type="cellIs" dxfId="836" priority="853" operator="between">
      <formula>1</formula>
      <formula>100000</formula>
    </cfRule>
  </conditionalFormatting>
  <conditionalFormatting sqref="L290 O290 R290 X290">
    <cfRule type="cellIs" dxfId="835" priority="855" operator="between">
      <formula>0.01</formula>
      <formula>1</formula>
    </cfRule>
  </conditionalFormatting>
  <conditionalFormatting sqref="M290 P290 S290 Y290">
    <cfRule type="cellIs" dxfId="834" priority="854" operator="between">
      <formula>1</formula>
      <formula>1000</formula>
    </cfRule>
  </conditionalFormatting>
  <conditionalFormatting sqref="N294 Q294 T294:W294 Z294">
    <cfRule type="cellIs" dxfId="833" priority="841" operator="between">
      <formula>1</formula>
      <formula>100000</formula>
    </cfRule>
  </conditionalFormatting>
  <conditionalFormatting sqref="L294 O294 R294 X294">
    <cfRule type="cellIs" dxfId="832" priority="843" operator="between">
      <formula>0.01</formula>
      <formula>1</formula>
    </cfRule>
  </conditionalFormatting>
  <conditionalFormatting sqref="M294 P294 S294 Y294">
    <cfRule type="cellIs" dxfId="831" priority="842" operator="between">
      <formula>1</formula>
      <formula>1000</formula>
    </cfRule>
  </conditionalFormatting>
  <conditionalFormatting sqref="N300 Q300 T300:W300 Z300">
    <cfRule type="cellIs" dxfId="830" priority="823" operator="between">
      <formula>1</formula>
      <formula>100000</formula>
    </cfRule>
  </conditionalFormatting>
  <conditionalFormatting sqref="N295 Q295 T295:W295 Z295">
    <cfRule type="cellIs" dxfId="829" priority="838" operator="between">
      <formula>1</formula>
      <formula>100000</formula>
    </cfRule>
  </conditionalFormatting>
  <conditionalFormatting sqref="L295 O295 R295 X295">
    <cfRule type="cellIs" dxfId="828" priority="840" operator="between">
      <formula>0.01</formula>
      <formula>1</formula>
    </cfRule>
  </conditionalFormatting>
  <conditionalFormatting sqref="M295 P295 S295 Y295">
    <cfRule type="cellIs" dxfId="827" priority="839" operator="between">
      <formula>1</formula>
      <formula>1000</formula>
    </cfRule>
  </conditionalFormatting>
  <conditionalFormatting sqref="N298 Q298 T298:W298 Z298">
    <cfRule type="cellIs" dxfId="826" priority="829" operator="between">
      <formula>1</formula>
      <formula>100000</formula>
    </cfRule>
  </conditionalFormatting>
  <conditionalFormatting sqref="L298 O298 R298 X298">
    <cfRule type="cellIs" dxfId="825" priority="831" operator="between">
      <formula>0.01</formula>
      <formula>1</formula>
    </cfRule>
  </conditionalFormatting>
  <conditionalFormatting sqref="M298 P298 S298 Y298">
    <cfRule type="cellIs" dxfId="824" priority="830" operator="between">
      <formula>1</formula>
      <formula>1000</formula>
    </cfRule>
  </conditionalFormatting>
  <conditionalFormatting sqref="N299 Q299 T299:W299 Z299">
    <cfRule type="cellIs" dxfId="823" priority="826" operator="between">
      <formula>1</formula>
      <formula>100000</formula>
    </cfRule>
  </conditionalFormatting>
  <conditionalFormatting sqref="L299 O299 R299 X299">
    <cfRule type="cellIs" dxfId="822" priority="828" operator="between">
      <formula>0.01</formula>
      <formula>1</formula>
    </cfRule>
  </conditionalFormatting>
  <conditionalFormatting sqref="M299 P299 S299 Y299">
    <cfRule type="cellIs" dxfId="821" priority="827" operator="between">
      <formula>1</formula>
      <formula>1000</formula>
    </cfRule>
  </conditionalFormatting>
  <conditionalFormatting sqref="L300 O300 R300 X300">
    <cfRule type="cellIs" dxfId="820" priority="825" operator="between">
      <formula>0.01</formula>
      <formula>1</formula>
    </cfRule>
  </conditionalFormatting>
  <conditionalFormatting sqref="M300 P300 S300 Y300">
    <cfRule type="cellIs" dxfId="819" priority="824" operator="between">
      <formula>1</formula>
      <formula>1000</formula>
    </cfRule>
  </conditionalFormatting>
  <conditionalFormatting sqref="N296 Q296 T296:W296 Z296">
    <cfRule type="cellIs" dxfId="818" priority="835" operator="between">
      <formula>1</formula>
      <formula>100000</formula>
    </cfRule>
  </conditionalFormatting>
  <conditionalFormatting sqref="L296 O296 R296 X296">
    <cfRule type="cellIs" dxfId="817" priority="837" operator="between">
      <formula>0.01</formula>
      <formula>1</formula>
    </cfRule>
  </conditionalFormatting>
  <conditionalFormatting sqref="M296 P296 S296 Y296">
    <cfRule type="cellIs" dxfId="816" priority="836" operator="between">
      <formula>1</formula>
      <formula>1000</formula>
    </cfRule>
  </conditionalFormatting>
  <conditionalFormatting sqref="N297 Q297 T297:W297 Z297">
    <cfRule type="cellIs" dxfId="815" priority="832" operator="between">
      <formula>1</formula>
      <formula>100000</formula>
    </cfRule>
  </conditionalFormatting>
  <conditionalFormatting sqref="L297 O297 R297 X297">
    <cfRule type="cellIs" dxfId="814" priority="834" operator="between">
      <formula>0.01</formula>
      <formula>1</formula>
    </cfRule>
  </conditionalFormatting>
  <conditionalFormatting sqref="M297 P297 S297 Y297">
    <cfRule type="cellIs" dxfId="813" priority="833" operator="between">
      <formula>1</formula>
      <formula>1000</formula>
    </cfRule>
  </conditionalFormatting>
  <conditionalFormatting sqref="N301 Q301 T301:W301 Z301">
    <cfRule type="cellIs" dxfId="812" priority="820" operator="between">
      <formula>1</formula>
      <formula>100000</formula>
    </cfRule>
  </conditionalFormatting>
  <conditionalFormatting sqref="L301 O301 R301 X301">
    <cfRule type="cellIs" dxfId="811" priority="822" operator="between">
      <formula>0.01</formula>
      <formula>1</formula>
    </cfRule>
  </conditionalFormatting>
  <conditionalFormatting sqref="M301 P301 S301 Y301">
    <cfRule type="cellIs" dxfId="810" priority="821" operator="between">
      <formula>1</formula>
      <formula>1000</formula>
    </cfRule>
  </conditionalFormatting>
  <conditionalFormatting sqref="N302 Q302 T302:W302 Z302">
    <cfRule type="cellIs" dxfId="809" priority="817" operator="between">
      <formula>1</formula>
      <formula>100000</formula>
    </cfRule>
  </conditionalFormatting>
  <conditionalFormatting sqref="L302 O302 R302 X302">
    <cfRule type="cellIs" dxfId="808" priority="819" operator="between">
      <formula>0.01</formula>
      <formula>1</formula>
    </cfRule>
  </conditionalFormatting>
  <conditionalFormatting sqref="M302 P302 S302 Y302">
    <cfRule type="cellIs" dxfId="807" priority="818" operator="between">
      <formula>1</formula>
      <formula>1000</formula>
    </cfRule>
  </conditionalFormatting>
  <conditionalFormatting sqref="N303 Q303 T303:W303 Z303">
    <cfRule type="cellIs" dxfId="806" priority="814" operator="between">
      <formula>1</formula>
      <formula>100000</formula>
    </cfRule>
  </conditionalFormatting>
  <conditionalFormatting sqref="L303 O303 R303 X303">
    <cfRule type="cellIs" dxfId="805" priority="816" operator="between">
      <formula>0.01</formula>
      <formula>1</formula>
    </cfRule>
  </conditionalFormatting>
  <conditionalFormatting sqref="M303 P303 S303 Y303">
    <cfRule type="cellIs" dxfId="804" priority="815" operator="between">
      <formula>1</formula>
      <formula>1000</formula>
    </cfRule>
  </conditionalFormatting>
  <conditionalFormatting sqref="N304 Q304 T304:W304 Z304">
    <cfRule type="cellIs" dxfId="803" priority="811" operator="between">
      <formula>1</formula>
      <formula>100000</formula>
    </cfRule>
  </conditionalFormatting>
  <conditionalFormatting sqref="L304 O304 R304 X304">
    <cfRule type="cellIs" dxfId="802" priority="813" operator="between">
      <formula>0.01</formula>
      <formula>1</formula>
    </cfRule>
  </conditionalFormatting>
  <conditionalFormatting sqref="M304 P304 S304 Y304">
    <cfRule type="cellIs" dxfId="801" priority="812" operator="between">
      <formula>1</formula>
      <formula>1000</formula>
    </cfRule>
  </conditionalFormatting>
  <conditionalFormatting sqref="N311 Q311 T311:W311 Z311">
    <cfRule type="cellIs" dxfId="800" priority="793" operator="between">
      <formula>1</formula>
      <formula>100000</formula>
    </cfRule>
  </conditionalFormatting>
  <conditionalFormatting sqref="N306 Q306 T306:W306 Z306">
    <cfRule type="cellIs" dxfId="799" priority="808" operator="between">
      <formula>1</formula>
      <formula>100000</formula>
    </cfRule>
  </conditionalFormatting>
  <conditionalFormatting sqref="L306 O306 R306 X306">
    <cfRule type="cellIs" dxfId="798" priority="810" operator="between">
      <formula>0.01</formula>
      <formula>1</formula>
    </cfRule>
  </conditionalFormatting>
  <conditionalFormatting sqref="M306 P306 S306 Y306">
    <cfRule type="cellIs" dxfId="797" priority="809" operator="between">
      <formula>1</formula>
      <formula>1000</formula>
    </cfRule>
  </conditionalFormatting>
  <conditionalFormatting sqref="N309 Q309 T309:W309 Z309">
    <cfRule type="cellIs" dxfId="796" priority="799" operator="between">
      <formula>1</formula>
      <formula>100000</formula>
    </cfRule>
  </conditionalFormatting>
  <conditionalFormatting sqref="L309 O309 R309 X309">
    <cfRule type="cellIs" dxfId="795" priority="801" operator="between">
      <formula>0.01</formula>
      <formula>1</formula>
    </cfRule>
  </conditionalFormatting>
  <conditionalFormatting sqref="M309 P309 S309 Y309">
    <cfRule type="cellIs" dxfId="794" priority="800" operator="between">
      <formula>1</formula>
      <formula>1000</formula>
    </cfRule>
  </conditionalFormatting>
  <conditionalFormatting sqref="N310 Q310 T310:W310 Z310">
    <cfRule type="cellIs" dxfId="793" priority="796" operator="between">
      <formula>1</formula>
      <formula>100000</formula>
    </cfRule>
  </conditionalFormatting>
  <conditionalFormatting sqref="L310 O310 R310 X310">
    <cfRule type="cellIs" dxfId="792" priority="798" operator="between">
      <formula>0.01</formula>
      <formula>1</formula>
    </cfRule>
  </conditionalFormatting>
  <conditionalFormatting sqref="M310 P310 S310 Y310">
    <cfRule type="cellIs" dxfId="791" priority="797" operator="between">
      <formula>1</formula>
      <formula>1000</formula>
    </cfRule>
  </conditionalFormatting>
  <conditionalFormatting sqref="L311 O311 R311 X311">
    <cfRule type="cellIs" dxfId="790" priority="795" operator="between">
      <formula>0.01</formula>
      <formula>1</formula>
    </cfRule>
  </conditionalFormatting>
  <conditionalFormatting sqref="M311 P311 S311 Y311">
    <cfRule type="cellIs" dxfId="789" priority="794" operator="between">
      <formula>1</formula>
      <formula>1000</formula>
    </cfRule>
  </conditionalFormatting>
  <conditionalFormatting sqref="N307 Q307 T307:W307 Z307">
    <cfRule type="cellIs" dxfId="788" priority="805" operator="between">
      <formula>1</formula>
      <formula>100000</formula>
    </cfRule>
  </conditionalFormatting>
  <conditionalFormatting sqref="L307 O307 R307 X307">
    <cfRule type="cellIs" dxfId="787" priority="807" operator="between">
      <formula>0.01</formula>
      <formula>1</formula>
    </cfRule>
  </conditionalFormatting>
  <conditionalFormatting sqref="M307 P307 S307 Y307">
    <cfRule type="cellIs" dxfId="786" priority="806" operator="between">
      <formula>1</formula>
      <formula>1000</formula>
    </cfRule>
  </conditionalFormatting>
  <conditionalFormatting sqref="N308 Q308 T308:W308 Z308">
    <cfRule type="cellIs" dxfId="785" priority="802" operator="between">
      <formula>1</formula>
      <formula>100000</formula>
    </cfRule>
  </conditionalFormatting>
  <conditionalFormatting sqref="L308 O308 R308 X308">
    <cfRule type="cellIs" dxfId="784" priority="804" operator="between">
      <formula>0.01</formula>
      <formula>1</formula>
    </cfRule>
  </conditionalFormatting>
  <conditionalFormatting sqref="M308 P308 S308 Y308">
    <cfRule type="cellIs" dxfId="783" priority="803" operator="between">
      <formula>1</formula>
      <formula>1000</formula>
    </cfRule>
  </conditionalFormatting>
  <conditionalFormatting sqref="N312 Q312 T312:W312 Z312">
    <cfRule type="cellIs" dxfId="782" priority="790" operator="between">
      <formula>1</formula>
      <formula>100000</formula>
    </cfRule>
  </conditionalFormatting>
  <conditionalFormatting sqref="L312 O312 R312 X312">
    <cfRule type="cellIs" dxfId="781" priority="792" operator="between">
      <formula>0.01</formula>
      <formula>1</formula>
    </cfRule>
  </conditionalFormatting>
  <conditionalFormatting sqref="M312 P312 S312 Y312">
    <cfRule type="cellIs" dxfId="780" priority="791" operator="between">
      <formula>1</formula>
      <formula>1000</formula>
    </cfRule>
  </conditionalFormatting>
  <conditionalFormatting sqref="N318 Q318 T318:W318 Z318">
    <cfRule type="cellIs" dxfId="779" priority="772" operator="between">
      <formula>1</formula>
      <formula>100000</formula>
    </cfRule>
  </conditionalFormatting>
  <conditionalFormatting sqref="N313 Q313 T313:W313 Z313">
    <cfRule type="cellIs" dxfId="778" priority="787" operator="between">
      <formula>1</formula>
      <formula>100000</formula>
    </cfRule>
  </conditionalFormatting>
  <conditionalFormatting sqref="L313 O313 R313 X313">
    <cfRule type="cellIs" dxfId="777" priority="789" operator="between">
      <formula>0.01</formula>
      <formula>1</formula>
    </cfRule>
  </conditionalFormatting>
  <conditionalFormatting sqref="M313 P313 S313 Y313">
    <cfRule type="cellIs" dxfId="776" priority="788" operator="between">
      <formula>1</formula>
      <formula>1000</formula>
    </cfRule>
  </conditionalFormatting>
  <conditionalFormatting sqref="N316 Q316 T316:W316 Z316">
    <cfRule type="cellIs" dxfId="775" priority="778" operator="between">
      <formula>1</formula>
      <formula>100000</formula>
    </cfRule>
  </conditionalFormatting>
  <conditionalFormatting sqref="L316 O316 R316 X316">
    <cfRule type="cellIs" dxfId="774" priority="780" operator="between">
      <formula>0.01</formula>
      <formula>1</formula>
    </cfRule>
  </conditionalFormatting>
  <conditionalFormatting sqref="M316 P316 S316 Y316">
    <cfRule type="cellIs" dxfId="773" priority="779" operator="between">
      <formula>1</formula>
      <formula>1000</formula>
    </cfRule>
  </conditionalFormatting>
  <conditionalFormatting sqref="N317 Q317 T317:W317 Z317">
    <cfRule type="cellIs" dxfId="772" priority="775" operator="between">
      <formula>1</formula>
      <formula>100000</formula>
    </cfRule>
  </conditionalFormatting>
  <conditionalFormatting sqref="L317 O317 R317 X317">
    <cfRule type="cellIs" dxfId="771" priority="777" operator="between">
      <formula>0.01</formula>
      <formula>1</formula>
    </cfRule>
  </conditionalFormatting>
  <conditionalFormatting sqref="M317 P317 S317 Y317">
    <cfRule type="cellIs" dxfId="770" priority="776" operator="between">
      <formula>1</formula>
      <formula>1000</formula>
    </cfRule>
  </conditionalFormatting>
  <conditionalFormatting sqref="L318 O318 R318 X318">
    <cfRule type="cellIs" dxfId="769" priority="774" operator="between">
      <formula>0.01</formula>
      <formula>1</formula>
    </cfRule>
  </conditionalFormatting>
  <conditionalFormatting sqref="M318 P318 S318 Y318">
    <cfRule type="cellIs" dxfId="768" priority="773" operator="between">
      <formula>1</formula>
      <formula>1000</formula>
    </cfRule>
  </conditionalFormatting>
  <conditionalFormatting sqref="N314 Q314 T314:W314 Z314">
    <cfRule type="cellIs" dxfId="767" priority="784" operator="between">
      <formula>1</formula>
      <formula>100000</formula>
    </cfRule>
  </conditionalFormatting>
  <conditionalFormatting sqref="L314 O314 R314 X314">
    <cfRule type="cellIs" dxfId="766" priority="786" operator="between">
      <formula>0.01</formula>
      <formula>1</formula>
    </cfRule>
  </conditionalFormatting>
  <conditionalFormatting sqref="M314 P314 S314 Y314">
    <cfRule type="cellIs" dxfId="765" priority="785" operator="between">
      <formula>1</formula>
      <formula>1000</formula>
    </cfRule>
  </conditionalFormatting>
  <conditionalFormatting sqref="N315 Q315 T315:W315 Z315">
    <cfRule type="cellIs" dxfId="764" priority="781" operator="between">
      <formula>1</formula>
      <formula>100000</formula>
    </cfRule>
  </conditionalFormatting>
  <conditionalFormatting sqref="L315 O315 R315 X315">
    <cfRule type="cellIs" dxfId="763" priority="783" operator="between">
      <formula>0.01</formula>
      <formula>1</formula>
    </cfRule>
  </conditionalFormatting>
  <conditionalFormatting sqref="M315 P315 S315 Y315">
    <cfRule type="cellIs" dxfId="762" priority="782" operator="between">
      <formula>1</formula>
      <formula>1000</formula>
    </cfRule>
  </conditionalFormatting>
  <conditionalFormatting sqref="N319 Q319 T319:W319 Z319">
    <cfRule type="cellIs" dxfId="761" priority="769" operator="between">
      <formula>1</formula>
      <formula>100000</formula>
    </cfRule>
  </conditionalFormatting>
  <conditionalFormatting sqref="L319 O319 R319 X319">
    <cfRule type="cellIs" dxfId="760" priority="771" operator="between">
      <formula>0.01</formula>
      <formula>1</formula>
    </cfRule>
  </conditionalFormatting>
  <conditionalFormatting sqref="M319 P319 S319 Y319">
    <cfRule type="cellIs" dxfId="759" priority="770" operator="between">
      <formula>1</formula>
      <formula>1000</formula>
    </cfRule>
  </conditionalFormatting>
  <conditionalFormatting sqref="N325 Q325 T325:W325 Z325">
    <cfRule type="cellIs" dxfId="758" priority="751" operator="between">
      <formula>1</formula>
      <formula>100000</formula>
    </cfRule>
  </conditionalFormatting>
  <conditionalFormatting sqref="N320 Q320 T320:W320 Z320">
    <cfRule type="cellIs" dxfId="757" priority="766" operator="between">
      <formula>1</formula>
      <formula>100000</formula>
    </cfRule>
  </conditionalFormatting>
  <conditionalFormatting sqref="L320 O320 R320 X320">
    <cfRule type="cellIs" dxfId="756" priority="768" operator="between">
      <formula>0.01</formula>
      <formula>1</formula>
    </cfRule>
  </conditionalFormatting>
  <conditionalFormatting sqref="M320 P320 S320 Y320">
    <cfRule type="cellIs" dxfId="755" priority="767" operator="between">
      <formula>1</formula>
      <formula>1000</formula>
    </cfRule>
  </conditionalFormatting>
  <conditionalFormatting sqref="N323 Q323 T323:W323 Z323">
    <cfRule type="cellIs" dxfId="754" priority="757" operator="between">
      <formula>1</formula>
      <formula>100000</formula>
    </cfRule>
  </conditionalFormatting>
  <conditionalFormatting sqref="L323 O323 R323 X323">
    <cfRule type="cellIs" dxfId="753" priority="759" operator="between">
      <formula>0.01</formula>
      <formula>1</formula>
    </cfRule>
  </conditionalFormatting>
  <conditionalFormatting sqref="M323 P323 S323 Y323">
    <cfRule type="cellIs" dxfId="752" priority="758" operator="between">
      <formula>1</formula>
      <formula>1000</formula>
    </cfRule>
  </conditionalFormatting>
  <conditionalFormatting sqref="N324 Q324 T324:W324 Z324">
    <cfRule type="cellIs" dxfId="751" priority="754" operator="between">
      <formula>1</formula>
      <formula>100000</formula>
    </cfRule>
  </conditionalFormatting>
  <conditionalFormatting sqref="L324 O324 R324 X324">
    <cfRule type="cellIs" dxfId="750" priority="756" operator="between">
      <formula>0.01</formula>
      <formula>1</formula>
    </cfRule>
  </conditionalFormatting>
  <conditionalFormatting sqref="M324 P324 S324 Y324">
    <cfRule type="cellIs" dxfId="749" priority="755" operator="between">
      <formula>1</formula>
      <formula>1000</formula>
    </cfRule>
  </conditionalFormatting>
  <conditionalFormatting sqref="L325 O325 R325 X325">
    <cfRule type="cellIs" dxfId="748" priority="753" operator="between">
      <formula>0.01</formula>
      <formula>1</formula>
    </cfRule>
  </conditionalFormatting>
  <conditionalFormatting sqref="M325 P325 S325 Y325">
    <cfRule type="cellIs" dxfId="747" priority="752" operator="between">
      <formula>1</formula>
      <formula>1000</formula>
    </cfRule>
  </conditionalFormatting>
  <conditionalFormatting sqref="N321 Q321 T321:W321 Z321">
    <cfRule type="cellIs" dxfId="746" priority="763" operator="between">
      <formula>1</formula>
      <formula>100000</formula>
    </cfRule>
  </conditionalFormatting>
  <conditionalFormatting sqref="L321 O321 R321 X321">
    <cfRule type="cellIs" dxfId="745" priority="765" operator="between">
      <formula>0.01</formula>
      <formula>1</formula>
    </cfRule>
  </conditionalFormatting>
  <conditionalFormatting sqref="M321 P321 S321 Y321">
    <cfRule type="cellIs" dxfId="744" priority="764" operator="between">
      <formula>1</formula>
      <formula>1000</formula>
    </cfRule>
  </conditionalFormatting>
  <conditionalFormatting sqref="N322 Q322 T322:W322 Z322">
    <cfRule type="cellIs" dxfId="743" priority="760" operator="between">
      <formula>1</formula>
      <formula>100000</formula>
    </cfRule>
  </conditionalFormatting>
  <conditionalFormatting sqref="L322 O322 R322 X322">
    <cfRule type="cellIs" dxfId="742" priority="762" operator="between">
      <formula>0.01</formula>
      <formula>1</formula>
    </cfRule>
  </conditionalFormatting>
  <conditionalFormatting sqref="M322 P322 S322 Y322">
    <cfRule type="cellIs" dxfId="741" priority="761" operator="between">
      <formula>1</formula>
      <formula>1000</formula>
    </cfRule>
  </conditionalFormatting>
  <conditionalFormatting sqref="N332 Q332 T332:W332 Z332">
    <cfRule type="cellIs" dxfId="740" priority="733" operator="between">
      <formula>1</formula>
      <formula>100000</formula>
    </cfRule>
  </conditionalFormatting>
  <conditionalFormatting sqref="N327 Q327 T327:W327 Z327">
    <cfRule type="cellIs" dxfId="739" priority="748" operator="between">
      <formula>1</formula>
      <formula>100000</formula>
    </cfRule>
  </conditionalFormatting>
  <conditionalFormatting sqref="L327 O327 R327 X327">
    <cfRule type="cellIs" dxfId="738" priority="750" operator="between">
      <formula>0.01</formula>
      <formula>1</formula>
    </cfRule>
  </conditionalFormatting>
  <conditionalFormatting sqref="M327 P327 S327 Y327">
    <cfRule type="cellIs" dxfId="737" priority="749" operator="between">
      <formula>1</formula>
      <formula>1000</formula>
    </cfRule>
  </conditionalFormatting>
  <conditionalFormatting sqref="N330 Q330 T330:W330 Z330">
    <cfRule type="cellIs" dxfId="736" priority="739" operator="between">
      <formula>1</formula>
      <formula>100000</formula>
    </cfRule>
  </conditionalFormatting>
  <conditionalFormatting sqref="L330 O330 R330 X330">
    <cfRule type="cellIs" dxfId="735" priority="741" operator="between">
      <formula>0.01</formula>
      <formula>1</formula>
    </cfRule>
  </conditionalFormatting>
  <conditionalFormatting sqref="M330 P330 S330 Y330">
    <cfRule type="cellIs" dxfId="734" priority="740" operator="between">
      <formula>1</formula>
      <formula>1000</formula>
    </cfRule>
  </conditionalFormatting>
  <conditionalFormatting sqref="N331 Q331 T331:W331 Z331">
    <cfRule type="cellIs" dxfId="733" priority="736" operator="between">
      <formula>1</formula>
      <formula>100000</formula>
    </cfRule>
  </conditionalFormatting>
  <conditionalFormatting sqref="L331 O331 R331 X331">
    <cfRule type="cellIs" dxfId="732" priority="738" operator="between">
      <formula>0.01</formula>
      <formula>1</formula>
    </cfRule>
  </conditionalFormatting>
  <conditionalFormatting sqref="M331 P331 S331 Y331">
    <cfRule type="cellIs" dxfId="731" priority="737" operator="between">
      <formula>1</formula>
      <formula>1000</formula>
    </cfRule>
  </conditionalFormatting>
  <conditionalFormatting sqref="L332 O332 R332 X332">
    <cfRule type="cellIs" dxfId="730" priority="735" operator="between">
      <formula>0.01</formula>
      <formula>1</formula>
    </cfRule>
  </conditionalFormatting>
  <conditionalFormatting sqref="M332 P332 S332 Y332">
    <cfRule type="cellIs" dxfId="729" priority="734" operator="between">
      <formula>1</formula>
      <formula>1000</formula>
    </cfRule>
  </conditionalFormatting>
  <conditionalFormatting sqref="N328 Q328 T328:W328 Z328">
    <cfRule type="cellIs" dxfId="728" priority="745" operator="between">
      <formula>1</formula>
      <formula>100000</formula>
    </cfRule>
  </conditionalFormatting>
  <conditionalFormatting sqref="L328 O328 R328 X328">
    <cfRule type="cellIs" dxfId="727" priority="747" operator="between">
      <formula>0.01</formula>
      <formula>1</formula>
    </cfRule>
  </conditionalFormatting>
  <conditionalFormatting sqref="M328 P328 S328 Y328">
    <cfRule type="cellIs" dxfId="726" priority="746" operator="between">
      <formula>1</formula>
      <formula>1000</formula>
    </cfRule>
  </conditionalFormatting>
  <conditionalFormatting sqref="N329 Q329 T329:W329 Z329">
    <cfRule type="cellIs" dxfId="725" priority="742" operator="between">
      <formula>1</formula>
      <formula>100000</formula>
    </cfRule>
  </conditionalFormatting>
  <conditionalFormatting sqref="L329 O329 R329 X329">
    <cfRule type="cellIs" dxfId="724" priority="744" operator="between">
      <formula>0.01</formula>
      <formula>1</formula>
    </cfRule>
  </conditionalFormatting>
  <conditionalFormatting sqref="M329 P329 S329 Y329">
    <cfRule type="cellIs" dxfId="723" priority="743" operator="between">
      <formula>1</formula>
      <formula>1000</formula>
    </cfRule>
  </conditionalFormatting>
  <conditionalFormatting sqref="N333 Q333 T333:W333 Z333">
    <cfRule type="cellIs" dxfId="722" priority="730" operator="between">
      <formula>1</formula>
      <formula>100000</formula>
    </cfRule>
  </conditionalFormatting>
  <conditionalFormatting sqref="L333 O333 R333 X333">
    <cfRule type="cellIs" dxfId="721" priority="732" operator="between">
      <formula>0.01</formula>
      <formula>1</formula>
    </cfRule>
  </conditionalFormatting>
  <conditionalFormatting sqref="M333 P333 S333 Y333">
    <cfRule type="cellIs" dxfId="720" priority="731" operator="between">
      <formula>1</formula>
      <formula>1000</formula>
    </cfRule>
  </conditionalFormatting>
  <conditionalFormatting sqref="N339 Q339 T339:W339 Z339">
    <cfRule type="cellIs" dxfId="719" priority="712" operator="between">
      <formula>1</formula>
      <formula>100000</formula>
    </cfRule>
  </conditionalFormatting>
  <conditionalFormatting sqref="N334 Q334 T334:W334 Z334">
    <cfRule type="cellIs" dxfId="718" priority="727" operator="between">
      <formula>1</formula>
      <formula>100000</formula>
    </cfRule>
  </conditionalFormatting>
  <conditionalFormatting sqref="L334 O334 R334 X334">
    <cfRule type="cellIs" dxfId="717" priority="729" operator="between">
      <formula>0.01</formula>
      <formula>1</formula>
    </cfRule>
  </conditionalFormatting>
  <conditionalFormatting sqref="M334 P334 S334 Y334">
    <cfRule type="cellIs" dxfId="716" priority="728" operator="between">
      <formula>1</formula>
      <formula>1000</formula>
    </cfRule>
  </conditionalFormatting>
  <conditionalFormatting sqref="N337 Q337 T337:W337 Z337">
    <cfRule type="cellIs" dxfId="715" priority="718" operator="between">
      <formula>1</formula>
      <formula>100000</formula>
    </cfRule>
  </conditionalFormatting>
  <conditionalFormatting sqref="L337 O337 R337 X337">
    <cfRule type="cellIs" dxfId="714" priority="720" operator="between">
      <formula>0.01</formula>
      <formula>1</formula>
    </cfRule>
  </conditionalFormatting>
  <conditionalFormatting sqref="M337 P337 S337 Y337">
    <cfRule type="cellIs" dxfId="713" priority="719" operator="between">
      <formula>1</formula>
      <formula>1000</formula>
    </cfRule>
  </conditionalFormatting>
  <conditionalFormatting sqref="N338 Q338 T338:W338 Z338">
    <cfRule type="cellIs" dxfId="712" priority="715" operator="between">
      <formula>1</formula>
      <formula>100000</formula>
    </cfRule>
  </conditionalFormatting>
  <conditionalFormatting sqref="L338 O338 R338 X338">
    <cfRule type="cellIs" dxfId="711" priority="717" operator="between">
      <formula>0.01</formula>
      <formula>1</formula>
    </cfRule>
  </conditionalFormatting>
  <conditionalFormatting sqref="M338 P338 S338 Y338">
    <cfRule type="cellIs" dxfId="710" priority="716" operator="between">
      <formula>1</formula>
      <formula>1000</formula>
    </cfRule>
  </conditionalFormatting>
  <conditionalFormatting sqref="L339 O339 R339 X339">
    <cfRule type="cellIs" dxfId="709" priority="714" operator="between">
      <formula>0.01</formula>
      <formula>1</formula>
    </cfRule>
  </conditionalFormatting>
  <conditionalFormatting sqref="M339 P339 S339 Y339">
    <cfRule type="cellIs" dxfId="708" priority="713" operator="between">
      <formula>1</formula>
      <formula>1000</formula>
    </cfRule>
  </conditionalFormatting>
  <conditionalFormatting sqref="N335 Q335 T335:W335 Z335">
    <cfRule type="cellIs" dxfId="707" priority="724" operator="between">
      <formula>1</formula>
      <formula>100000</formula>
    </cfRule>
  </conditionalFormatting>
  <conditionalFormatting sqref="L335 O335 R335 X335">
    <cfRule type="cellIs" dxfId="706" priority="726" operator="between">
      <formula>0.01</formula>
      <formula>1</formula>
    </cfRule>
  </conditionalFormatting>
  <conditionalFormatting sqref="M335 P335 S335 Y335">
    <cfRule type="cellIs" dxfId="705" priority="725" operator="between">
      <formula>1</formula>
      <formula>1000</formula>
    </cfRule>
  </conditionalFormatting>
  <conditionalFormatting sqref="N336 Q336 T336:W336 Z336">
    <cfRule type="cellIs" dxfId="704" priority="721" operator="between">
      <formula>1</formula>
      <formula>100000</formula>
    </cfRule>
  </conditionalFormatting>
  <conditionalFormatting sqref="L336 O336 R336 X336">
    <cfRule type="cellIs" dxfId="703" priority="723" operator="between">
      <formula>0.01</formula>
      <formula>1</formula>
    </cfRule>
  </conditionalFormatting>
  <conditionalFormatting sqref="M336 P336 S336 Y336">
    <cfRule type="cellIs" dxfId="702" priority="722" operator="between">
      <formula>1</formula>
      <formula>1000</formula>
    </cfRule>
  </conditionalFormatting>
  <conditionalFormatting sqref="N340 Q340 T340:W340 Z340">
    <cfRule type="cellIs" dxfId="701" priority="709" operator="between">
      <formula>1</formula>
      <formula>100000</formula>
    </cfRule>
  </conditionalFormatting>
  <conditionalFormatting sqref="L340 O340 R340 X340">
    <cfRule type="cellIs" dxfId="700" priority="711" operator="between">
      <formula>0.01</formula>
      <formula>1</formula>
    </cfRule>
  </conditionalFormatting>
  <conditionalFormatting sqref="M340 P340 S340 Y340">
    <cfRule type="cellIs" dxfId="699" priority="710" operator="between">
      <formula>1</formula>
      <formula>1000</formula>
    </cfRule>
  </conditionalFormatting>
  <conditionalFormatting sqref="N341 Q341 T341:W341 Z341">
    <cfRule type="cellIs" dxfId="698" priority="706" operator="between">
      <formula>1</formula>
      <formula>100000</formula>
    </cfRule>
  </conditionalFormatting>
  <conditionalFormatting sqref="L341 O341 R341 X341">
    <cfRule type="cellIs" dxfId="697" priority="708" operator="between">
      <formula>0.01</formula>
      <formula>1</formula>
    </cfRule>
  </conditionalFormatting>
  <conditionalFormatting sqref="M341 P341 S341 Y341">
    <cfRule type="cellIs" dxfId="696" priority="707" operator="between">
      <formula>1</formula>
      <formula>1000</formula>
    </cfRule>
  </conditionalFormatting>
  <conditionalFormatting sqref="N344 Q344 T344:W344 Z344">
    <cfRule type="cellIs" dxfId="695" priority="697" operator="between">
      <formula>1</formula>
      <formula>100000</formula>
    </cfRule>
  </conditionalFormatting>
  <conditionalFormatting sqref="L344 O344 R344 X344">
    <cfRule type="cellIs" dxfId="694" priority="699" operator="between">
      <formula>0.01</formula>
      <formula>1</formula>
    </cfRule>
  </conditionalFormatting>
  <conditionalFormatting sqref="M344 P344 S344 Y344">
    <cfRule type="cellIs" dxfId="693" priority="698" operator="between">
      <formula>1</formula>
      <formula>1000</formula>
    </cfRule>
  </conditionalFormatting>
  <conditionalFormatting sqref="N342 Q342 T342:W342 Z342">
    <cfRule type="cellIs" dxfId="692" priority="703" operator="between">
      <formula>1</formula>
      <formula>100000</formula>
    </cfRule>
  </conditionalFormatting>
  <conditionalFormatting sqref="L342 O342 R342 X342">
    <cfRule type="cellIs" dxfId="691" priority="705" operator="between">
      <formula>0.01</formula>
      <formula>1</formula>
    </cfRule>
  </conditionalFormatting>
  <conditionalFormatting sqref="M342 P342 S342 Y342">
    <cfRule type="cellIs" dxfId="690" priority="704" operator="between">
      <formula>1</formula>
      <formula>1000</formula>
    </cfRule>
  </conditionalFormatting>
  <conditionalFormatting sqref="N343 Q343 T343:W343 Z343">
    <cfRule type="cellIs" dxfId="689" priority="700" operator="between">
      <formula>1</formula>
      <formula>100000</formula>
    </cfRule>
  </conditionalFormatting>
  <conditionalFormatting sqref="L343 O343 R343 X343">
    <cfRule type="cellIs" dxfId="688" priority="702" operator="between">
      <formula>0.01</formula>
      <formula>1</formula>
    </cfRule>
  </conditionalFormatting>
  <conditionalFormatting sqref="M343 P343 S343 Y343">
    <cfRule type="cellIs" dxfId="687" priority="701" operator="between">
      <formula>1</formula>
      <formula>1000</formula>
    </cfRule>
  </conditionalFormatting>
  <conditionalFormatting sqref="N346 Q346 T346:W346 Z346">
    <cfRule type="cellIs" dxfId="686" priority="694" operator="between">
      <formula>1</formula>
      <formula>100000</formula>
    </cfRule>
  </conditionalFormatting>
  <conditionalFormatting sqref="L346 O346 R346 X346">
    <cfRule type="cellIs" dxfId="685" priority="696" operator="between">
      <formula>0.01</formula>
      <formula>1</formula>
    </cfRule>
  </conditionalFormatting>
  <conditionalFormatting sqref="M346 P346 S346 Y346">
    <cfRule type="cellIs" dxfId="684" priority="695" operator="between">
      <formula>1</formula>
      <formula>1000</formula>
    </cfRule>
  </conditionalFormatting>
  <conditionalFormatting sqref="N347 Q347 T347:W347 Z347">
    <cfRule type="cellIs" dxfId="683" priority="691" operator="between">
      <formula>1</formula>
      <formula>100000</formula>
    </cfRule>
  </conditionalFormatting>
  <conditionalFormatting sqref="L347 O347 R347 X347">
    <cfRule type="cellIs" dxfId="682" priority="693" operator="between">
      <formula>0.01</formula>
      <formula>1</formula>
    </cfRule>
  </conditionalFormatting>
  <conditionalFormatting sqref="M347 P347 S347 Y347">
    <cfRule type="cellIs" dxfId="681" priority="692" operator="between">
      <formula>1</formula>
      <formula>1000</formula>
    </cfRule>
  </conditionalFormatting>
  <conditionalFormatting sqref="N350 Q350 T350:W350 Z350">
    <cfRule type="cellIs" dxfId="680" priority="682" operator="between">
      <formula>1</formula>
      <formula>100000</formula>
    </cfRule>
  </conditionalFormatting>
  <conditionalFormatting sqref="L350 O350 R350 X350">
    <cfRule type="cellIs" dxfId="679" priority="684" operator="between">
      <formula>0.01</formula>
      <formula>1</formula>
    </cfRule>
  </conditionalFormatting>
  <conditionalFormatting sqref="M350 P350 S350 Y350">
    <cfRule type="cellIs" dxfId="678" priority="683" operator="between">
      <formula>1</formula>
      <formula>1000</formula>
    </cfRule>
  </conditionalFormatting>
  <conditionalFormatting sqref="N348 Q348 T348:W348 Z348">
    <cfRule type="cellIs" dxfId="677" priority="688" operator="between">
      <formula>1</formula>
      <formula>100000</formula>
    </cfRule>
  </conditionalFormatting>
  <conditionalFormatting sqref="L348 O348 R348 X348">
    <cfRule type="cellIs" dxfId="676" priority="690" operator="between">
      <formula>0.01</formula>
      <formula>1</formula>
    </cfRule>
  </conditionalFormatting>
  <conditionalFormatting sqref="M348 P348 S348 Y348">
    <cfRule type="cellIs" dxfId="675" priority="689" operator="between">
      <formula>1</formula>
      <formula>1000</formula>
    </cfRule>
  </conditionalFormatting>
  <conditionalFormatting sqref="N349 Q349 T349:W349 Z349">
    <cfRule type="cellIs" dxfId="674" priority="685" operator="between">
      <formula>1</formula>
      <formula>100000</formula>
    </cfRule>
  </conditionalFormatting>
  <conditionalFormatting sqref="L349 O349 R349 X349">
    <cfRule type="cellIs" dxfId="673" priority="687" operator="between">
      <formula>0.01</formula>
      <formula>1</formula>
    </cfRule>
  </conditionalFormatting>
  <conditionalFormatting sqref="M349 P349 S349 Y349">
    <cfRule type="cellIs" dxfId="672" priority="686" operator="between">
      <formula>1</formula>
      <formula>1000</formula>
    </cfRule>
  </conditionalFormatting>
  <conditionalFormatting sqref="N354 Q354 T354:W354 Z354">
    <cfRule type="cellIs" dxfId="671" priority="673" operator="between">
      <formula>1</formula>
      <formula>100000</formula>
    </cfRule>
  </conditionalFormatting>
  <conditionalFormatting sqref="L354 O354 R354 X354">
    <cfRule type="cellIs" dxfId="670" priority="675" operator="between">
      <formula>0.01</formula>
      <formula>1</formula>
    </cfRule>
  </conditionalFormatting>
  <conditionalFormatting sqref="M354 P354 S354 Y354">
    <cfRule type="cellIs" dxfId="669" priority="674" operator="between">
      <formula>1</formula>
      <formula>1000</formula>
    </cfRule>
  </conditionalFormatting>
  <conditionalFormatting sqref="N352 Q352 T352:W352 Z352">
    <cfRule type="cellIs" dxfId="668" priority="679" operator="between">
      <formula>1</formula>
      <formula>100000</formula>
    </cfRule>
  </conditionalFormatting>
  <conditionalFormatting sqref="L352 O352 R352 X352">
    <cfRule type="cellIs" dxfId="667" priority="681" operator="between">
      <formula>0.01</formula>
      <formula>1</formula>
    </cfRule>
  </conditionalFormatting>
  <conditionalFormatting sqref="M352 P352 S352 Y352">
    <cfRule type="cellIs" dxfId="666" priority="680" operator="between">
      <formula>1</formula>
      <formula>1000</formula>
    </cfRule>
  </conditionalFormatting>
  <conditionalFormatting sqref="N353 Q353 T353:W353 Z353">
    <cfRule type="cellIs" dxfId="665" priority="676" operator="between">
      <formula>1</formula>
      <formula>100000</formula>
    </cfRule>
  </conditionalFormatting>
  <conditionalFormatting sqref="L353 O353 R353 X353">
    <cfRule type="cellIs" dxfId="664" priority="678" operator="between">
      <formula>0.01</formula>
      <formula>1</formula>
    </cfRule>
  </conditionalFormatting>
  <conditionalFormatting sqref="M353 P353 S353 Y353">
    <cfRule type="cellIs" dxfId="663" priority="677" operator="between">
      <formula>1</formula>
      <formula>1000</formula>
    </cfRule>
  </conditionalFormatting>
  <conditionalFormatting sqref="N376 Q376 T376:W376 Z376">
    <cfRule type="cellIs" dxfId="662" priority="670" operator="between">
      <formula>1</formula>
      <formula>100000</formula>
    </cfRule>
  </conditionalFormatting>
  <conditionalFormatting sqref="L376 O376 R376 X376">
    <cfRule type="cellIs" dxfId="661" priority="672" operator="between">
      <formula>0.01</formula>
      <formula>1</formula>
    </cfRule>
  </conditionalFormatting>
  <conditionalFormatting sqref="M376 P376 S376 Y376">
    <cfRule type="cellIs" dxfId="660" priority="671" operator="between">
      <formula>1</formula>
      <formula>1000</formula>
    </cfRule>
  </conditionalFormatting>
  <conditionalFormatting sqref="N460 Q460 T460:W460 Z460">
    <cfRule type="cellIs" dxfId="659" priority="667" operator="between">
      <formula>1</formula>
      <formula>100000</formula>
    </cfRule>
  </conditionalFormatting>
  <conditionalFormatting sqref="L460 O460 R460 X460">
    <cfRule type="cellIs" dxfId="658" priority="669" operator="between">
      <formula>0.01</formula>
      <formula>1</formula>
    </cfRule>
  </conditionalFormatting>
  <conditionalFormatting sqref="M460 P460 S460 Y460">
    <cfRule type="cellIs" dxfId="657" priority="668" operator="between">
      <formula>1</formula>
      <formula>1000</formula>
    </cfRule>
  </conditionalFormatting>
  <conditionalFormatting sqref="N451 Q451 T451:W451 Z451">
    <cfRule type="cellIs" dxfId="656" priority="664" operator="between">
      <formula>1</formula>
      <formula>100000</formula>
    </cfRule>
  </conditionalFormatting>
  <conditionalFormatting sqref="L451 O451 R451 X451">
    <cfRule type="cellIs" dxfId="655" priority="666" operator="between">
      <formula>0.01</formula>
      <formula>1</formula>
    </cfRule>
  </conditionalFormatting>
  <conditionalFormatting sqref="M451 P451 S451 Y451">
    <cfRule type="cellIs" dxfId="654" priority="665" operator="between">
      <formula>1</formula>
      <formula>1000</formula>
    </cfRule>
  </conditionalFormatting>
  <conditionalFormatting sqref="N472 Q472 T472:W472 Z472">
    <cfRule type="cellIs" dxfId="653" priority="661" operator="between">
      <formula>1</formula>
      <formula>100000</formula>
    </cfRule>
  </conditionalFormatting>
  <conditionalFormatting sqref="L472 O472 R472 X472">
    <cfRule type="cellIs" dxfId="652" priority="663" operator="between">
      <formula>0.01</formula>
      <formula>1</formula>
    </cfRule>
  </conditionalFormatting>
  <conditionalFormatting sqref="M472 P472 S472 Y472">
    <cfRule type="cellIs" dxfId="651" priority="662" operator="between">
      <formula>1</formula>
      <formula>1000</formula>
    </cfRule>
  </conditionalFormatting>
  <conditionalFormatting sqref="N461 Q461 T461:W461 Z461">
    <cfRule type="cellIs" dxfId="650" priority="658" operator="between">
      <formula>1</formula>
      <formula>100000</formula>
    </cfRule>
  </conditionalFormatting>
  <conditionalFormatting sqref="L461 O461 R461 X461">
    <cfRule type="cellIs" dxfId="649" priority="660" operator="between">
      <formula>0.01</formula>
      <formula>1</formula>
    </cfRule>
  </conditionalFormatting>
  <conditionalFormatting sqref="M461 P461 S461 Y461">
    <cfRule type="cellIs" dxfId="648" priority="659" operator="between">
      <formula>1</formula>
      <formula>1000</formula>
    </cfRule>
  </conditionalFormatting>
  <conditionalFormatting sqref="N486 Q486 T486:W486 Z486">
    <cfRule type="cellIs" dxfId="647" priority="655" operator="between">
      <formula>1</formula>
      <formula>100000</formula>
    </cfRule>
  </conditionalFormatting>
  <conditionalFormatting sqref="L486 O486 R486 X486">
    <cfRule type="cellIs" dxfId="646" priority="657" operator="between">
      <formula>0.01</formula>
      <formula>1</formula>
    </cfRule>
  </conditionalFormatting>
  <conditionalFormatting sqref="M486 P486 S486 Y486">
    <cfRule type="cellIs" dxfId="645" priority="656" operator="between">
      <formula>1</formula>
      <formula>1000</formula>
    </cfRule>
  </conditionalFormatting>
  <conditionalFormatting sqref="N476 Q476 T476:W476 Z476">
    <cfRule type="cellIs" dxfId="644" priority="652" operator="between">
      <formula>1</formula>
      <formula>100000</formula>
    </cfRule>
  </conditionalFormatting>
  <conditionalFormatting sqref="L476 O476 R476 X476">
    <cfRule type="cellIs" dxfId="643" priority="654" operator="between">
      <formula>0.01</formula>
      <formula>1</formula>
    </cfRule>
  </conditionalFormatting>
  <conditionalFormatting sqref="M476 P476 S476 Y476">
    <cfRule type="cellIs" dxfId="642" priority="653" operator="between">
      <formula>1</formula>
      <formula>1000</formula>
    </cfRule>
  </conditionalFormatting>
  <conditionalFormatting sqref="N357 Q357 T357:W357 Z357">
    <cfRule type="cellIs" dxfId="641" priority="649" operator="between">
      <formula>1</formula>
      <formula>100000</formula>
    </cfRule>
  </conditionalFormatting>
  <conditionalFormatting sqref="L357 O357 R357 X357">
    <cfRule type="cellIs" dxfId="640" priority="651" operator="between">
      <formula>0.01</formula>
      <formula>1</formula>
    </cfRule>
  </conditionalFormatting>
  <conditionalFormatting sqref="M357 P357 S357 Y357">
    <cfRule type="cellIs" dxfId="639" priority="650" operator="between">
      <formula>1</formula>
      <formula>1000</formula>
    </cfRule>
  </conditionalFormatting>
  <conditionalFormatting sqref="N374 Q374 T374:W374 Z374">
    <cfRule type="cellIs" dxfId="638" priority="646" operator="between">
      <formula>1</formula>
      <formula>100000</formula>
    </cfRule>
  </conditionalFormatting>
  <conditionalFormatting sqref="L374 O374 R374 X374">
    <cfRule type="cellIs" dxfId="637" priority="648" operator="between">
      <formula>0.01</formula>
      <formula>1</formula>
    </cfRule>
  </conditionalFormatting>
  <conditionalFormatting sqref="M374 P374 S374 Y374">
    <cfRule type="cellIs" dxfId="636" priority="647" operator="between">
      <formula>1</formula>
      <formula>1000</formula>
    </cfRule>
  </conditionalFormatting>
  <conditionalFormatting sqref="N377 Q377 T377:W377 Z377">
    <cfRule type="cellIs" dxfId="635" priority="643" operator="between">
      <formula>1</formula>
      <formula>100000</formula>
    </cfRule>
  </conditionalFormatting>
  <conditionalFormatting sqref="L377 O377 R377 X377">
    <cfRule type="cellIs" dxfId="634" priority="645" operator="between">
      <formula>0.01</formula>
      <formula>1</formula>
    </cfRule>
  </conditionalFormatting>
  <conditionalFormatting sqref="M377 P377 S377 Y377">
    <cfRule type="cellIs" dxfId="633" priority="644" operator="between">
      <formula>1</formula>
      <formula>1000</formula>
    </cfRule>
  </conditionalFormatting>
  <conditionalFormatting sqref="N382 Q382 T382:W382 Z382">
    <cfRule type="cellIs" dxfId="632" priority="640" operator="between">
      <formula>1</formula>
      <formula>100000</formula>
    </cfRule>
  </conditionalFormatting>
  <conditionalFormatting sqref="L382 O382 R382 X382">
    <cfRule type="cellIs" dxfId="631" priority="642" operator="between">
      <formula>0.01</formula>
      <formula>1</formula>
    </cfRule>
  </conditionalFormatting>
  <conditionalFormatting sqref="M382 P382 S382 Y382">
    <cfRule type="cellIs" dxfId="630" priority="641" operator="between">
      <formula>1</formula>
      <formula>1000</formula>
    </cfRule>
  </conditionalFormatting>
  <conditionalFormatting sqref="N404 Q404 T404:W404 Z404">
    <cfRule type="cellIs" dxfId="629" priority="631" operator="between">
      <formula>1</formula>
      <formula>100000</formula>
    </cfRule>
  </conditionalFormatting>
  <conditionalFormatting sqref="L404 O404 R404 X404">
    <cfRule type="cellIs" dxfId="628" priority="633" operator="between">
      <formula>0.01</formula>
      <formula>1</formula>
    </cfRule>
  </conditionalFormatting>
  <conditionalFormatting sqref="M404 P404 S404 Y404">
    <cfRule type="cellIs" dxfId="627" priority="632" operator="between">
      <formula>1</formula>
      <formula>1000</formula>
    </cfRule>
  </conditionalFormatting>
  <conditionalFormatting sqref="N399 Q399 T399:W399 Z399">
    <cfRule type="cellIs" dxfId="626" priority="637" operator="between">
      <formula>1</formula>
      <formula>100000</formula>
    </cfRule>
  </conditionalFormatting>
  <conditionalFormatting sqref="L399 O399 R399 X399">
    <cfRule type="cellIs" dxfId="625" priority="639" operator="between">
      <formula>0.01</formula>
      <formula>1</formula>
    </cfRule>
  </conditionalFormatting>
  <conditionalFormatting sqref="M399 P399 S399 Y399">
    <cfRule type="cellIs" dxfId="624" priority="638" operator="between">
      <formula>1</formula>
      <formula>1000</formula>
    </cfRule>
  </conditionalFormatting>
  <conditionalFormatting sqref="N402 Q402 T402:W402 Z402">
    <cfRule type="cellIs" dxfId="623" priority="634" operator="between">
      <formula>1</formula>
      <formula>100000</formula>
    </cfRule>
  </conditionalFormatting>
  <conditionalFormatting sqref="L402 O402 R402 X402">
    <cfRule type="cellIs" dxfId="622" priority="636" operator="between">
      <formula>0.01</formula>
      <formula>1</formula>
    </cfRule>
  </conditionalFormatting>
  <conditionalFormatting sqref="M402 P402 S402 Y402">
    <cfRule type="cellIs" dxfId="621" priority="635" operator="between">
      <formula>1</formula>
      <formula>1000</formula>
    </cfRule>
  </conditionalFormatting>
  <conditionalFormatting sqref="N406 Q406 T406:W406 Z406">
    <cfRule type="cellIs" dxfId="620" priority="628" operator="between">
      <formula>1</formula>
      <formula>100000</formula>
    </cfRule>
  </conditionalFormatting>
  <conditionalFormatting sqref="L406 O406 R406 X406">
    <cfRule type="cellIs" dxfId="619" priority="630" operator="between">
      <formula>0.01</formula>
      <formula>1</formula>
    </cfRule>
  </conditionalFormatting>
  <conditionalFormatting sqref="M406 P406 S406 Y406">
    <cfRule type="cellIs" dxfId="618" priority="629" operator="between">
      <formula>1</formula>
      <formula>1000</formula>
    </cfRule>
  </conditionalFormatting>
  <conditionalFormatting sqref="N408 Q408 T408:W408 Z408">
    <cfRule type="cellIs" dxfId="617" priority="625" operator="between">
      <formula>1</formula>
      <formula>100000</formula>
    </cfRule>
  </conditionalFormatting>
  <conditionalFormatting sqref="L408 O408 R408 X408">
    <cfRule type="cellIs" dxfId="616" priority="627" operator="between">
      <formula>0.01</formula>
      <formula>1</formula>
    </cfRule>
  </conditionalFormatting>
  <conditionalFormatting sqref="M408 P408 S408 Y408">
    <cfRule type="cellIs" dxfId="615" priority="626" operator="between">
      <formula>1</formula>
      <formula>1000</formula>
    </cfRule>
  </conditionalFormatting>
  <conditionalFormatting sqref="N415 Q415 T415:W415 Z415">
    <cfRule type="cellIs" dxfId="614" priority="616" operator="between">
      <formula>1</formula>
      <formula>100000</formula>
    </cfRule>
  </conditionalFormatting>
  <conditionalFormatting sqref="L415 O415 R415 X415">
    <cfRule type="cellIs" dxfId="613" priority="618" operator="between">
      <formula>0.01</formula>
      <formula>1</formula>
    </cfRule>
  </conditionalFormatting>
  <conditionalFormatting sqref="M415 P415 S415 Y415">
    <cfRule type="cellIs" dxfId="612" priority="617" operator="between">
      <formula>1</formula>
      <formula>1000</formula>
    </cfRule>
  </conditionalFormatting>
  <conditionalFormatting sqref="N410 Q410 T410:W410 Z410">
    <cfRule type="cellIs" dxfId="611" priority="622" operator="between">
      <formula>1</formula>
      <formula>100000</formula>
    </cfRule>
  </conditionalFormatting>
  <conditionalFormatting sqref="L410 O410 R410 X410">
    <cfRule type="cellIs" dxfId="610" priority="624" operator="between">
      <formula>0.01</formula>
      <formula>1</formula>
    </cfRule>
  </conditionalFormatting>
  <conditionalFormatting sqref="M410 P410 S410 Y410">
    <cfRule type="cellIs" dxfId="609" priority="623" operator="between">
      <formula>1</formula>
      <formula>1000</formula>
    </cfRule>
  </conditionalFormatting>
  <conditionalFormatting sqref="N412 Q412 T412:W412 Z412">
    <cfRule type="cellIs" dxfId="608" priority="619" operator="between">
      <formula>1</formula>
      <formula>100000</formula>
    </cfRule>
  </conditionalFormatting>
  <conditionalFormatting sqref="L412 O412 R412 X412">
    <cfRule type="cellIs" dxfId="607" priority="621" operator="between">
      <formula>0.01</formula>
      <formula>1</formula>
    </cfRule>
  </conditionalFormatting>
  <conditionalFormatting sqref="M412 P412 S412 Y412">
    <cfRule type="cellIs" dxfId="606" priority="620" operator="between">
      <formula>1</formula>
      <formula>1000</formula>
    </cfRule>
  </conditionalFormatting>
  <conditionalFormatting sqref="N429 Q429 T429:W429 Z429">
    <cfRule type="cellIs" dxfId="605" priority="613" operator="between">
      <formula>1</formula>
      <formula>100000</formula>
    </cfRule>
  </conditionalFormatting>
  <conditionalFormatting sqref="L429 O429 R429 X429">
    <cfRule type="cellIs" dxfId="604" priority="615" operator="between">
      <formula>0.01</formula>
      <formula>1</formula>
    </cfRule>
  </conditionalFormatting>
  <conditionalFormatting sqref="M429 P429 S429 Y429">
    <cfRule type="cellIs" dxfId="603" priority="614" operator="between">
      <formula>1</formula>
      <formula>1000</formula>
    </cfRule>
  </conditionalFormatting>
  <conditionalFormatting sqref="N433 Q433 T433:W433 Z433">
    <cfRule type="cellIs" dxfId="602" priority="610" operator="between">
      <formula>1</formula>
      <formula>100000</formula>
    </cfRule>
  </conditionalFormatting>
  <conditionalFormatting sqref="L433 O433 R433 X433">
    <cfRule type="cellIs" dxfId="601" priority="612" operator="between">
      <formula>0.01</formula>
      <formula>1</formula>
    </cfRule>
  </conditionalFormatting>
  <conditionalFormatting sqref="M433 P433 S433 Y433">
    <cfRule type="cellIs" dxfId="600" priority="611" operator="between">
      <formula>1</formula>
      <formula>1000</formula>
    </cfRule>
  </conditionalFormatting>
  <conditionalFormatting sqref="N446 Q446 T446:W446 Z446">
    <cfRule type="cellIs" dxfId="599" priority="601" operator="between">
      <formula>1</formula>
      <formula>100000</formula>
    </cfRule>
  </conditionalFormatting>
  <conditionalFormatting sqref="L446 O446 R446 X446">
    <cfRule type="cellIs" dxfId="598" priority="603" operator="between">
      <formula>0.01</formula>
      <formula>1</formula>
    </cfRule>
  </conditionalFormatting>
  <conditionalFormatting sqref="M446 P446 S446 Y446">
    <cfRule type="cellIs" dxfId="597" priority="602" operator="between">
      <formula>1</formula>
      <formula>1000</formula>
    </cfRule>
  </conditionalFormatting>
  <conditionalFormatting sqref="N436 Q436 T436:W436 Z436">
    <cfRule type="cellIs" dxfId="596" priority="607" operator="between">
      <formula>1</formula>
      <formula>100000</formula>
    </cfRule>
  </conditionalFormatting>
  <conditionalFormatting sqref="L436 O436 R436 X436">
    <cfRule type="cellIs" dxfId="595" priority="609" operator="between">
      <formula>0.01</formula>
      <formula>1</formula>
    </cfRule>
  </conditionalFormatting>
  <conditionalFormatting sqref="M436 P436 S436 Y436">
    <cfRule type="cellIs" dxfId="594" priority="608" operator="between">
      <formula>1</formula>
      <formula>1000</formula>
    </cfRule>
  </conditionalFormatting>
  <conditionalFormatting sqref="N441 Q441 T441:W441 Z441">
    <cfRule type="cellIs" dxfId="593" priority="604" operator="between">
      <formula>1</formula>
      <formula>100000</formula>
    </cfRule>
  </conditionalFormatting>
  <conditionalFormatting sqref="L441 O441 R441 X441">
    <cfRule type="cellIs" dxfId="592" priority="606" operator="between">
      <formula>0.01</formula>
      <formula>1</formula>
    </cfRule>
  </conditionalFormatting>
  <conditionalFormatting sqref="M441 P441 S441 Y441">
    <cfRule type="cellIs" dxfId="591" priority="605" operator="between">
      <formula>1</formula>
      <formula>1000</formula>
    </cfRule>
  </conditionalFormatting>
  <conditionalFormatting sqref="N449 Q449 T449:W449 Z449">
    <cfRule type="cellIs" dxfId="590" priority="598" operator="between">
      <formula>1</formula>
      <formula>100000</formula>
    </cfRule>
  </conditionalFormatting>
  <conditionalFormatting sqref="L449 O449 R449 X449">
    <cfRule type="cellIs" dxfId="589" priority="600" operator="between">
      <formula>0.01</formula>
      <formula>1</formula>
    </cfRule>
  </conditionalFormatting>
  <conditionalFormatting sqref="M449 P449 S449 Y449">
    <cfRule type="cellIs" dxfId="588" priority="599" operator="between">
      <formula>1</formula>
      <formula>1000</formula>
    </cfRule>
  </conditionalFormatting>
  <conditionalFormatting sqref="N450 Q450 T450:W450 Z450">
    <cfRule type="cellIs" dxfId="587" priority="595" operator="between">
      <formula>1</formula>
      <formula>100000</formula>
    </cfRule>
  </conditionalFormatting>
  <conditionalFormatting sqref="L450 O450 R450 X450">
    <cfRule type="cellIs" dxfId="586" priority="597" operator="between">
      <formula>0.01</formula>
      <formula>1</formula>
    </cfRule>
  </conditionalFormatting>
  <conditionalFormatting sqref="M450 P450 S450 Y450">
    <cfRule type="cellIs" dxfId="585" priority="596" operator="between">
      <formula>1</formula>
      <formula>1000</formula>
    </cfRule>
  </conditionalFormatting>
  <conditionalFormatting sqref="N452 Q452 T452:W452 Z452">
    <cfRule type="cellIs" dxfId="584" priority="592" operator="between">
      <formula>1</formula>
      <formula>100000</formula>
    </cfRule>
  </conditionalFormatting>
  <conditionalFormatting sqref="L452 O452 R452 X452">
    <cfRule type="cellIs" dxfId="583" priority="594" operator="between">
      <formula>0.01</formula>
      <formula>1</formula>
    </cfRule>
  </conditionalFormatting>
  <conditionalFormatting sqref="M452 P452 S452 Y452">
    <cfRule type="cellIs" dxfId="582" priority="593" operator="between">
      <formula>1</formula>
      <formula>1000</formula>
    </cfRule>
  </conditionalFormatting>
  <conditionalFormatting sqref="N453 Q453 T453:W453 Z453">
    <cfRule type="cellIs" dxfId="581" priority="589" operator="between">
      <formula>1</formula>
      <formula>100000</formula>
    </cfRule>
  </conditionalFormatting>
  <conditionalFormatting sqref="L453 O453 R453 X453">
    <cfRule type="cellIs" dxfId="580" priority="591" operator="between">
      <formula>0.01</formula>
      <formula>1</formula>
    </cfRule>
  </conditionalFormatting>
  <conditionalFormatting sqref="M453 P453 S453 Y453">
    <cfRule type="cellIs" dxfId="579" priority="590" operator="between">
      <formula>1</formula>
      <formula>1000</formula>
    </cfRule>
  </conditionalFormatting>
  <conditionalFormatting sqref="N456 Q456 T456:W456 Z456">
    <cfRule type="cellIs" dxfId="578" priority="580" operator="between">
      <formula>1</formula>
      <formula>100000</formula>
    </cfRule>
  </conditionalFormatting>
  <conditionalFormatting sqref="L456 O456 R456 X456">
    <cfRule type="cellIs" dxfId="577" priority="582" operator="between">
      <formula>0.01</formula>
      <formula>1</formula>
    </cfRule>
  </conditionalFormatting>
  <conditionalFormatting sqref="M456 P456 S456 Y456">
    <cfRule type="cellIs" dxfId="576" priority="581" operator="between">
      <formula>1</formula>
      <formula>1000</formula>
    </cfRule>
  </conditionalFormatting>
  <conditionalFormatting sqref="N454 Q454 T454:W454 Z454">
    <cfRule type="cellIs" dxfId="575" priority="586" operator="between">
      <formula>1</formula>
      <formula>100000</formula>
    </cfRule>
  </conditionalFormatting>
  <conditionalFormatting sqref="L454 O454 R454 X454">
    <cfRule type="cellIs" dxfId="574" priority="588" operator="between">
      <formula>0.01</formula>
      <formula>1</formula>
    </cfRule>
  </conditionalFormatting>
  <conditionalFormatting sqref="M454 P454 S454 Y454">
    <cfRule type="cellIs" dxfId="573" priority="587" operator="between">
      <formula>1</formula>
      <formula>1000</formula>
    </cfRule>
  </conditionalFormatting>
  <conditionalFormatting sqref="N455 Q455 T455:W455 Z455">
    <cfRule type="cellIs" dxfId="572" priority="583" operator="between">
      <formula>1</formula>
      <formula>100000</formula>
    </cfRule>
  </conditionalFormatting>
  <conditionalFormatting sqref="L455 O455 R455 X455">
    <cfRule type="cellIs" dxfId="571" priority="585" operator="between">
      <formula>0.01</formula>
      <formula>1</formula>
    </cfRule>
  </conditionalFormatting>
  <conditionalFormatting sqref="M455 P455 S455 Y455">
    <cfRule type="cellIs" dxfId="570" priority="584" operator="between">
      <formula>1</formula>
      <formula>1000</formula>
    </cfRule>
  </conditionalFormatting>
  <conditionalFormatting sqref="N457 Q457 T457:W457 Z457">
    <cfRule type="cellIs" dxfId="569" priority="577" operator="between">
      <formula>1</formula>
      <formula>100000</formula>
    </cfRule>
  </conditionalFormatting>
  <conditionalFormatting sqref="L457 O457 R457 X457">
    <cfRule type="cellIs" dxfId="568" priority="579" operator="between">
      <formula>0.01</formula>
      <formula>1</formula>
    </cfRule>
  </conditionalFormatting>
  <conditionalFormatting sqref="M457 P457 S457 Y457">
    <cfRule type="cellIs" dxfId="567" priority="578" operator="between">
      <formula>1</formula>
      <formula>1000</formula>
    </cfRule>
  </conditionalFormatting>
  <conditionalFormatting sqref="N458 Q458 T458:W458 Z458">
    <cfRule type="cellIs" dxfId="566" priority="574" operator="between">
      <formula>1</formula>
      <formula>100000</formula>
    </cfRule>
  </conditionalFormatting>
  <conditionalFormatting sqref="L458 O458 R458 X458">
    <cfRule type="cellIs" dxfId="565" priority="576" operator="between">
      <formula>0.01</formula>
      <formula>1</formula>
    </cfRule>
  </conditionalFormatting>
  <conditionalFormatting sqref="M458 P458 S458 Y458">
    <cfRule type="cellIs" dxfId="564" priority="575" operator="between">
      <formula>1</formula>
      <formula>1000</formula>
    </cfRule>
  </conditionalFormatting>
  <conditionalFormatting sqref="N459 Q459 T459:W459 Z459">
    <cfRule type="cellIs" dxfId="563" priority="571" operator="between">
      <formula>1</formula>
      <formula>100000</formula>
    </cfRule>
  </conditionalFormatting>
  <conditionalFormatting sqref="L459 O459 R459 X459">
    <cfRule type="cellIs" dxfId="562" priority="573" operator="between">
      <formula>0.01</formula>
      <formula>1</formula>
    </cfRule>
  </conditionalFormatting>
  <conditionalFormatting sqref="M459 P459 S459 Y459">
    <cfRule type="cellIs" dxfId="561" priority="572" operator="between">
      <formula>1</formula>
      <formula>1000</formula>
    </cfRule>
  </conditionalFormatting>
  <conditionalFormatting sqref="N462 Q462 T462:W462 Z462">
    <cfRule type="cellIs" dxfId="560" priority="568" operator="between">
      <formula>1</formula>
      <formula>100000</formula>
    </cfRule>
  </conditionalFormatting>
  <conditionalFormatting sqref="L462 O462 R462 X462">
    <cfRule type="cellIs" dxfId="559" priority="570" operator="between">
      <formula>0.01</formula>
      <formula>1</formula>
    </cfRule>
  </conditionalFormatting>
  <conditionalFormatting sqref="M462 P462 S462 Y462">
    <cfRule type="cellIs" dxfId="558" priority="569" operator="between">
      <formula>1</formula>
      <formula>1000</formula>
    </cfRule>
  </conditionalFormatting>
  <conditionalFormatting sqref="N463 Q463 T463:W463 Z463">
    <cfRule type="cellIs" dxfId="557" priority="565" operator="between">
      <formula>1</formula>
      <formula>100000</formula>
    </cfRule>
  </conditionalFormatting>
  <conditionalFormatting sqref="L463 O463 R463 X463">
    <cfRule type="cellIs" dxfId="556" priority="567" operator="between">
      <formula>0.01</formula>
      <formula>1</formula>
    </cfRule>
  </conditionalFormatting>
  <conditionalFormatting sqref="M463 P463 S463 Y463">
    <cfRule type="cellIs" dxfId="555" priority="566" operator="between">
      <formula>1</formula>
      <formula>1000</formula>
    </cfRule>
  </conditionalFormatting>
  <conditionalFormatting sqref="N466 Q466 T466:W466 Z466">
    <cfRule type="cellIs" dxfId="554" priority="556" operator="between">
      <formula>1</formula>
      <formula>100000</formula>
    </cfRule>
  </conditionalFormatting>
  <conditionalFormatting sqref="L466 O466 R466 X466">
    <cfRule type="cellIs" dxfId="553" priority="558" operator="between">
      <formula>0.01</formula>
      <formula>1</formula>
    </cfRule>
  </conditionalFormatting>
  <conditionalFormatting sqref="M466 P466 S466 Y466">
    <cfRule type="cellIs" dxfId="552" priority="557" operator="between">
      <formula>1</formula>
      <formula>1000</formula>
    </cfRule>
  </conditionalFormatting>
  <conditionalFormatting sqref="N464 Q464 T464:W464 Z464">
    <cfRule type="cellIs" dxfId="551" priority="562" operator="between">
      <formula>1</formula>
      <formula>100000</formula>
    </cfRule>
  </conditionalFormatting>
  <conditionalFormatting sqref="L464 O464 R464 X464">
    <cfRule type="cellIs" dxfId="550" priority="564" operator="between">
      <formula>0.01</formula>
      <formula>1</formula>
    </cfRule>
  </conditionalFormatting>
  <conditionalFormatting sqref="M464 P464 S464 Y464">
    <cfRule type="cellIs" dxfId="549" priority="563" operator="between">
      <formula>1</formula>
      <formula>1000</formula>
    </cfRule>
  </conditionalFormatting>
  <conditionalFormatting sqref="N465 Q465 T465:W465 Z465">
    <cfRule type="cellIs" dxfId="548" priority="559" operator="between">
      <formula>1</formula>
      <formula>100000</formula>
    </cfRule>
  </conditionalFormatting>
  <conditionalFormatting sqref="L465 O465 R465 X465">
    <cfRule type="cellIs" dxfId="547" priority="561" operator="between">
      <formula>0.01</formula>
      <formula>1</formula>
    </cfRule>
  </conditionalFormatting>
  <conditionalFormatting sqref="M465 P465 S465 Y465">
    <cfRule type="cellIs" dxfId="546" priority="560" operator="between">
      <formula>1</formula>
      <formula>1000</formula>
    </cfRule>
  </conditionalFormatting>
  <conditionalFormatting sqref="N467 Q467 T467:W467 Z467">
    <cfRule type="cellIs" dxfId="545" priority="553" operator="between">
      <formula>1</formula>
      <formula>100000</formula>
    </cfRule>
  </conditionalFormatting>
  <conditionalFormatting sqref="L467 O467 R467 X467">
    <cfRule type="cellIs" dxfId="544" priority="555" operator="between">
      <formula>0.01</formula>
      <formula>1</formula>
    </cfRule>
  </conditionalFormatting>
  <conditionalFormatting sqref="M467 P467 S467 Y467">
    <cfRule type="cellIs" dxfId="543" priority="554" operator="between">
      <formula>1</formula>
      <formula>1000</formula>
    </cfRule>
  </conditionalFormatting>
  <conditionalFormatting sqref="N468 Q468 T468:W468 Z468">
    <cfRule type="cellIs" dxfId="542" priority="550" operator="between">
      <formula>1</formula>
      <formula>100000</formula>
    </cfRule>
  </conditionalFormatting>
  <conditionalFormatting sqref="L468 O468 R468 X468">
    <cfRule type="cellIs" dxfId="541" priority="552" operator="between">
      <formula>0.01</formula>
      <formula>1</formula>
    </cfRule>
  </conditionalFormatting>
  <conditionalFormatting sqref="M468 P468 S468 Y468">
    <cfRule type="cellIs" dxfId="540" priority="551" operator="between">
      <formula>1</formula>
      <formula>1000</formula>
    </cfRule>
  </conditionalFormatting>
  <conditionalFormatting sqref="N469 Q469 T469:W469 Z469">
    <cfRule type="cellIs" dxfId="539" priority="547" operator="between">
      <formula>1</formula>
      <formula>100000</formula>
    </cfRule>
  </conditionalFormatting>
  <conditionalFormatting sqref="L469 O469 R469 X469">
    <cfRule type="cellIs" dxfId="538" priority="549" operator="between">
      <formula>0.01</formula>
      <formula>1</formula>
    </cfRule>
  </conditionalFormatting>
  <conditionalFormatting sqref="M469 P469 S469 Y469">
    <cfRule type="cellIs" dxfId="537" priority="548" operator="between">
      <formula>1</formula>
      <formula>1000</formula>
    </cfRule>
  </conditionalFormatting>
  <conditionalFormatting sqref="N470 Q470 T470:W470 Z470">
    <cfRule type="cellIs" dxfId="536" priority="544" operator="between">
      <formula>1</formula>
      <formula>100000</formula>
    </cfRule>
  </conditionalFormatting>
  <conditionalFormatting sqref="L470 O470 R470 X470">
    <cfRule type="cellIs" dxfId="535" priority="546" operator="between">
      <formula>0.01</formula>
      <formula>1</formula>
    </cfRule>
  </conditionalFormatting>
  <conditionalFormatting sqref="M470 P470 S470 Y470">
    <cfRule type="cellIs" dxfId="534" priority="545" operator="between">
      <formula>1</formula>
      <formula>1000</formula>
    </cfRule>
  </conditionalFormatting>
  <conditionalFormatting sqref="N471 Q471 T471:W471 Z471">
    <cfRule type="cellIs" dxfId="533" priority="541" operator="between">
      <formula>1</formula>
      <formula>100000</formula>
    </cfRule>
  </conditionalFormatting>
  <conditionalFormatting sqref="L471 O471 R471 X471">
    <cfRule type="cellIs" dxfId="532" priority="543" operator="between">
      <formula>0.01</formula>
      <formula>1</formula>
    </cfRule>
  </conditionalFormatting>
  <conditionalFormatting sqref="M471 P471 S471 Y471">
    <cfRule type="cellIs" dxfId="531" priority="542" operator="between">
      <formula>1</formula>
      <formula>1000</formula>
    </cfRule>
  </conditionalFormatting>
  <conditionalFormatting sqref="N473 Q473 T473:W473 Z473">
    <cfRule type="cellIs" dxfId="530" priority="538" operator="between">
      <formula>1</formula>
      <formula>100000</formula>
    </cfRule>
  </conditionalFormatting>
  <conditionalFormatting sqref="L473 O473 R473 X473">
    <cfRule type="cellIs" dxfId="529" priority="540" operator="between">
      <formula>0.01</formula>
      <formula>1</formula>
    </cfRule>
  </conditionalFormatting>
  <conditionalFormatting sqref="M473 P473 S473 Y473">
    <cfRule type="cellIs" dxfId="528" priority="539" operator="between">
      <formula>1</formula>
      <formula>1000</formula>
    </cfRule>
  </conditionalFormatting>
  <conditionalFormatting sqref="N474 Q474 T474:W474 Z474">
    <cfRule type="cellIs" dxfId="527" priority="535" operator="between">
      <formula>1</formula>
      <formula>100000</formula>
    </cfRule>
  </conditionalFormatting>
  <conditionalFormatting sqref="L474 O474 R474 X474">
    <cfRule type="cellIs" dxfId="526" priority="537" operator="between">
      <formula>0.01</formula>
      <formula>1</formula>
    </cfRule>
  </conditionalFormatting>
  <conditionalFormatting sqref="M474 P474 S474 Y474">
    <cfRule type="cellIs" dxfId="525" priority="536" operator="between">
      <formula>1</formula>
      <formula>1000</formula>
    </cfRule>
  </conditionalFormatting>
  <conditionalFormatting sqref="N475 Q475 T475:W475 Z475">
    <cfRule type="cellIs" dxfId="524" priority="532" operator="between">
      <formula>1</formula>
      <formula>100000</formula>
    </cfRule>
  </conditionalFormatting>
  <conditionalFormatting sqref="L475 O475 R475 X475">
    <cfRule type="cellIs" dxfId="523" priority="534" operator="between">
      <formula>0.01</formula>
      <formula>1</formula>
    </cfRule>
  </conditionalFormatting>
  <conditionalFormatting sqref="M475 P475 S475 Y475">
    <cfRule type="cellIs" dxfId="522" priority="533" operator="between">
      <formula>1</formula>
      <formula>1000</formula>
    </cfRule>
  </conditionalFormatting>
  <conditionalFormatting sqref="N477 Q477 T477:W477 Z477">
    <cfRule type="cellIs" dxfId="521" priority="529" operator="between">
      <formula>1</formula>
      <formula>100000</formula>
    </cfRule>
  </conditionalFormatting>
  <conditionalFormatting sqref="L477 O477 R477 X477">
    <cfRule type="cellIs" dxfId="520" priority="531" operator="between">
      <formula>0.01</formula>
      <formula>1</formula>
    </cfRule>
  </conditionalFormatting>
  <conditionalFormatting sqref="M477 P477 S477 Y477">
    <cfRule type="cellIs" dxfId="519" priority="530" operator="between">
      <formula>1</formula>
      <formula>1000</formula>
    </cfRule>
  </conditionalFormatting>
  <conditionalFormatting sqref="N478 Q478 T478:W478 Z478">
    <cfRule type="cellIs" dxfId="518" priority="526" operator="between">
      <formula>1</formula>
      <formula>100000</formula>
    </cfRule>
  </conditionalFormatting>
  <conditionalFormatting sqref="L478 O478 R478 X478">
    <cfRule type="cellIs" dxfId="517" priority="528" operator="between">
      <formula>0.01</formula>
      <formula>1</formula>
    </cfRule>
  </conditionalFormatting>
  <conditionalFormatting sqref="M478 P478 S478 Y478">
    <cfRule type="cellIs" dxfId="516" priority="527" operator="between">
      <formula>1</formula>
      <formula>1000</formula>
    </cfRule>
  </conditionalFormatting>
  <conditionalFormatting sqref="N479 Q479 T479:W479 Z479">
    <cfRule type="cellIs" dxfId="515" priority="523" operator="between">
      <formula>1</formula>
      <formula>100000</formula>
    </cfRule>
  </conditionalFormatting>
  <conditionalFormatting sqref="L479 O479 R479 X479">
    <cfRule type="cellIs" dxfId="514" priority="525" operator="between">
      <formula>0.01</formula>
      <formula>1</formula>
    </cfRule>
  </conditionalFormatting>
  <conditionalFormatting sqref="M479 P479 S479 Y479">
    <cfRule type="cellIs" dxfId="513" priority="524" operator="between">
      <formula>1</formula>
      <formula>1000</formula>
    </cfRule>
  </conditionalFormatting>
  <conditionalFormatting sqref="N480 Q480 T480:W480 Z480">
    <cfRule type="cellIs" dxfId="512" priority="520" operator="between">
      <formula>1</formula>
      <formula>100000</formula>
    </cfRule>
  </conditionalFormatting>
  <conditionalFormatting sqref="L480 O480 R480 X480">
    <cfRule type="cellIs" dxfId="511" priority="522" operator="between">
      <formula>0.01</formula>
      <formula>1</formula>
    </cfRule>
  </conditionalFormatting>
  <conditionalFormatting sqref="M480 P480 S480 Y480">
    <cfRule type="cellIs" dxfId="510" priority="521" operator="between">
      <formula>1</formula>
      <formula>1000</formula>
    </cfRule>
  </conditionalFormatting>
  <conditionalFormatting sqref="N481 Q481 T481:W481 Z481">
    <cfRule type="cellIs" dxfId="509" priority="517" operator="between">
      <formula>1</formula>
      <formula>100000</formula>
    </cfRule>
  </conditionalFormatting>
  <conditionalFormatting sqref="L481 O481 R481 X481">
    <cfRule type="cellIs" dxfId="508" priority="519" operator="between">
      <formula>0.01</formula>
      <formula>1</formula>
    </cfRule>
  </conditionalFormatting>
  <conditionalFormatting sqref="M481 P481 S481 Y481">
    <cfRule type="cellIs" dxfId="507" priority="518" operator="between">
      <formula>1</formula>
      <formula>1000</formula>
    </cfRule>
  </conditionalFormatting>
  <conditionalFormatting sqref="N482 Q482 T482:W482 Z482">
    <cfRule type="cellIs" dxfId="506" priority="514" operator="between">
      <formula>1</formula>
      <formula>100000</formula>
    </cfRule>
  </conditionalFormatting>
  <conditionalFormatting sqref="L482 O482 R482 X482">
    <cfRule type="cellIs" dxfId="505" priority="516" operator="between">
      <formula>0.01</formula>
      <formula>1</formula>
    </cfRule>
  </conditionalFormatting>
  <conditionalFormatting sqref="M482 P482 S482 Y482">
    <cfRule type="cellIs" dxfId="504" priority="515" operator="between">
      <formula>1</formula>
      <formula>1000</formula>
    </cfRule>
  </conditionalFormatting>
  <conditionalFormatting sqref="N483 Q483 T483:W483 Z483">
    <cfRule type="cellIs" dxfId="503" priority="511" operator="between">
      <formula>1</formula>
      <formula>100000</formula>
    </cfRule>
  </conditionalFormatting>
  <conditionalFormatting sqref="L483 O483 R483 X483">
    <cfRule type="cellIs" dxfId="502" priority="513" operator="between">
      <formula>0.01</formula>
      <formula>1</formula>
    </cfRule>
  </conditionalFormatting>
  <conditionalFormatting sqref="M483 P483 S483 Y483">
    <cfRule type="cellIs" dxfId="501" priority="512" operator="between">
      <formula>1</formula>
      <formula>1000</formula>
    </cfRule>
  </conditionalFormatting>
  <conditionalFormatting sqref="N484 Q484 T484:W484 Z484">
    <cfRule type="cellIs" dxfId="500" priority="508" operator="between">
      <formula>1</formula>
      <formula>100000</formula>
    </cfRule>
  </conditionalFormatting>
  <conditionalFormatting sqref="L484 O484 R484 X484">
    <cfRule type="cellIs" dxfId="499" priority="510" operator="between">
      <formula>0.01</formula>
      <formula>1</formula>
    </cfRule>
  </conditionalFormatting>
  <conditionalFormatting sqref="M484 P484 S484 Y484">
    <cfRule type="cellIs" dxfId="498" priority="509" operator="between">
      <formula>1</formula>
      <formula>1000</formula>
    </cfRule>
  </conditionalFormatting>
  <conditionalFormatting sqref="N485 Q485 T485:W485 Z485">
    <cfRule type="cellIs" dxfId="497" priority="505" operator="between">
      <formula>1</formula>
      <formula>100000</formula>
    </cfRule>
  </conditionalFormatting>
  <conditionalFormatting sqref="L485 O485 R485 X485">
    <cfRule type="cellIs" dxfId="496" priority="507" operator="between">
      <formula>0.01</formula>
      <formula>1</formula>
    </cfRule>
  </conditionalFormatting>
  <conditionalFormatting sqref="M485 P485 S485 Y485">
    <cfRule type="cellIs" dxfId="495" priority="506" operator="between">
      <formula>1</formula>
      <formula>1000</formula>
    </cfRule>
  </conditionalFormatting>
  <conditionalFormatting sqref="N487 Q487 T487:W487 Z487">
    <cfRule type="cellIs" dxfId="494" priority="493" operator="between">
      <formula>1</formula>
      <formula>100000</formula>
    </cfRule>
  </conditionalFormatting>
  <conditionalFormatting sqref="L487 O487 R487 X487">
    <cfRule type="cellIs" dxfId="493" priority="495" operator="between">
      <formula>0.01</formula>
      <formula>1</formula>
    </cfRule>
  </conditionalFormatting>
  <conditionalFormatting sqref="M487 P487 S487 Y487">
    <cfRule type="cellIs" dxfId="492" priority="494" operator="between">
      <formula>1</formula>
      <formula>1000</formula>
    </cfRule>
  </conditionalFormatting>
  <conditionalFormatting sqref="N488 Q488 T488:W488 Z488">
    <cfRule type="cellIs" dxfId="491" priority="490" operator="between">
      <formula>1</formula>
      <formula>100000</formula>
    </cfRule>
  </conditionalFormatting>
  <conditionalFormatting sqref="L488 O488 R488 X488">
    <cfRule type="cellIs" dxfId="490" priority="492" operator="between">
      <formula>0.01</formula>
      <formula>1</formula>
    </cfRule>
  </conditionalFormatting>
  <conditionalFormatting sqref="M488 P488 S488 Y488">
    <cfRule type="cellIs" dxfId="489" priority="491" operator="between">
      <formula>1</formula>
      <formula>1000</formula>
    </cfRule>
  </conditionalFormatting>
  <conditionalFormatting sqref="N489 Q489 T489:W489 Z489">
    <cfRule type="cellIs" dxfId="488" priority="487" operator="between">
      <formula>1</formula>
      <formula>100000</formula>
    </cfRule>
  </conditionalFormatting>
  <conditionalFormatting sqref="L489 O489 R489 X489">
    <cfRule type="cellIs" dxfId="487" priority="489" operator="between">
      <formula>0.01</formula>
      <formula>1</formula>
    </cfRule>
  </conditionalFormatting>
  <conditionalFormatting sqref="M489 P489 S489 Y489">
    <cfRule type="cellIs" dxfId="486" priority="488" operator="between">
      <formula>1</formula>
      <formula>1000</formula>
    </cfRule>
  </conditionalFormatting>
  <conditionalFormatting sqref="N490 Q490 T490:W490 Z490">
    <cfRule type="cellIs" dxfId="485" priority="484" operator="between">
      <formula>1</formula>
      <formula>100000</formula>
    </cfRule>
  </conditionalFormatting>
  <conditionalFormatting sqref="L490 O490 R490 X490">
    <cfRule type="cellIs" dxfId="484" priority="486" operator="between">
      <formula>0.01</formula>
      <formula>1</formula>
    </cfRule>
  </conditionalFormatting>
  <conditionalFormatting sqref="M490 P490 S490 Y490">
    <cfRule type="cellIs" dxfId="483" priority="485" operator="between">
      <formula>1</formula>
      <formula>1000</formula>
    </cfRule>
  </conditionalFormatting>
  <conditionalFormatting sqref="N491 Q491 T491:W491 Z491">
    <cfRule type="cellIs" dxfId="482" priority="481" operator="between">
      <formula>1</formula>
      <formula>100000</formula>
    </cfRule>
  </conditionalFormatting>
  <conditionalFormatting sqref="L491 O491 R491 X491">
    <cfRule type="cellIs" dxfId="481" priority="483" operator="between">
      <formula>0.01</formula>
      <formula>1</formula>
    </cfRule>
  </conditionalFormatting>
  <conditionalFormatting sqref="M491 P491 S491 Y491">
    <cfRule type="cellIs" dxfId="480" priority="482" operator="between">
      <formula>1</formula>
      <formula>1000</formula>
    </cfRule>
  </conditionalFormatting>
  <conditionalFormatting sqref="N492 Q492 T492:W492 Z492">
    <cfRule type="cellIs" dxfId="479" priority="478" operator="between">
      <formula>1</formula>
      <formula>100000</formula>
    </cfRule>
  </conditionalFormatting>
  <conditionalFormatting sqref="L492 O492 R492 X492">
    <cfRule type="cellIs" dxfId="478" priority="480" operator="between">
      <formula>0.01</formula>
      <formula>1</formula>
    </cfRule>
  </conditionalFormatting>
  <conditionalFormatting sqref="M492 P492 S492 Y492">
    <cfRule type="cellIs" dxfId="477" priority="479" operator="between">
      <formula>1</formula>
      <formula>1000</formula>
    </cfRule>
  </conditionalFormatting>
  <conditionalFormatting sqref="N493 Q493 T493:W493 Z493">
    <cfRule type="cellIs" dxfId="476" priority="475" operator="between">
      <formula>1</formula>
      <formula>100000</formula>
    </cfRule>
  </conditionalFormatting>
  <conditionalFormatting sqref="L493 O493 R493 X493">
    <cfRule type="cellIs" dxfId="475" priority="477" operator="between">
      <formula>0.01</formula>
      <formula>1</formula>
    </cfRule>
  </conditionalFormatting>
  <conditionalFormatting sqref="M493 P493 S493 Y493">
    <cfRule type="cellIs" dxfId="474" priority="476" operator="between">
      <formula>1</formula>
      <formula>1000</formula>
    </cfRule>
  </conditionalFormatting>
  <conditionalFormatting sqref="N494 Q494 T494:W494 Z494">
    <cfRule type="cellIs" dxfId="473" priority="472" operator="between">
      <formula>1</formula>
      <formula>100000</formula>
    </cfRule>
  </conditionalFormatting>
  <conditionalFormatting sqref="L494 O494 R494 X494">
    <cfRule type="cellIs" dxfId="472" priority="474" operator="between">
      <formula>0.01</formula>
      <formula>1</formula>
    </cfRule>
  </conditionalFormatting>
  <conditionalFormatting sqref="M494 P494 S494 Y494">
    <cfRule type="cellIs" dxfId="471" priority="473" operator="between">
      <formula>1</formula>
      <formula>1000</formula>
    </cfRule>
  </conditionalFormatting>
  <conditionalFormatting sqref="N495 Q495 T495:W495 Z495">
    <cfRule type="cellIs" dxfId="470" priority="469" operator="between">
      <formula>1</formula>
      <formula>100000</formula>
    </cfRule>
  </conditionalFormatting>
  <conditionalFormatting sqref="L495 O495 R495 X495">
    <cfRule type="cellIs" dxfId="469" priority="471" operator="between">
      <formula>0.01</formula>
      <formula>1</formula>
    </cfRule>
  </conditionalFormatting>
  <conditionalFormatting sqref="M495 P495 S495 Y495">
    <cfRule type="cellIs" dxfId="468" priority="470" operator="between">
      <formula>1</formula>
      <formula>1000</formula>
    </cfRule>
  </conditionalFormatting>
  <conditionalFormatting sqref="N496 Q496 T496:W496 Z496">
    <cfRule type="cellIs" dxfId="467" priority="466" operator="between">
      <formula>1</formula>
      <formula>100000</formula>
    </cfRule>
  </conditionalFormatting>
  <conditionalFormatting sqref="L496 O496 R496 X496">
    <cfRule type="cellIs" dxfId="466" priority="468" operator="between">
      <formula>0.01</formula>
      <formula>1</formula>
    </cfRule>
  </conditionalFormatting>
  <conditionalFormatting sqref="M496 P496 S496 Y496">
    <cfRule type="cellIs" dxfId="465" priority="467" operator="between">
      <formula>1</formula>
      <formula>1000</formula>
    </cfRule>
  </conditionalFormatting>
  <conditionalFormatting sqref="N497 Q497 T497:W497 Z497">
    <cfRule type="cellIs" dxfId="464" priority="463" operator="between">
      <formula>1</formula>
      <formula>100000</formula>
    </cfRule>
  </conditionalFormatting>
  <conditionalFormatting sqref="L497 O497 R497 X497">
    <cfRule type="cellIs" dxfId="463" priority="465" operator="between">
      <formula>0.01</formula>
      <formula>1</formula>
    </cfRule>
  </conditionalFormatting>
  <conditionalFormatting sqref="M497 P497 S497 Y497">
    <cfRule type="cellIs" dxfId="462" priority="464" operator="between">
      <formula>1</formula>
      <formula>1000</formula>
    </cfRule>
  </conditionalFormatting>
  <conditionalFormatting sqref="N498 Q498 T498:W498 Z498">
    <cfRule type="cellIs" dxfId="461" priority="460" operator="between">
      <formula>1</formula>
      <formula>100000</formula>
    </cfRule>
  </conditionalFormatting>
  <conditionalFormatting sqref="L498 O498 R498 X498">
    <cfRule type="cellIs" dxfId="460" priority="462" operator="between">
      <formula>0.01</formula>
      <formula>1</formula>
    </cfRule>
  </conditionalFormatting>
  <conditionalFormatting sqref="M498 P498 S498 Y498">
    <cfRule type="cellIs" dxfId="459" priority="461" operator="between">
      <formula>1</formula>
      <formula>1000</formula>
    </cfRule>
  </conditionalFormatting>
  <conditionalFormatting sqref="N499 Q499 T499:W499 Z499">
    <cfRule type="cellIs" dxfId="458" priority="457" operator="between">
      <formula>1</formula>
      <formula>100000</formula>
    </cfRule>
  </conditionalFormatting>
  <conditionalFormatting sqref="L499 O499 R499 X499">
    <cfRule type="cellIs" dxfId="457" priority="459" operator="between">
      <formula>0.01</formula>
      <formula>1</formula>
    </cfRule>
  </conditionalFormatting>
  <conditionalFormatting sqref="M499 P499 S499 Y499">
    <cfRule type="cellIs" dxfId="456" priority="458" operator="between">
      <formula>1</formula>
      <formula>1000</formula>
    </cfRule>
  </conditionalFormatting>
  <conditionalFormatting sqref="N500 Q500 T500:W500 Z500">
    <cfRule type="cellIs" dxfId="455" priority="454" operator="between">
      <formula>1</formula>
      <formula>100000</formula>
    </cfRule>
  </conditionalFormatting>
  <conditionalFormatting sqref="L500 O500 R500 X500">
    <cfRule type="cellIs" dxfId="454" priority="456" operator="between">
      <formula>0.01</formula>
      <formula>1</formula>
    </cfRule>
  </conditionalFormatting>
  <conditionalFormatting sqref="M500 P500 S500 Y500">
    <cfRule type="cellIs" dxfId="453" priority="455" operator="between">
      <formula>1</formula>
      <formula>1000</formula>
    </cfRule>
  </conditionalFormatting>
  <conditionalFormatting sqref="N501 Q501 T501:W501 Z501">
    <cfRule type="cellIs" dxfId="452" priority="451" operator="between">
      <formula>1</formula>
      <formula>100000</formula>
    </cfRule>
  </conditionalFormatting>
  <conditionalFormatting sqref="L501 O501 R501 X501">
    <cfRule type="cellIs" dxfId="451" priority="453" operator="between">
      <formula>0.01</formula>
      <formula>1</formula>
    </cfRule>
  </conditionalFormatting>
  <conditionalFormatting sqref="M501 P501 S501 Y501">
    <cfRule type="cellIs" dxfId="450" priority="452" operator="between">
      <formula>1</formula>
      <formula>1000</formula>
    </cfRule>
  </conditionalFormatting>
  <conditionalFormatting sqref="N502 Q502 T502:W502 Z502">
    <cfRule type="cellIs" dxfId="449" priority="448" operator="between">
      <formula>1</formula>
      <formula>100000</formula>
    </cfRule>
  </conditionalFormatting>
  <conditionalFormatting sqref="L502 O502 R502 X502">
    <cfRule type="cellIs" dxfId="448" priority="450" operator="between">
      <formula>0.01</formula>
      <formula>1</formula>
    </cfRule>
  </conditionalFormatting>
  <conditionalFormatting sqref="M502 P502 S502 Y502">
    <cfRule type="cellIs" dxfId="447" priority="449" operator="between">
      <formula>1</formula>
      <formula>1000</formula>
    </cfRule>
  </conditionalFormatting>
  <conditionalFormatting sqref="N503 Q503 T503:W503 Z503">
    <cfRule type="cellIs" dxfId="446" priority="445" operator="between">
      <formula>1</formula>
      <formula>100000</formula>
    </cfRule>
  </conditionalFormatting>
  <conditionalFormatting sqref="L503 O503 R503 X503">
    <cfRule type="cellIs" dxfId="445" priority="447" operator="between">
      <formula>0.01</formula>
      <formula>1</formula>
    </cfRule>
  </conditionalFormatting>
  <conditionalFormatting sqref="M503 P503 S503 Y503">
    <cfRule type="cellIs" dxfId="444" priority="446" operator="between">
      <formula>1</formula>
      <formula>1000</formula>
    </cfRule>
  </conditionalFormatting>
  <conditionalFormatting sqref="N504 Q504 T504:W504 Z504">
    <cfRule type="cellIs" dxfId="443" priority="442" operator="between">
      <formula>1</formula>
      <formula>100000</formula>
    </cfRule>
  </conditionalFormatting>
  <conditionalFormatting sqref="L504 O504 R504 X504">
    <cfRule type="cellIs" dxfId="442" priority="444" operator="between">
      <formula>0.01</formula>
      <formula>1</formula>
    </cfRule>
  </conditionalFormatting>
  <conditionalFormatting sqref="M504 P504 S504 Y504">
    <cfRule type="cellIs" dxfId="441" priority="443" operator="between">
      <formula>1</formula>
      <formula>1000</formula>
    </cfRule>
  </conditionalFormatting>
  <conditionalFormatting sqref="N505 Q505 T505:W505 Z505">
    <cfRule type="cellIs" dxfId="440" priority="439" operator="between">
      <formula>1</formula>
      <formula>100000</formula>
    </cfRule>
  </conditionalFormatting>
  <conditionalFormatting sqref="L505 O505 R505 X505">
    <cfRule type="cellIs" dxfId="439" priority="441" operator="between">
      <formula>0.01</formula>
      <formula>1</formula>
    </cfRule>
  </conditionalFormatting>
  <conditionalFormatting sqref="M505 P505 S505 Y505">
    <cfRule type="cellIs" dxfId="438" priority="440" operator="between">
      <formula>1</formula>
      <formula>1000</formula>
    </cfRule>
  </conditionalFormatting>
  <conditionalFormatting sqref="N34 Q34 T34:W34 Z34">
    <cfRule type="cellIs" dxfId="437" priority="436" operator="between">
      <formula>1</formula>
      <formula>100000</formula>
    </cfRule>
  </conditionalFormatting>
  <conditionalFormatting sqref="L34 O34 R34 X34">
    <cfRule type="cellIs" dxfId="436" priority="438" operator="between">
      <formula>0.01</formula>
      <formula>1</formula>
    </cfRule>
  </conditionalFormatting>
  <conditionalFormatting sqref="M34 P34 S34 Y34">
    <cfRule type="cellIs" dxfId="435" priority="437" operator="between">
      <formula>1</formula>
      <formula>1000</formula>
    </cfRule>
  </conditionalFormatting>
  <conditionalFormatting sqref="N35 Q35 T35:W35 Z35">
    <cfRule type="cellIs" dxfId="434" priority="433" operator="between">
      <formula>1</formula>
      <formula>100000</formula>
    </cfRule>
  </conditionalFormatting>
  <conditionalFormatting sqref="L35 O35 R35 X35">
    <cfRule type="cellIs" dxfId="433" priority="435" operator="between">
      <formula>0.01</formula>
      <formula>1</formula>
    </cfRule>
  </conditionalFormatting>
  <conditionalFormatting sqref="M35 P35 S35 Y35">
    <cfRule type="cellIs" dxfId="432" priority="434" operator="between">
      <formula>1</formula>
      <formula>1000</formula>
    </cfRule>
  </conditionalFormatting>
  <conditionalFormatting sqref="N36 Q36 T36:W36 Z36">
    <cfRule type="cellIs" dxfId="431" priority="430" operator="between">
      <formula>1</formula>
      <formula>100000</formula>
    </cfRule>
  </conditionalFormatting>
  <conditionalFormatting sqref="L36 O36 R36 X36">
    <cfRule type="cellIs" dxfId="430" priority="432" operator="between">
      <formula>0.01</formula>
      <formula>1</formula>
    </cfRule>
  </conditionalFormatting>
  <conditionalFormatting sqref="M36 P36 S36 Y36">
    <cfRule type="cellIs" dxfId="429" priority="431" operator="between">
      <formula>1</formula>
      <formula>1000</formula>
    </cfRule>
  </conditionalFormatting>
  <conditionalFormatting sqref="N37 Q37 T37:W37 Z37">
    <cfRule type="cellIs" dxfId="428" priority="427" operator="between">
      <formula>1</formula>
      <formula>100000</formula>
    </cfRule>
  </conditionalFormatting>
  <conditionalFormatting sqref="L37 O37 R37 X37">
    <cfRule type="cellIs" dxfId="427" priority="429" operator="between">
      <formula>0.01</formula>
      <formula>1</formula>
    </cfRule>
  </conditionalFormatting>
  <conditionalFormatting sqref="M37 P37 S37 Y37">
    <cfRule type="cellIs" dxfId="426" priority="428" operator="between">
      <formula>1</formula>
      <formula>1000</formula>
    </cfRule>
  </conditionalFormatting>
  <conditionalFormatting sqref="N39 Q39 T39:W39 Z39">
    <cfRule type="cellIs" dxfId="425" priority="424" operator="between">
      <formula>1</formula>
      <formula>100000</formula>
    </cfRule>
  </conditionalFormatting>
  <conditionalFormatting sqref="L39 O39 R39 X39">
    <cfRule type="cellIs" dxfId="424" priority="426" operator="between">
      <formula>0.01</formula>
      <formula>1</formula>
    </cfRule>
  </conditionalFormatting>
  <conditionalFormatting sqref="M39 P39 S39 Y39">
    <cfRule type="cellIs" dxfId="423" priority="425" operator="between">
      <formula>1</formula>
      <formula>1000</formula>
    </cfRule>
  </conditionalFormatting>
  <conditionalFormatting sqref="N40 Q40 T40:W40 Z40">
    <cfRule type="cellIs" dxfId="422" priority="421" operator="between">
      <formula>1</formula>
      <formula>100000</formula>
    </cfRule>
  </conditionalFormatting>
  <conditionalFormatting sqref="L40 O40 R40 X40">
    <cfRule type="cellIs" dxfId="421" priority="423" operator="between">
      <formula>0.01</formula>
      <formula>1</formula>
    </cfRule>
  </conditionalFormatting>
  <conditionalFormatting sqref="M40 P40 S40 Y40">
    <cfRule type="cellIs" dxfId="420" priority="422" operator="between">
      <formula>1</formula>
      <formula>1000</formula>
    </cfRule>
  </conditionalFormatting>
  <conditionalFormatting sqref="N41 Q41 T41:W41 Z41">
    <cfRule type="cellIs" dxfId="419" priority="418" operator="between">
      <formula>1</formula>
      <formula>100000</formula>
    </cfRule>
  </conditionalFormatting>
  <conditionalFormatting sqref="L41 O41 R41 X41">
    <cfRule type="cellIs" dxfId="418" priority="420" operator="between">
      <formula>0.01</formula>
      <formula>1</formula>
    </cfRule>
  </conditionalFormatting>
  <conditionalFormatting sqref="M41 P41 S41 Y41">
    <cfRule type="cellIs" dxfId="417" priority="419" operator="between">
      <formula>1</formula>
      <formula>1000</formula>
    </cfRule>
  </conditionalFormatting>
  <conditionalFormatting sqref="N42 Q42 T42:W42 Z42">
    <cfRule type="cellIs" dxfId="416" priority="415" operator="between">
      <formula>1</formula>
      <formula>100000</formula>
    </cfRule>
  </conditionalFormatting>
  <conditionalFormatting sqref="L42 O42 R42 X42">
    <cfRule type="cellIs" dxfId="415" priority="417" operator="between">
      <formula>0.01</formula>
      <formula>1</formula>
    </cfRule>
  </conditionalFormatting>
  <conditionalFormatting sqref="M42 P42 S42 Y42">
    <cfRule type="cellIs" dxfId="414" priority="416" operator="between">
      <formula>1</formula>
      <formula>1000</formula>
    </cfRule>
  </conditionalFormatting>
  <conditionalFormatting sqref="N43 Q43 T43:W43 Z43">
    <cfRule type="cellIs" dxfId="413" priority="412" operator="between">
      <formula>1</formula>
      <formula>100000</formula>
    </cfRule>
  </conditionalFormatting>
  <conditionalFormatting sqref="L43 O43 R43 X43">
    <cfRule type="cellIs" dxfId="412" priority="414" operator="between">
      <formula>0.01</formula>
      <formula>1</formula>
    </cfRule>
  </conditionalFormatting>
  <conditionalFormatting sqref="M43 P43 S43 Y43">
    <cfRule type="cellIs" dxfId="411" priority="413" operator="between">
      <formula>1</formula>
      <formula>1000</formula>
    </cfRule>
  </conditionalFormatting>
  <conditionalFormatting sqref="N44 Q44 T44:W44 Z44">
    <cfRule type="cellIs" dxfId="410" priority="409" operator="between">
      <formula>1</formula>
      <formula>100000</formula>
    </cfRule>
  </conditionalFormatting>
  <conditionalFormatting sqref="L44 O44 R44 X44">
    <cfRule type="cellIs" dxfId="409" priority="411" operator="between">
      <formula>0.01</formula>
      <formula>1</formula>
    </cfRule>
  </conditionalFormatting>
  <conditionalFormatting sqref="M44 P44 S44 Y44">
    <cfRule type="cellIs" dxfId="408" priority="410" operator="between">
      <formula>1</formula>
      <formula>1000</formula>
    </cfRule>
  </conditionalFormatting>
  <conditionalFormatting sqref="N45 Q45 T45:W45 Z45">
    <cfRule type="cellIs" dxfId="407" priority="406" operator="between">
      <formula>1</formula>
      <formula>100000</formula>
    </cfRule>
  </conditionalFormatting>
  <conditionalFormatting sqref="L45 O45 R45 X45">
    <cfRule type="cellIs" dxfId="406" priority="408" operator="between">
      <formula>0.01</formula>
      <formula>1</formula>
    </cfRule>
  </conditionalFormatting>
  <conditionalFormatting sqref="M45 P45 S45 Y45">
    <cfRule type="cellIs" dxfId="405" priority="407" operator="between">
      <formula>1</formula>
      <formula>1000</formula>
    </cfRule>
  </conditionalFormatting>
  <conditionalFormatting sqref="N46 Q46 T46:W46 Z46">
    <cfRule type="cellIs" dxfId="404" priority="403" operator="between">
      <formula>1</formula>
      <formula>100000</formula>
    </cfRule>
  </conditionalFormatting>
  <conditionalFormatting sqref="L46 O46 R46 X46">
    <cfRule type="cellIs" dxfId="403" priority="405" operator="between">
      <formula>0.01</formula>
      <formula>1</formula>
    </cfRule>
  </conditionalFormatting>
  <conditionalFormatting sqref="M46 P46 S46 Y46">
    <cfRule type="cellIs" dxfId="402" priority="404" operator="between">
      <formula>1</formula>
      <formula>1000</formula>
    </cfRule>
  </conditionalFormatting>
  <conditionalFormatting sqref="N47 Q47 T47:W47 Z47">
    <cfRule type="cellIs" dxfId="401" priority="400" operator="between">
      <formula>1</formula>
      <formula>100000</formula>
    </cfRule>
  </conditionalFormatting>
  <conditionalFormatting sqref="L47 O47 R47 X47">
    <cfRule type="cellIs" dxfId="400" priority="402" operator="between">
      <formula>0.01</formula>
      <formula>1</formula>
    </cfRule>
  </conditionalFormatting>
  <conditionalFormatting sqref="M47 P47 S47 Y47">
    <cfRule type="cellIs" dxfId="399" priority="401" operator="between">
      <formula>1</formula>
      <formula>1000</formula>
    </cfRule>
  </conditionalFormatting>
  <conditionalFormatting sqref="N48 Q48 T48:W48 Z48">
    <cfRule type="cellIs" dxfId="398" priority="397" operator="between">
      <formula>1</formula>
      <formula>100000</formula>
    </cfRule>
  </conditionalFormatting>
  <conditionalFormatting sqref="L48 O48 R48 X48">
    <cfRule type="cellIs" dxfId="397" priority="399" operator="between">
      <formula>0.01</formula>
      <formula>1</formula>
    </cfRule>
  </conditionalFormatting>
  <conditionalFormatting sqref="M48 P48 S48 Y48">
    <cfRule type="cellIs" dxfId="396" priority="398" operator="between">
      <formula>1</formula>
      <formula>1000</formula>
    </cfRule>
  </conditionalFormatting>
  <conditionalFormatting sqref="N50 Q50 T50:W50 Z50">
    <cfRule type="cellIs" dxfId="395" priority="394" operator="between">
      <formula>1</formula>
      <formula>100000</formula>
    </cfRule>
  </conditionalFormatting>
  <conditionalFormatting sqref="L50 O50 R50 X50">
    <cfRule type="cellIs" dxfId="394" priority="396" operator="between">
      <formula>0.01</formula>
      <formula>1</formula>
    </cfRule>
  </conditionalFormatting>
  <conditionalFormatting sqref="M50 P50 S50 Y50">
    <cfRule type="cellIs" dxfId="393" priority="395" operator="between">
      <formula>1</formula>
      <formula>1000</formula>
    </cfRule>
  </conditionalFormatting>
  <conditionalFormatting sqref="N51 Q51 T51:W51 Z51">
    <cfRule type="cellIs" dxfId="392" priority="391" operator="between">
      <formula>1</formula>
      <formula>100000</formula>
    </cfRule>
  </conditionalFormatting>
  <conditionalFormatting sqref="L51 O51 R51 X51">
    <cfRule type="cellIs" dxfId="391" priority="393" operator="between">
      <formula>0.01</formula>
      <formula>1</formula>
    </cfRule>
  </conditionalFormatting>
  <conditionalFormatting sqref="M51 P51 S51 Y51">
    <cfRule type="cellIs" dxfId="390" priority="392" operator="between">
      <formula>1</formula>
      <formula>1000</formula>
    </cfRule>
  </conditionalFormatting>
  <conditionalFormatting sqref="N53 Q53 T53:W53 Z53">
    <cfRule type="cellIs" dxfId="389" priority="388" operator="between">
      <formula>1</formula>
      <formula>100000</formula>
    </cfRule>
  </conditionalFormatting>
  <conditionalFormatting sqref="L53 O53 R53 X53">
    <cfRule type="cellIs" dxfId="388" priority="390" operator="between">
      <formula>0.01</formula>
      <formula>1</formula>
    </cfRule>
  </conditionalFormatting>
  <conditionalFormatting sqref="M53 P53 S53 Y53">
    <cfRule type="cellIs" dxfId="387" priority="389" operator="between">
      <formula>1</formula>
      <formula>1000</formula>
    </cfRule>
  </conditionalFormatting>
  <conditionalFormatting sqref="N55 Q55 T55:W55 Z55">
    <cfRule type="cellIs" dxfId="386" priority="385" operator="between">
      <formula>1</formula>
      <formula>100000</formula>
    </cfRule>
  </conditionalFormatting>
  <conditionalFormatting sqref="L55 O55 R55 X55">
    <cfRule type="cellIs" dxfId="385" priority="387" operator="between">
      <formula>0.01</formula>
      <formula>1</formula>
    </cfRule>
  </conditionalFormatting>
  <conditionalFormatting sqref="M55 P55 S55 Y55">
    <cfRule type="cellIs" dxfId="384" priority="386" operator="between">
      <formula>1</formula>
      <formula>1000</formula>
    </cfRule>
  </conditionalFormatting>
  <conditionalFormatting sqref="N57 Q57 T57:W57 Z57">
    <cfRule type="cellIs" dxfId="383" priority="382" operator="between">
      <formula>1</formula>
      <formula>100000</formula>
    </cfRule>
  </conditionalFormatting>
  <conditionalFormatting sqref="L57 O57 R57 X57">
    <cfRule type="cellIs" dxfId="382" priority="384" operator="between">
      <formula>0.01</formula>
      <formula>1</formula>
    </cfRule>
  </conditionalFormatting>
  <conditionalFormatting sqref="M57 P57 S57 Y57">
    <cfRule type="cellIs" dxfId="381" priority="383" operator="between">
      <formula>1</formula>
      <formula>1000</formula>
    </cfRule>
  </conditionalFormatting>
  <conditionalFormatting sqref="N59 Q59 T59:W59 Z59">
    <cfRule type="cellIs" dxfId="380" priority="379" operator="between">
      <formula>1</formula>
      <formula>100000</formula>
    </cfRule>
  </conditionalFormatting>
  <conditionalFormatting sqref="L59 O59 R59 X59">
    <cfRule type="cellIs" dxfId="379" priority="381" operator="between">
      <formula>0.01</formula>
      <formula>1</formula>
    </cfRule>
  </conditionalFormatting>
  <conditionalFormatting sqref="M59 P59 S59 Y59">
    <cfRule type="cellIs" dxfId="378" priority="380" operator="between">
      <formula>1</formula>
      <formula>1000</formula>
    </cfRule>
  </conditionalFormatting>
  <conditionalFormatting sqref="N61 Q61 T61:W61 Z61">
    <cfRule type="cellIs" dxfId="377" priority="376" operator="between">
      <formula>1</formula>
      <formula>100000</formula>
    </cfRule>
  </conditionalFormatting>
  <conditionalFormatting sqref="L61 O61 R61 X61">
    <cfRule type="cellIs" dxfId="376" priority="378" operator="between">
      <formula>0.01</formula>
      <formula>1</formula>
    </cfRule>
  </conditionalFormatting>
  <conditionalFormatting sqref="M61 P61 S61 Y61">
    <cfRule type="cellIs" dxfId="375" priority="377" operator="between">
      <formula>1</formula>
      <formula>1000</formula>
    </cfRule>
  </conditionalFormatting>
  <conditionalFormatting sqref="N63 Q63 T63:W63 Z63">
    <cfRule type="cellIs" dxfId="374" priority="373" operator="between">
      <formula>1</formula>
      <formula>100000</formula>
    </cfRule>
  </conditionalFormatting>
  <conditionalFormatting sqref="L63 O63 R63 X63">
    <cfRule type="cellIs" dxfId="373" priority="375" operator="between">
      <formula>0.01</formula>
      <formula>1</formula>
    </cfRule>
  </conditionalFormatting>
  <conditionalFormatting sqref="M63 P63 S63 Y63">
    <cfRule type="cellIs" dxfId="372" priority="374" operator="between">
      <formula>1</formula>
      <formula>1000</formula>
    </cfRule>
  </conditionalFormatting>
  <conditionalFormatting sqref="N65 Q65 T65:W65 Z65">
    <cfRule type="cellIs" dxfId="371" priority="370" operator="between">
      <formula>1</formula>
      <formula>100000</formula>
    </cfRule>
  </conditionalFormatting>
  <conditionalFormatting sqref="L65 O65 R65 X65">
    <cfRule type="cellIs" dxfId="370" priority="372" operator="between">
      <formula>0.01</formula>
      <formula>1</formula>
    </cfRule>
  </conditionalFormatting>
  <conditionalFormatting sqref="M65 P65 S65 Y65">
    <cfRule type="cellIs" dxfId="369" priority="371" operator="between">
      <formula>1</formula>
      <formula>1000</formula>
    </cfRule>
  </conditionalFormatting>
  <conditionalFormatting sqref="N66 Q66 T66:W66 Z66">
    <cfRule type="cellIs" dxfId="368" priority="367" operator="between">
      <formula>1</formula>
      <formula>100000</formula>
    </cfRule>
  </conditionalFormatting>
  <conditionalFormatting sqref="L66 O66 R66 X66">
    <cfRule type="cellIs" dxfId="367" priority="369" operator="between">
      <formula>0.01</formula>
      <formula>1</formula>
    </cfRule>
  </conditionalFormatting>
  <conditionalFormatting sqref="M66 P66 S66 Y66">
    <cfRule type="cellIs" dxfId="366" priority="368" operator="between">
      <formula>1</formula>
      <formula>1000</formula>
    </cfRule>
  </conditionalFormatting>
  <conditionalFormatting sqref="N67 Q67 T67:W67 Z67">
    <cfRule type="cellIs" dxfId="365" priority="364" operator="between">
      <formula>1</formula>
      <formula>100000</formula>
    </cfRule>
  </conditionalFormatting>
  <conditionalFormatting sqref="L67 O67 R67 X67">
    <cfRule type="cellIs" dxfId="364" priority="366" operator="between">
      <formula>0.01</formula>
      <formula>1</formula>
    </cfRule>
  </conditionalFormatting>
  <conditionalFormatting sqref="M67 P67 S67 Y67">
    <cfRule type="cellIs" dxfId="363" priority="365" operator="between">
      <formula>1</formula>
      <formula>1000</formula>
    </cfRule>
  </conditionalFormatting>
  <conditionalFormatting sqref="N68 Q68 T68:W68 Z68">
    <cfRule type="cellIs" dxfId="362" priority="361" operator="between">
      <formula>1</formula>
      <formula>100000</formula>
    </cfRule>
  </conditionalFormatting>
  <conditionalFormatting sqref="L68 O68 R68 X68">
    <cfRule type="cellIs" dxfId="361" priority="363" operator="between">
      <formula>0.01</formula>
      <formula>1</formula>
    </cfRule>
  </conditionalFormatting>
  <conditionalFormatting sqref="M68 P68 S68 Y68">
    <cfRule type="cellIs" dxfId="360" priority="362" operator="between">
      <formula>1</formula>
      <formula>1000</formula>
    </cfRule>
  </conditionalFormatting>
  <conditionalFormatting sqref="N69 Q69 T69:W69 Z69">
    <cfRule type="cellIs" dxfId="359" priority="358" operator="between">
      <formula>1</formula>
      <formula>100000</formula>
    </cfRule>
  </conditionalFormatting>
  <conditionalFormatting sqref="L69 O69 R69 X69">
    <cfRule type="cellIs" dxfId="358" priority="360" operator="between">
      <formula>0.01</formula>
      <formula>1</formula>
    </cfRule>
  </conditionalFormatting>
  <conditionalFormatting sqref="M69 P69 S69 Y69">
    <cfRule type="cellIs" dxfId="357" priority="359" operator="between">
      <formula>1</formula>
      <formula>1000</formula>
    </cfRule>
  </conditionalFormatting>
  <conditionalFormatting sqref="N70 Q70 T70:W70 Z70">
    <cfRule type="cellIs" dxfId="356" priority="355" operator="between">
      <formula>1</formula>
      <formula>100000</formula>
    </cfRule>
  </conditionalFormatting>
  <conditionalFormatting sqref="L70 O70 R70 X70">
    <cfRule type="cellIs" dxfId="355" priority="357" operator="between">
      <formula>0.01</formula>
      <formula>1</formula>
    </cfRule>
  </conditionalFormatting>
  <conditionalFormatting sqref="M70 P70 S70 Y70">
    <cfRule type="cellIs" dxfId="354" priority="356" operator="between">
      <formula>1</formula>
      <formula>1000</formula>
    </cfRule>
  </conditionalFormatting>
  <conditionalFormatting sqref="N73 Q73 T73:W73 Z73">
    <cfRule type="cellIs" dxfId="353" priority="352" operator="between">
      <formula>1</formula>
      <formula>100000</formula>
    </cfRule>
  </conditionalFormatting>
  <conditionalFormatting sqref="L73 O73 R73 X73">
    <cfRule type="cellIs" dxfId="352" priority="354" operator="between">
      <formula>0.01</formula>
      <formula>1</formula>
    </cfRule>
  </conditionalFormatting>
  <conditionalFormatting sqref="M73 P73 S73 Y73">
    <cfRule type="cellIs" dxfId="351" priority="353" operator="between">
      <formula>1</formula>
      <formula>1000</formula>
    </cfRule>
  </conditionalFormatting>
  <conditionalFormatting sqref="N74 Q74 T74:W74 Z74">
    <cfRule type="cellIs" dxfId="350" priority="349" operator="between">
      <formula>1</formula>
      <formula>100000</formula>
    </cfRule>
  </conditionalFormatting>
  <conditionalFormatting sqref="L74 O74 R74 X74">
    <cfRule type="cellIs" dxfId="349" priority="351" operator="between">
      <formula>0.01</formula>
      <formula>1</formula>
    </cfRule>
  </conditionalFormatting>
  <conditionalFormatting sqref="M74 P74 S74 Y74">
    <cfRule type="cellIs" dxfId="348" priority="350" operator="between">
      <formula>1</formula>
      <formula>1000</formula>
    </cfRule>
  </conditionalFormatting>
  <conditionalFormatting sqref="N75 Q75 T75:W75 Z75">
    <cfRule type="cellIs" dxfId="347" priority="346" operator="between">
      <formula>1</formula>
      <formula>100000</formula>
    </cfRule>
  </conditionalFormatting>
  <conditionalFormatting sqref="L75 O75 R75 X75">
    <cfRule type="cellIs" dxfId="346" priority="348" operator="between">
      <formula>0.01</formula>
      <formula>1</formula>
    </cfRule>
  </conditionalFormatting>
  <conditionalFormatting sqref="M75 P75 S75 Y75">
    <cfRule type="cellIs" dxfId="345" priority="347" operator="between">
      <formula>1</formula>
      <formula>1000</formula>
    </cfRule>
  </conditionalFormatting>
  <conditionalFormatting sqref="N77 Q77 T77:W77 Z77">
    <cfRule type="cellIs" dxfId="344" priority="343" operator="between">
      <formula>1</formula>
      <formula>100000</formula>
    </cfRule>
  </conditionalFormatting>
  <conditionalFormatting sqref="L77 O77 R77 X77">
    <cfRule type="cellIs" dxfId="343" priority="345" operator="between">
      <formula>0.01</formula>
      <formula>1</formula>
    </cfRule>
  </conditionalFormatting>
  <conditionalFormatting sqref="M77 P77 S77 Y77">
    <cfRule type="cellIs" dxfId="342" priority="344" operator="between">
      <formula>1</formula>
      <formula>1000</formula>
    </cfRule>
  </conditionalFormatting>
  <conditionalFormatting sqref="N79 Q79 T79:W79 Z79">
    <cfRule type="cellIs" dxfId="341" priority="340" operator="between">
      <formula>1</formula>
      <formula>100000</formula>
    </cfRule>
  </conditionalFormatting>
  <conditionalFormatting sqref="L79 O79 R79 X79">
    <cfRule type="cellIs" dxfId="340" priority="342" operator="between">
      <formula>0.01</formula>
      <formula>1</formula>
    </cfRule>
  </conditionalFormatting>
  <conditionalFormatting sqref="M79 P79 S79 Y79">
    <cfRule type="cellIs" dxfId="339" priority="341" operator="between">
      <formula>1</formula>
      <formula>1000</formula>
    </cfRule>
  </conditionalFormatting>
  <conditionalFormatting sqref="L193 O193 R193 X193">
    <cfRule type="cellIs" dxfId="338" priority="339" operator="between">
      <formula>0.01</formula>
      <formula>1</formula>
    </cfRule>
  </conditionalFormatting>
  <conditionalFormatting sqref="M193 P193 S193 Y193">
    <cfRule type="cellIs" dxfId="337" priority="338" operator="between">
      <formula>1</formula>
      <formula>1000</formula>
    </cfRule>
  </conditionalFormatting>
  <conditionalFormatting sqref="N193 Q193 T193:W193 Z193">
    <cfRule type="cellIs" dxfId="336" priority="337" operator="between">
      <formula>1</formula>
      <formula>100000</formula>
    </cfRule>
  </conditionalFormatting>
  <conditionalFormatting sqref="L196 O196 R196 X196">
    <cfRule type="cellIs" dxfId="335" priority="336" operator="between">
      <formula>0.01</formula>
      <formula>1</formula>
    </cfRule>
  </conditionalFormatting>
  <conditionalFormatting sqref="M196 P196 S196 Y196">
    <cfRule type="cellIs" dxfId="334" priority="335" operator="between">
      <formula>1</formula>
      <formula>1000</formula>
    </cfRule>
  </conditionalFormatting>
  <conditionalFormatting sqref="N196 Q196 T196:W196 Z196">
    <cfRule type="cellIs" dxfId="333" priority="334" operator="between">
      <formula>1</formula>
      <formula>100000</formula>
    </cfRule>
  </conditionalFormatting>
  <conditionalFormatting sqref="L197 O197 R197 X197">
    <cfRule type="cellIs" dxfId="332" priority="333" operator="between">
      <formula>0.01</formula>
      <formula>1</formula>
    </cfRule>
  </conditionalFormatting>
  <conditionalFormatting sqref="M197 P197 S197 Y197">
    <cfRule type="cellIs" dxfId="331" priority="332" operator="between">
      <formula>1</formula>
      <formula>1000</formula>
    </cfRule>
  </conditionalFormatting>
  <conditionalFormatting sqref="N197 Q197 T197:W197 Z197">
    <cfRule type="cellIs" dxfId="330" priority="331" operator="between">
      <formula>1</formula>
      <formula>100000</formula>
    </cfRule>
  </conditionalFormatting>
  <conditionalFormatting sqref="L198 O198 R198 X198">
    <cfRule type="cellIs" dxfId="329" priority="330" operator="between">
      <formula>0.01</formula>
      <formula>1</formula>
    </cfRule>
  </conditionalFormatting>
  <conditionalFormatting sqref="M198 P198 S198 Y198">
    <cfRule type="cellIs" dxfId="328" priority="329" operator="between">
      <formula>1</formula>
      <formula>1000</formula>
    </cfRule>
  </conditionalFormatting>
  <conditionalFormatting sqref="N198 Q198 T198:W198 Z198">
    <cfRule type="cellIs" dxfId="327" priority="328" operator="between">
      <formula>1</formula>
      <formula>100000</formula>
    </cfRule>
  </conditionalFormatting>
  <conditionalFormatting sqref="L200 O200 R200 X200">
    <cfRule type="cellIs" dxfId="326" priority="327" operator="between">
      <formula>0.01</formula>
      <formula>1</formula>
    </cfRule>
  </conditionalFormatting>
  <conditionalFormatting sqref="M200 P200 S200 Y200">
    <cfRule type="cellIs" dxfId="325" priority="326" operator="between">
      <formula>1</formula>
      <formula>1000</formula>
    </cfRule>
  </conditionalFormatting>
  <conditionalFormatting sqref="N200 Q200 T200:W200 Z200">
    <cfRule type="cellIs" dxfId="324" priority="325" operator="between">
      <formula>1</formula>
      <formula>100000</formula>
    </cfRule>
  </conditionalFormatting>
  <conditionalFormatting sqref="L203 O203 R203 X203">
    <cfRule type="cellIs" dxfId="323" priority="324" operator="between">
      <formula>0.01</formula>
      <formula>1</formula>
    </cfRule>
  </conditionalFormatting>
  <conditionalFormatting sqref="M203 P203 S203 Y203">
    <cfRule type="cellIs" dxfId="322" priority="323" operator="between">
      <formula>1</formula>
      <formula>1000</formula>
    </cfRule>
  </conditionalFormatting>
  <conditionalFormatting sqref="N203 Q203 T203:W203 Z203">
    <cfRule type="cellIs" dxfId="321" priority="322" operator="between">
      <formula>1</formula>
      <formula>100000</formula>
    </cfRule>
  </conditionalFormatting>
  <conditionalFormatting sqref="L205 O205 R205 X205">
    <cfRule type="cellIs" dxfId="320" priority="321" operator="between">
      <formula>0.01</formula>
      <formula>1</formula>
    </cfRule>
  </conditionalFormatting>
  <conditionalFormatting sqref="M205 P205 S205 Y205">
    <cfRule type="cellIs" dxfId="319" priority="320" operator="between">
      <formula>1</formula>
      <formula>1000</formula>
    </cfRule>
  </conditionalFormatting>
  <conditionalFormatting sqref="N205 Q205 T205:W205 Z205">
    <cfRule type="cellIs" dxfId="318" priority="319" operator="between">
      <formula>1</formula>
      <formula>100000</formula>
    </cfRule>
  </conditionalFormatting>
  <conditionalFormatting sqref="L206 O206 R206 X206">
    <cfRule type="cellIs" dxfId="317" priority="318" operator="between">
      <formula>0.01</formula>
      <formula>1</formula>
    </cfRule>
  </conditionalFormatting>
  <conditionalFormatting sqref="M206 P206 S206 Y206">
    <cfRule type="cellIs" dxfId="316" priority="317" operator="between">
      <formula>1</formula>
      <formula>1000</formula>
    </cfRule>
  </conditionalFormatting>
  <conditionalFormatting sqref="N206 Q206 T206:W206 Z206">
    <cfRule type="cellIs" dxfId="315" priority="316" operator="between">
      <formula>1</formula>
      <formula>100000</formula>
    </cfRule>
  </conditionalFormatting>
  <conditionalFormatting sqref="L207 O207 R207 X207">
    <cfRule type="cellIs" dxfId="314" priority="315" operator="between">
      <formula>0.01</formula>
      <formula>1</formula>
    </cfRule>
  </conditionalFormatting>
  <conditionalFormatting sqref="M207 P207 S207 Y207">
    <cfRule type="cellIs" dxfId="313" priority="314" operator="between">
      <formula>1</formula>
      <formula>1000</formula>
    </cfRule>
  </conditionalFormatting>
  <conditionalFormatting sqref="N207 Q207 T207:W207 Z207">
    <cfRule type="cellIs" dxfId="312" priority="313" operator="between">
      <formula>1</formula>
      <formula>100000</formula>
    </cfRule>
  </conditionalFormatting>
  <conditionalFormatting sqref="L209 O209 R209 X209">
    <cfRule type="cellIs" dxfId="311" priority="312" operator="between">
      <formula>0.01</formula>
      <formula>1</formula>
    </cfRule>
  </conditionalFormatting>
  <conditionalFormatting sqref="M209 P209 S209 Y209">
    <cfRule type="cellIs" dxfId="310" priority="311" operator="between">
      <formula>1</formula>
      <formula>1000</formula>
    </cfRule>
  </conditionalFormatting>
  <conditionalFormatting sqref="N209 Q209 T209:W209 Z209">
    <cfRule type="cellIs" dxfId="309" priority="310" operator="between">
      <formula>1</formula>
      <formula>100000</formula>
    </cfRule>
  </conditionalFormatting>
  <conditionalFormatting sqref="L210 O210 R210 X210">
    <cfRule type="cellIs" dxfId="308" priority="309" operator="between">
      <formula>0.01</formula>
      <formula>1</formula>
    </cfRule>
  </conditionalFormatting>
  <conditionalFormatting sqref="M210 P210 S210 Y210">
    <cfRule type="cellIs" dxfId="307" priority="308" operator="between">
      <formula>1</formula>
      <formula>1000</formula>
    </cfRule>
  </conditionalFormatting>
  <conditionalFormatting sqref="N210 Q210 T210:W210 Z210">
    <cfRule type="cellIs" dxfId="306" priority="307" operator="between">
      <formula>1</formula>
      <formula>100000</formula>
    </cfRule>
  </conditionalFormatting>
  <conditionalFormatting sqref="L212 O212 R212 X212">
    <cfRule type="cellIs" dxfId="305" priority="306" operator="between">
      <formula>0.01</formula>
      <formula>1</formula>
    </cfRule>
  </conditionalFormatting>
  <conditionalFormatting sqref="M212 P212 S212 Y212">
    <cfRule type="cellIs" dxfId="304" priority="305" operator="between">
      <formula>1</formula>
      <formula>1000</formula>
    </cfRule>
  </conditionalFormatting>
  <conditionalFormatting sqref="N212 Q212 T212:W212 Z212">
    <cfRule type="cellIs" dxfId="303" priority="304" operator="between">
      <formula>1</formula>
      <formula>100000</formula>
    </cfRule>
  </conditionalFormatting>
  <conditionalFormatting sqref="L214 O214 R214 X214">
    <cfRule type="cellIs" dxfId="302" priority="303" operator="between">
      <formula>0.01</formula>
      <formula>1</formula>
    </cfRule>
  </conditionalFormatting>
  <conditionalFormatting sqref="M214 P214 S214 Y214">
    <cfRule type="cellIs" dxfId="301" priority="302" operator="between">
      <formula>1</formula>
      <formula>1000</formula>
    </cfRule>
  </conditionalFormatting>
  <conditionalFormatting sqref="N214 Q214 T214:W214 Z214">
    <cfRule type="cellIs" dxfId="300" priority="301" operator="between">
      <formula>1</formula>
      <formula>100000</formula>
    </cfRule>
  </conditionalFormatting>
  <conditionalFormatting sqref="L216 O216 R216 X216">
    <cfRule type="cellIs" dxfId="299" priority="300" operator="between">
      <formula>0.01</formula>
      <formula>1</formula>
    </cfRule>
  </conditionalFormatting>
  <conditionalFormatting sqref="M216 P216 S216 Y216">
    <cfRule type="cellIs" dxfId="298" priority="299" operator="between">
      <formula>1</formula>
      <formula>1000</formula>
    </cfRule>
  </conditionalFormatting>
  <conditionalFormatting sqref="N216 Q216 T216:W216 Z216">
    <cfRule type="cellIs" dxfId="297" priority="298" operator="between">
      <formula>1</formula>
      <formula>100000</formula>
    </cfRule>
  </conditionalFormatting>
  <conditionalFormatting sqref="L218 O218 R218 X218">
    <cfRule type="cellIs" dxfId="296" priority="297" operator="between">
      <formula>0.01</formula>
      <formula>1</formula>
    </cfRule>
  </conditionalFormatting>
  <conditionalFormatting sqref="M218 P218 S218 Y218">
    <cfRule type="cellIs" dxfId="295" priority="296" operator="between">
      <formula>1</formula>
      <formula>1000</formula>
    </cfRule>
  </conditionalFormatting>
  <conditionalFormatting sqref="N218 Q218 T218:W218 Z218">
    <cfRule type="cellIs" dxfId="294" priority="295" operator="between">
      <formula>1</formula>
      <formula>100000</formula>
    </cfRule>
  </conditionalFormatting>
  <conditionalFormatting sqref="L220 O220 R220 X220">
    <cfRule type="cellIs" dxfId="293" priority="294" operator="between">
      <formula>0.01</formula>
      <formula>1</formula>
    </cfRule>
  </conditionalFormatting>
  <conditionalFormatting sqref="M220 P220 S220 Y220">
    <cfRule type="cellIs" dxfId="292" priority="293" operator="between">
      <formula>1</formula>
      <formula>1000</formula>
    </cfRule>
  </conditionalFormatting>
  <conditionalFormatting sqref="N220 Q220 T220:W220 Z220">
    <cfRule type="cellIs" dxfId="291" priority="292" operator="between">
      <formula>1</formula>
      <formula>100000</formula>
    </cfRule>
  </conditionalFormatting>
  <conditionalFormatting sqref="L222 O222 R222 X222">
    <cfRule type="cellIs" dxfId="290" priority="291" operator="between">
      <formula>0.01</formula>
      <formula>1</formula>
    </cfRule>
  </conditionalFormatting>
  <conditionalFormatting sqref="M222 P222 S222 Y222">
    <cfRule type="cellIs" dxfId="289" priority="290" operator="between">
      <formula>1</formula>
      <formula>1000</formula>
    </cfRule>
  </conditionalFormatting>
  <conditionalFormatting sqref="N222 Q222 T222:W222 Z222">
    <cfRule type="cellIs" dxfId="288" priority="289" operator="between">
      <formula>1</formula>
      <formula>100000</formula>
    </cfRule>
  </conditionalFormatting>
  <conditionalFormatting sqref="L224 O224 R224 X224">
    <cfRule type="cellIs" dxfId="287" priority="288" operator="between">
      <formula>0.01</formula>
      <formula>1</formula>
    </cfRule>
  </conditionalFormatting>
  <conditionalFormatting sqref="M224 P224 S224 Y224">
    <cfRule type="cellIs" dxfId="286" priority="287" operator="between">
      <formula>1</formula>
      <formula>1000</formula>
    </cfRule>
  </conditionalFormatting>
  <conditionalFormatting sqref="N224 Q224 T224:W224 Z224">
    <cfRule type="cellIs" dxfId="285" priority="286" operator="between">
      <formula>1</formula>
      <formula>100000</formula>
    </cfRule>
  </conditionalFormatting>
  <conditionalFormatting sqref="L225 O225 R225 X225">
    <cfRule type="cellIs" dxfId="284" priority="285" operator="between">
      <formula>0.01</formula>
      <formula>1</formula>
    </cfRule>
  </conditionalFormatting>
  <conditionalFormatting sqref="M225 P225 S225 Y225">
    <cfRule type="cellIs" dxfId="283" priority="284" operator="between">
      <formula>1</formula>
      <formula>1000</formula>
    </cfRule>
  </conditionalFormatting>
  <conditionalFormatting sqref="N225 Q225 T225:W225 Z225">
    <cfRule type="cellIs" dxfId="282" priority="283" operator="between">
      <formula>1</formula>
      <formula>100000</formula>
    </cfRule>
  </conditionalFormatting>
  <conditionalFormatting sqref="L228 O228 R228 X228">
    <cfRule type="cellIs" dxfId="281" priority="282" operator="between">
      <formula>0.01</formula>
      <formula>1</formula>
    </cfRule>
  </conditionalFormatting>
  <conditionalFormatting sqref="M228 P228 S228 Y228">
    <cfRule type="cellIs" dxfId="280" priority="281" operator="between">
      <formula>1</formula>
      <formula>1000</formula>
    </cfRule>
  </conditionalFormatting>
  <conditionalFormatting sqref="N228 Q228 T228:W228 Z228">
    <cfRule type="cellIs" dxfId="279" priority="280" operator="between">
      <formula>1</formula>
      <formula>100000</formula>
    </cfRule>
  </conditionalFormatting>
  <conditionalFormatting sqref="L230 O230 R230 X230">
    <cfRule type="cellIs" dxfId="278" priority="279" operator="between">
      <formula>0.01</formula>
      <formula>1</formula>
    </cfRule>
  </conditionalFormatting>
  <conditionalFormatting sqref="M230 P230 S230 Y230">
    <cfRule type="cellIs" dxfId="277" priority="278" operator="between">
      <formula>1</formula>
      <formula>1000</formula>
    </cfRule>
  </conditionalFormatting>
  <conditionalFormatting sqref="N230 Q230 T230:W230 Z230">
    <cfRule type="cellIs" dxfId="276" priority="277" operator="between">
      <formula>1</formula>
      <formula>100000</formula>
    </cfRule>
  </conditionalFormatting>
  <conditionalFormatting sqref="L231 O231 R231 X231">
    <cfRule type="cellIs" dxfId="275" priority="276" operator="between">
      <formula>0.01</formula>
      <formula>1</formula>
    </cfRule>
  </conditionalFormatting>
  <conditionalFormatting sqref="M231 P231 S231 Y231">
    <cfRule type="cellIs" dxfId="274" priority="275" operator="between">
      <formula>1</formula>
      <formula>1000</formula>
    </cfRule>
  </conditionalFormatting>
  <conditionalFormatting sqref="N231 Q231 T231:W231 Z231">
    <cfRule type="cellIs" dxfId="273" priority="274" operator="between">
      <formula>1</formula>
      <formula>100000</formula>
    </cfRule>
  </conditionalFormatting>
  <conditionalFormatting sqref="L233 O233 R233 X233">
    <cfRule type="cellIs" dxfId="272" priority="273" operator="between">
      <formula>0.01</formula>
      <formula>1</formula>
    </cfRule>
  </conditionalFormatting>
  <conditionalFormatting sqref="M233 P233 S233 Y233">
    <cfRule type="cellIs" dxfId="271" priority="272" operator="between">
      <formula>1</formula>
      <formula>1000</formula>
    </cfRule>
  </conditionalFormatting>
  <conditionalFormatting sqref="N233 Q233 T233:W233 Z233">
    <cfRule type="cellIs" dxfId="270" priority="271" operator="between">
      <formula>1</formula>
      <formula>100000</formula>
    </cfRule>
  </conditionalFormatting>
  <conditionalFormatting sqref="L234 O234 R234 X234">
    <cfRule type="cellIs" dxfId="269" priority="270" operator="between">
      <formula>0.01</formula>
      <formula>1</formula>
    </cfRule>
  </conditionalFormatting>
  <conditionalFormatting sqref="M234 P234 S234 Y234">
    <cfRule type="cellIs" dxfId="268" priority="269" operator="between">
      <formula>1</formula>
      <formula>1000</formula>
    </cfRule>
  </conditionalFormatting>
  <conditionalFormatting sqref="N234 Q234 T234:W234 Z234">
    <cfRule type="cellIs" dxfId="267" priority="268" operator="between">
      <formula>1</formula>
      <formula>100000</formula>
    </cfRule>
  </conditionalFormatting>
  <conditionalFormatting sqref="L235 O235 R235 X235">
    <cfRule type="cellIs" dxfId="266" priority="267" operator="between">
      <formula>0.01</formula>
      <formula>1</formula>
    </cfRule>
  </conditionalFormatting>
  <conditionalFormatting sqref="M235 P235 S235 Y235">
    <cfRule type="cellIs" dxfId="265" priority="266" operator="between">
      <formula>1</formula>
      <formula>1000</formula>
    </cfRule>
  </conditionalFormatting>
  <conditionalFormatting sqref="N235 Q235 T235:W235 Z235">
    <cfRule type="cellIs" dxfId="264" priority="265" operator="between">
      <formula>1</formula>
      <formula>100000</formula>
    </cfRule>
  </conditionalFormatting>
  <conditionalFormatting sqref="L237 O237 R237 X237">
    <cfRule type="cellIs" dxfId="263" priority="264" operator="between">
      <formula>0.01</formula>
      <formula>1</formula>
    </cfRule>
  </conditionalFormatting>
  <conditionalFormatting sqref="M237 P237 S237 Y237">
    <cfRule type="cellIs" dxfId="262" priority="263" operator="between">
      <formula>1</formula>
      <formula>1000</formula>
    </cfRule>
  </conditionalFormatting>
  <conditionalFormatting sqref="N237 Q237 T237:W237 Z237">
    <cfRule type="cellIs" dxfId="261" priority="262" operator="between">
      <formula>1</formula>
      <formula>100000</formula>
    </cfRule>
  </conditionalFormatting>
  <conditionalFormatting sqref="L238 O238 R238 X238">
    <cfRule type="cellIs" dxfId="260" priority="261" operator="between">
      <formula>0.01</formula>
      <formula>1</formula>
    </cfRule>
  </conditionalFormatting>
  <conditionalFormatting sqref="M238 P238 S238 Y238">
    <cfRule type="cellIs" dxfId="259" priority="260" operator="between">
      <formula>1</formula>
      <formula>1000</formula>
    </cfRule>
  </conditionalFormatting>
  <conditionalFormatting sqref="N238 Q238 T238:W238 Z238">
    <cfRule type="cellIs" dxfId="258" priority="259" operator="between">
      <formula>1</formula>
      <formula>100000</formula>
    </cfRule>
  </conditionalFormatting>
  <conditionalFormatting sqref="L240 O240 R240 X240">
    <cfRule type="cellIs" dxfId="257" priority="258" operator="between">
      <formula>0.01</formula>
      <formula>1</formula>
    </cfRule>
  </conditionalFormatting>
  <conditionalFormatting sqref="M240 P240 S240 Y240">
    <cfRule type="cellIs" dxfId="256" priority="257" operator="between">
      <formula>1</formula>
      <formula>1000</formula>
    </cfRule>
  </conditionalFormatting>
  <conditionalFormatting sqref="N240 Q240 T240:W240 Z240">
    <cfRule type="cellIs" dxfId="255" priority="256" operator="between">
      <formula>1</formula>
      <formula>100000</formula>
    </cfRule>
  </conditionalFormatting>
  <conditionalFormatting sqref="L241 O241 R241 X241">
    <cfRule type="cellIs" dxfId="254" priority="255" operator="between">
      <formula>0.01</formula>
      <formula>1</formula>
    </cfRule>
  </conditionalFormatting>
  <conditionalFormatting sqref="M241 P241 S241 Y241">
    <cfRule type="cellIs" dxfId="253" priority="254" operator="between">
      <formula>1</formula>
      <formula>1000</formula>
    </cfRule>
  </conditionalFormatting>
  <conditionalFormatting sqref="N241 Q241 T241:W241 Z241">
    <cfRule type="cellIs" dxfId="252" priority="253" operator="between">
      <formula>1</formula>
      <formula>100000</formula>
    </cfRule>
  </conditionalFormatting>
  <conditionalFormatting sqref="L243 O243 R243 X243">
    <cfRule type="cellIs" dxfId="251" priority="252" operator="between">
      <formula>0.01</formula>
      <formula>1</formula>
    </cfRule>
  </conditionalFormatting>
  <conditionalFormatting sqref="M243 P243 S243 Y243">
    <cfRule type="cellIs" dxfId="250" priority="251" operator="between">
      <formula>1</formula>
      <formula>1000</formula>
    </cfRule>
  </conditionalFormatting>
  <conditionalFormatting sqref="N243 Q243 T243:W243 Z243">
    <cfRule type="cellIs" dxfId="249" priority="250" operator="between">
      <formula>1</formula>
      <formula>100000</formula>
    </cfRule>
  </conditionalFormatting>
  <conditionalFormatting sqref="L244 O244 R244 X244">
    <cfRule type="cellIs" dxfId="248" priority="249" operator="between">
      <formula>0.01</formula>
      <formula>1</formula>
    </cfRule>
  </conditionalFormatting>
  <conditionalFormatting sqref="M244 P244 S244 Y244">
    <cfRule type="cellIs" dxfId="247" priority="248" operator="between">
      <formula>1</formula>
      <formula>1000</formula>
    </cfRule>
  </conditionalFormatting>
  <conditionalFormatting sqref="N244 Q244 T244:W244 Z244">
    <cfRule type="cellIs" dxfId="246" priority="247" operator="between">
      <formula>1</formula>
      <formula>100000</formula>
    </cfRule>
  </conditionalFormatting>
  <conditionalFormatting sqref="L245 O245 R245 X245">
    <cfRule type="cellIs" dxfId="245" priority="246" operator="between">
      <formula>0.01</formula>
      <formula>1</formula>
    </cfRule>
  </conditionalFormatting>
  <conditionalFormatting sqref="M245 P245 S245 Y245">
    <cfRule type="cellIs" dxfId="244" priority="245" operator="between">
      <formula>1</formula>
      <formula>1000</formula>
    </cfRule>
  </conditionalFormatting>
  <conditionalFormatting sqref="N245 Q245 T245:W245 Z245">
    <cfRule type="cellIs" dxfId="243" priority="244" operator="between">
      <formula>1</formula>
      <formula>100000</formula>
    </cfRule>
  </conditionalFormatting>
  <conditionalFormatting sqref="L246 O246 R246 X246">
    <cfRule type="cellIs" dxfId="242" priority="243" operator="between">
      <formula>0.01</formula>
      <formula>1</formula>
    </cfRule>
  </conditionalFormatting>
  <conditionalFormatting sqref="M246 P246 S246 Y246">
    <cfRule type="cellIs" dxfId="241" priority="242" operator="between">
      <formula>1</formula>
      <formula>1000</formula>
    </cfRule>
  </conditionalFormatting>
  <conditionalFormatting sqref="N246 Q246 T246:W246 Z246">
    <cfRule type="cellIs" dxfId="240" priority="241" operator="between">
      <formula>1</formula>
      <formula>100000</formula>
    </cfRule>
  </conditionalFormatting>
  <conditionalFormatting sqref="L248 O248 R248 X248">
    <cfRule type="cellIs" dxfId="239" priority="240" operator="between">
      <formula>0.01</formula>
      <formula>1</formula>
    </cfRule>
  </conditionalFormatting>
  <conditionalFormatting sqref="M248 P248 S248 Y248">
    <cfRule type="cellIs" dxfId="238" priority="239" operator="between">
      <formula>1</formula>
      <formula>1000</formula>
    </cfRule>
  </conditionalFormatting>
  <conditionalFormatting sqref="N248 Q248 T248:W248 Z248">
    <cfRule type="cellIs" dxfId="237" priority="238" operator="between">
      <formula>1</formula>
      <formula>100000</formula>
    </cfRule>
  </conditionalFormatting>
  <conditionalFormatting sqref="L253 O253 R253 X253">
    <cfRule type="cellIs" dxfId="236" priority="237" operator="between">
      <formula>0.01</formula>
      <formula>1</formula>
    </cfRule>
  </conditionalFormatting>
  <conditionalFormatting sqref="M253 P253 S253 Y253">
    <cfRule type="cellIs" dxfId="235" priority="236" operator="between">
      <formula>1</formula>
      <formula>1000</formula>
    </cfRule>
  </conditionalFormatting>
  <conditionalFormatting sqref="N253 Q253 T253:W253 Z253">
    <cfRule type="cellIs" dxfId="234" priority="235" operator="between">
      <formula>1</formula>
      <formula>100000</formula>
    </cfRule>
  </conditionalFormatting>
  <conditionalFormatting sqref="L255 O255 R255 X255">
    <cfRule type="cellIs" dxfId="233" priority="234" operator="between">
      <formula>0.01</formula>
      <formula>1</formula>
    </cfRule>
  </conditionalFormatting>
  <conditionalFormatting sqref="M255 P255 S255 Y255">
    <cfRule type="cellIs" dxfId="232" priority="233" operator="between">
      <formula>1</formula>
      <formula>1000</formula>
    </cfRule>
  </conditionalFormatting>
  <conditionalFormatting sqref="N255 Q255 T255:W255 Z255">
    <cfRule type="cellIs" dxfId="231" priority="232" operator="between">
      <formula>1</formula>
      <formula>100000</formula>
    </cfRule>
  </conditionalFormatting>
  <conditionalFormatting sqref="L257 O257 R257 X257">
    <cfRule type="cellIs" dxfId="230" priority="231" operator="between">
      <formula>0.01</formula>
      <formula>1</formula>
    </cfRule>
  </conditionalFormatting>
  <conditionalFormatting sqref="M257 P257 S257 Y257">
    <cfRule type="cellIs" dxfId="229" priority="230" operator="between">
      <formula>1</formula>
      <formula>1000</formula>
    </cfRule>
  </conditionalFormatting>
  <conditionalFormatting sqref="N257 Q257 T257:W257 Z257">
    <cfRule type="cellIs" dxfId="228" priority="229" operator="between">
      <formula>1</formula>
      <formula>100000</formula>
    </cfRule>
  </conditionalFormatting>
  <conditionalFormatting sqref="L249 O249 R249 X249">
    <cfRule type="cellIs" dxfId="227" priority="228" operator="between">
      <formula>0.01</formula>
      <formula>1</formula>
    </cfRule>
  </conditionalFormatting>
  <conditionalFormatting sqref="M249 P249 S249 Y249">
    <cfRule type="cellIs" dxfId="226" priority="227" operator="between">
      <formula>1</formula>
      <formula>1000</formula>
    </cfRule>
  </conditionalFormatting>
  <conditionalFormatting sqref="N249 Q249 T249:W249 Z249">
    <cfRule type="cellIs" dxfId="225" priority="226" operator="between">
      <formula>1</formula>
      <formula>100000</formula>
    </cfRule>
  </conditionalFormatting>
  <conditionalFormatting sqref="L250 O250 R250 X250">
    <cfRule type="cellIs" dxfId="224" priority="225" operator="between">
      <formula>0.01</formula>
      <formula>1</formula>
    </cfRule>
  </conditionalFormatting>
  <conditionalFormatting sqref="M250 P250 S250 Y250">
    <cfRule type="cellIs" dxfId="223" priority="224" operator="between">
      <formula>1</formula>
      <formula>1000</formula>
    </cfRule>
  </conditionalFormatting>
  <conditionalFormatting sqref="N250 Q250 T250:W250 Z250">
    <cfRule type="cellIs" dxfId="222" priority="223" operator="between">
      <formula>1</formula>
      <formula>100000</formula>
    </cfRule>
  </conditionalFormatting>
  <conditionalFormatting sqref="L251 O251 R251 X251">
    <cfRule type="cellIs" dxfId="221" priority="222" operator="between">
      <formula>0.01</formula>
      <formula>1</formula>
    </cfRule>
  </conditionalFormatting>
  <conditionalFormatting sqref="M251 P251 S251 Y251">
    <cfRule type="cellIs" dxfId="220" priority="221" operator="between">
      <formula>1</formula>
      <formula>1000</formula>
    </cfRule>
  </conditionalFormatting>
  <conditionalFormatting sqref="N251 Q251 T251:W251 Z251">
    <cfRule type="cellIs" dxfId="219" priority="220" operator="between">
      <formula>1</formula>
      <formula>100000</formula>
    </cfRule>
  </conditionalFormatting>
  <conditionalFormatting sqref="L358 O358 R358 X358">
    <cfRule type="cellIs" dxfId="218" priority="219" operator="between">
      <formula>0.01</formula>
      <formula>1</formula>
    </cfRule>
  </conditionalFormatting>
  <conditionalFormatting sqref="M358 P358 S358 Y358">
    <cfRule type="cellIs" dxfId="217" priority="218" operator="between">
      <formula>1</formula>
      <formula>1000</formula>
    </cfRule>
  </conditionalFormatting>
  <conditionalFormatting sqref="N358 Q358 T358:W358 Z358">
    <cfRule type="cellIs" dxfId="216" priority="217" operator="between">
      <formula>1</formula>
      <formula>100000</formula>
    </cfRule>
  </conditionalFormatting>
  <conditionalFormatting sqref="L359 O359 R359 X359">
    <cfRule type="cellIs" dxfId="215" priority="216" operator="between">
      <formula>0.01</formula>
      <formula>1</formula>
    </cfRule>
  </conditionalFormatting>
  <conditionalFormatting sqref="M359 P359 S359 Y359">
    <cfRule type="cellIs" dxfId="214" priority="215" operator="between">
      <formula>1</formula>
      <formula>1000</formula>
    </cfRule>
  </conditionalFormatting>
  <conditionalFormatting sqref="N359 Q359 T359:W359 Z359">
    <cfRule type="cellIs" dxfId="213" priority="214" operator="between">
      <formula>1</formula>
      <formula>100000</formula>
    </cfRule>
  </conditionalFormatting>
  <conditionalFormatting sqref="L360 O360 R360 X360">
    <cfRule type="cellIs" dxfId="212" priority="213" operator="between">
      <formula>0.01</formula>
      <formula>1</formula>
    </cfRule>
  </conditionalFormatting>
  <conditionalFormatting sqref="M360 P360 S360 Y360">
    <cfRule type="cellIs" dxfId="211" priority="212" operator="between">
      <formula>1</formula>
      <formula>1000</formula>
    </cfRule>
  </conditionalFormatting>
  <conditionalFormatting sqref="N360 Q360 T360:W360 Z360">
    <cfRule type="cellIs" dxfId="210" priority="211" operator="between">
      <formula>1</formula>
      <formula>100000</formula>
    </cfRule>
  </conditionalFormatting>
  <conditionalFormatting sqref="L361 O361 R361 X361">
    <cfRule type="cellIs" dxfId="209" priority="210" operator="between">
      <formula>0.01</formula>
      <formula>1</formula>
    </cfRule>
  </conditionalFormatting>
  <conditionalFormatting sqref="M361 P361 S361 Y361">
    <cfRule type="cellIs" dxfId="208" priority="209" operator="between">
      <formula>1</formula>
      <formula>1000</formula>
    </cfRule>
  </conditionalFormatting>
  <conditionalFormatting sqref="N361 Q361 T361:W361 Z361">
    <cfRule type="cellIs" dxfId="207" priority="208" operator="between">
      <formula>1</formula>
      <formula>100000</formula>
    </cfRule>
  </conditionalFormatting>
  <conditionalFormatting sqref="L362 O362 R362 X362">
    <cfRule type="cellIs" dxfId="206" priority="207" operator="between">
      <formula>0.01</formula>
      <formula>1</formula>
    </cfRule>
  </conditionalFormatting>
  <conditionalFormatting sqref="M362 P362 S362 Y362">
    <cfRule type="cellIs" dxfId="205" priority="206" operator="between">
      <formula>1</formula>
      <formula>1000</formula>
    </cfRule>
  </conditionalFormatting>
  <conditionalFormatting sqref="N362 Q362 T362:W362 Z362">
    <cfRule type="cellIs" dxfId="204" priority="205" operator="between">
      <formula>1</formula>
      <formula>100000</formula>
    </cfRule>
  </conditionalFormatting>
  <conditionalFormatting sqref="L363 O363 R363 X363">
    <cfRule type="cellIs" dxfId="203" priority="204" operator="between">
      <formula>0.01</formula>
      <formula>1</formula>
    </cfRule>
  </conditionalFormatting>
  <conditionalFormatting sqref="M363 P363 S363 Y363">
    <cfRule type="cellIs" dxfId="202" priority="203" operator="between">
      <formula>1</formula>
      <formula>1000</formula>
    </cfRule>
  </conditionalFormatting>
  <conditionalFormatting sqref="N363 Q363 T363:W363 Z363">
    <cfRule type="cellIs" dxfId="201" priority="202" operator="between">
      <formula>1</formula>
      <formula>100000</formula>
    </cfRule>
  </conditionalFormatting>
  <conditionalFormatting sqref="L364 O364 R364 X364">
    <cfRule type="cellIs" dxfId="200" priority="201" operator="between">
      <formula>0.01</formula>
      <formula>1</formula>
    </cfRule>
  </conditionalFormatting>
  <conditionalFormatting sqref="M364 P364 S364 Y364">
    <cfRule type="cellIs" dxfId="199" priority="200" operator="between">
      <formula>1</formula>
      <formula>1000</formula>
    </cfRule>
  </conditionalFormatting>
  <conditionalFormatting sqref="N364 Q364 T364:W364 Z364">
    <cfRule type="cellIs" dxfId="198" priority="199" operator="between">
      <formula>1</formula>
      <formula>100000</formula>
    </cfRule>
  </conditionalFormatting>
  <conditionalFormatting sqref="L365 O365 R365 X365">
    <cfRule type="cellIs" dxfId="197" priority="198" operator="between">
      <formula>0.01</formula>
      <formula>1</formula>
    </cfRule>
  </conditionalFormatting>
  <conditionalFormatting sqref="M365 P365 S365 Y365">
    <cfRule type="cellIs" dxfId="196" priority="197" operator="between">
      <formula>1</formula>
      <formula>1000</formula>
    </cfRule>
  </conditionalFormatting>
  <conditionalFormatting sqref="N365 Q365 T365:W365 Z365">
    <cfRule type="cellIs" dxfId="195" priority="196" operator="between">
      <formula>1</formula>
      <formula>100000</formula>
    </cfRule>
  </conditionalFormatting>
  <conditionalFormatting sqref="L366 O366 R366 X366">
    <cfRule type="cellIs" dxfId="194" priority="195" operator="between">
      <formula>0.01</formula>
      <formula>1</formula>
    </cfRule>
  </conditionalFormatting>
  <conditionalFormatting sqref="M366 P366 S366 Y366">
    <cfRule type="cellIs" dxfId="193" priority="194" operator="between">
      <formula>1</formula>
      <formula>1000</formula>
    </cfRule>
  </conditionalFormatting>
  <conditionalFormatting sqref="N366 Q366 T366:W366 Z366">
    <cfRule type="cellIs" dxfId="192" priority="193" operator="between">
      <formula>1</formula>
      <formula>100000</formula>
    </cfRule>
  </conditionalFormatting>
  <conditionalFormatting sqref="L367 O367 R367 X367">
    <cfRule type="cellIs" dxfId="191" priority="192" operator="between">
      <formula>0.01</formula>
      <formula>1</formula>
    </cfRule>
  </conditionalFormatting>
  <conditionalFormatting sqref="M367 P367 S367 Y367">
    <cfRule type="cellIs" dxfId="190" priority="191" operator="between">
      <formula>1</formula>
      <formula>1000</formula>
    </cfRule>
  </conditionalFormatting>
  <conditionalFormatting sqref="N367 Q367 T367:W367 Z367">
    <cfRule type="cellIs" dxfId="189" priority="190" operator="between">
      <formula>1</formula>
      <formula>100000</formula>
    </cfRule>
  </conditionalFormatting>
  <conditionalFormatting sqref="L368 O368 R368 X368">
    <cfRule type="cellIs" dxfId="188" priority="189" operator="between">
      <formula>0.01</formula>
      <formula>1</formula>
    </cfRule>
  </conditionalFormatting>
  <conditionalFormatting sqref="M368 P368 S368 Y368">
    <cfRule type="cellIs" dxfId="187" priority="188" operator="between">
      <formula>1</formula>
      <formula>1000</formula>
    </cfRule>
  </conditionalFormatting>
  <conditionalFormatting sqref="N368 Q368 T368:W368 Z368">
    <cfRule type="cellIs" dxfId="186" priority="187" operator="between">
      <formula>1</formula>
      <formula>100000</formula>
    </cfRule>
  </conditionalFormatting>
  <conditionalFormatting sqref="L369 O369 R369 X369">
    <cfRule type="cellIs" dxfId="185" priority="186" operator="between">
      <formula>0.01</formula>
      <formula>1</formula>
    </cfRule>
  </conditionalFormatting>
  <conditionalFormatting sqref="M369 P369 S369 Y369">
    <cfRule type="cellIs" dxfId="184" priority="185" operator="between">
      <formula>1</formula>
      <formula>1000</formula>
    </cfRule>
  </conditionalFormatting>
  <conditionalFormatting sqref="N369 Q369 T369:W369 Z369">
    <cfRule type="cellIs" dxfId="183" priority="184" operator="between">
      <formula>1</formula>
      <formula>100000</formula>
    </cfRule>
  </conditionalFormatting>
  <conditionalFormatting sqref="L370 O370 R370 X370">
    <cfRule type="cellIs" dxfId="182" priority="183" operator="between">
      <formula>0.01</formula>
      <formula>1</formula>
    </cfRule>
  </conditionalFormatting>
  <conditionalFormatting sqref="M370 P370 S370 Y370">
    <cfRule type="cellIs" dxfId="181" priority="182" operator="between">
      <formula>1</formula>
      <formula>1000</formula>
    </cfRule>
  </conditionalFormatting>
  <conditionalFormatting sqref="N370 Q370 T370:W370 Z370">
    <cfRule type="cellIs" dxfId="180" priority="181" operator="between">
      <formula>1</formula>
      <formula>100000</formula>
    </cfRule>
  </conditionalFormatting>
  <conditionalFormatting sqref="L371 O371 R371 X371">
    <cfRule type="cellIs" dxfId="179" priority="180" operator="between">
      <formula>0.01</formula>
      <formula>1</formula>
    </cfRule>
  </conditionalFormatting>
  <conditionalFormatting sqref="M371 P371 S371 Y371">
    <cfRule type="cellIs" dxfId="178" priority="179" operator="between">
      <formula>1</formula>
      <formula>1000</formula>
    </cfRule>
  </conditionalFormatting>
  <conditionalFormatting sqref="N371 Q371 T371:W371 Z371">
    <cfRule type="cellIs" dxfId="177" priority="178" operator="between">
      <formula>1</formula>
      <formula>100000</formula>
    </cfRule>
  </conditionalFormatting>
  <conditionalFormatting sqref="L372 O372 R372 X372">
    <cfRule type="cellIs" dxfId="176" priority="177" operator="between">
      <formula>0.01</formula>
      <formula>1</formula>
    </cfRule>
  </conditionalFormatting>
  <conditionalFormatting sqref="M372 P372 S372 Y372">
    <cfRule type="cellIs" dxfId="175" priority="176" operator="between">
      <formula>1</formula>
      <formula>1000</formula>
    </cfRule>
  </conditionalFormatting>
  <conditionalFormatting sqref="N372 Q372 T372:W372 Z372">
    <cfRule type="cellIs" dxfId="174" priority="175" operator="between">
      <formula>1</formula>
      <formula>100000</formula>
    </cfRule>
  </conditionalFormatting>
  <conditionalFormatting sqref="L373 O373 R373 X373">
    <cfRule type="cellIs" dxfId="173" priority="174" operator="between">
      <formula>0.01</formula>
      <formula>1</formula>
    </cfRule>
  </conditionalFormatting>
  <conditionalFormatting sqref="M373 P373 S373 Y373">
    <cfRule type="cellIs" dxfId="172" priority="173" operator="between">
      <formula>1</formula>
      <formula>1000</formula>
    </cfRule>
  </conditionalFormatting>
  <conditionalFormatting sqref="N373 Q373 T373:W373 Z373">
    <cfRule type="cellIs" dxfId="171" priority="172" operator="between">
      <formula>1</formula>
      <formula>100000</formula>
    </cfRule>
  </conditionalFormatting>
  <conditionalFormatting sqref="L375 O375 R375 X375">
    <cfRule type="cellIs" dxfId="170" priority="171" operator="between">
      <formula>0.01</formula>
      <formula>1</formula>
    </cfRule>
  </conditionalFormatting>
  <conditionalFormatting sqref="M375 P375 S375 Y375">
    <cfRule type="cellIs" dxfId="169" priority="170" operator="between">
      <formula>1</formula>
      <formula>1000</formula>
    </cfRule>
  </conditionalFormatting>
  <conditionalFormatting sqref="N375 Q375 T375:W375 Z375">
    <cfRule type="cellIs" dxfId="168" priority="169" operator="between">
      <formula>1</formula>
      <formula>100000</formula>
    </cfRule>
  </conditionalFormatting>
  <conditionalFormatting sqref="L378 O378 R378 X378">
    <cfRule type="cellIs" dxfId="167" priority="168" operator="between">
      <formula>0.01</formula>
      <formula>1</formula>
    </cfRule>
  </conditionalFormatting>
  <conditionalFormatting sqref="M378 P378 S378 Y378">
    <cfRule type="cellIs" dxfId="166" priority="167" operator="between">
      <formula>1</formula>
      <formula>1000</formula>
    </cfRule>
  </conditionalFormatting>
  <conditionalFormatting sqref="N378 Q378 T378:W378 Z378">
    <cfRule type="cellIs" dxfId="165" priority="166" operator="between">
      <formula>1</formula>
      <formula>100000</formula>
    </cfRule>
  </conditionalFormatting>
  <conditionalFormatting sqref="L379 O379 R379 X379">
    <cfRule type="cellIs" dxfId="164" priority="165" operator="between">
      <formula>0.01</formula>
      <formula>1</formula>
    </cfRule>
  </conditionalFormatting>
  <conditionalFormatting sqref="M379 P379 S379 Y379">
    <cfRule type="cellIs" dxfId="163" priority="164" operator="between">
      <formula>1</formula>
      <formula>1000</formula>
    </cfRule>
  </conditionalFormatting>
  <conditionalFormatting sqref="N379 Q379 T379:W379 Z379">
    <cfRule type="cellIs" dxfId="162" priority="163" operator="between">
      <formula>1</formula>
      <formula>100000</formula>
    </cfRule>
  </conditionalFormatting>
  <conditionalFormatting sqref="L380 O380 R380 X380">
    <cfRule type="cellIs" dxfId="161" priority="162" operator="between">
      <formula>0.01</formula>
      <formula>1</formula>
    </cfRule>
  </conditionalFormatting>
  <conditionalFormatting sqref="M380 P380 S380 Y380">
    <cfRule type="cellIs" dxfId="160" priority="161" operator="between">
      <formula>1</formula>
      <formula>1000</formula>
    </cfRule>
  </conditionalFormatting>
  <conditionalFormatting sqref="N380 Q380 T380:W380 Z380">
    <cfRule type="cellIs" dxfId="159" priority="160" operator="between">
      <formula>1</formula>
      <formula>100000</formula>
    </cfRule>
  </conditionalFormatting>
  <conditionalFormatting sqref="L381 O381 R381 X381">
    <cfRule type="cellIs" dxfId="158" priority="159" operator="between">
      <formula>0.01</formula>
      <formula>1</formula>
    </cfRule>
  </conditionalFormatting>
  <conditionalFormatting sqref="M381 P381 S381 Y381">
    <cfRule type="cellIs" dxfId="157" priority="158" operator="between">
      <formula>1</formula>
      <formula>1000</formula>
    </cfRule>
  </conditionalFormatting>
  <conditionalFormatting sqref="N381 Q381 T381:W381 Z381">
    <cfRule type="cellIs" dxfId="156" priority="157" operator="between">
      <formula>1</formula>
      <formula>100000</formula>
    </cfRule>
  </conditionalFormatting>
  <conditionalFormatting sqref="L383 O383 R383 X383">
    <cfRule type="cellIs" dxfId="155" priority="156" operator="between">
      <formula>0.01</formula>
      <formula>1</formula>
    </cfRule>
  </conditionalFormatting>
  <conditionalFormatting sqref="M383 P383 S383 Y383">
    <cfRule type="cellIs" dxfId="154" priority="155" operator="between">
      <formula>1</formula>
      <formula>1000</formula>
    </cfRule>
  </conditionalFormatting>
  <conditionalFormatting sqref="N383 Q383 T383:W383 Z383">
    <cfRule type="cellIs" dxfId="153" priority="154" operator="between">
      <formula>1</formula>
      <formula>100000</formula>
    </cfRule>
  </conditionalFormatting>
  <conditionalFormatting sqref="L384 O384 R384 X384">
    <cfRule type="cellIs" dxfId="152" priority="153" operator="between">
      <formula>0.01</formula>
      <formula>1</formula>
    </cfRule>
  </conditionalFormatting>
  <conditionalFormatting sqref="M384 P384 S384 Y384">
    <cfRule type="cellIs" dxfId="151" priority="152" operator="between">
      <formula>1</formula>
      <formula>1000</formula>
    </cfRule>
  </conditionalFormatting>
  <conditionalFormatting sqref="N384 Q384 T384:W384 Z384">
    <cfRule type="cellIs" dxfId="150" priority="151" operator="between">
      <formula>1</formula>
      <formula>100000</formula>
    </cfRule>
  </conditionalFormatting>
  <conditionalFormatting sqref="L385 O385 R385 X385">
    <cfRule type="cellIs" dxfId="149" priority="150" operator="between">
      <formula>0.01</formula>
      <formula>1</formula>
    </cfRule>
  </conditionalFormatting>
  <conditionalFormatting sqref="M385 P385 S385 Y385">
    <cfRule type="cellIs" dxfId="148" priority="149" operator="between">
      <formula>1</formula>
      <formula>1000</formula>
    </cfRule>
  </conditionalFormatting>
  <conditionalFormatting sqref="N385 Q385 T385:W385 Z385">
    <cfRule type="cellIs" dxfId="147" priority="148" operator="between">
      <formula>1</formula>
      <formula>100000</formula>
    </cfRule>
  </conditionalFormatting>
  <conditionalFormatting sqref="L386 O386 R386 X386">
    <cfRule type="cellIs" dxfId="146" priority="147" operator="between">
      <formula>0.01</formula>
      <formula>1</formula>
    </cfRule>
  </conditionalFormatting>
  <conditionalFormatting sqref="M386 P386 S386 Y386">
    <cfRule type="cellIs" dxfId="145" priority="146" operator="between">
      <formula>1</formula>
      <formula>1000</formula>
    </cfRule>
  </conditionalFormatting>
  <conditionalFormatting sqref="N386 Q386 T386:W386 Z386">
    <cfRule type="cellIs" dxfId="144" priority="145" operator="between">
      <formula>1</formula>
      <formula>100000</formula>
    </cfRule>
  </conditionalFormatting>
  <conditionalFormatting sqref="L387 O387 R387 X387">
    <cfRule type="cellIs" dxfId="143" priority="144" operator="between">
      <formula>0.01</formula>
      <formula>1</formula>
    </cfRule>
  </conditionalFormatting>
  <conditionalFormatting sqref="M387 P387 S387 Y387">
    <cfRule type="cellIs" dxfId="142" priority="143" operator="between">
      <formula>1</formula>
      <formula>1000</formula>
    </cfRule>
  </conditionalFormatting>
  <conditionalFormatting sqref="N387 Q387 T387:W387 Z387">
    <cfRule type="cellIs" dxfId="141" priority="142" operator="between">
      <formula>1</formula>
      <formula>100000</formula>
    </cfRule>
  </conditionalFormatting>
  <conditionalFormatting sqref="L388 O388 R388 X388">
    <cfRule type="cellIs" dxfId="140" priority="141" operator="between">
      <formula>0.01</formula>
      <formula>1</formula>
    </cfRule>
  </conditionalFormatting>
  <conditionalFormatting sqref="M388 P388 S388 Y388">
    <cfRule type="cellIs" dxfId="139" priority="140" operator="between">
      <formula>1</formula>
      <formula>1000</formula>
    </cfRule>
  </conditionalFormatting>
  <conditionalFormatting sqref="N388 Q388 T388:W388 Z388">
    <cfRule type="cellIs" dxfId="138" priority="139" operator="between">
      <formula>1</formula>
      <formula>100000</formula>
    </cfRule>
  </conditionalFormatting>
  <conditionalFormatting sqref="L389 O389 R389 X389">
    <cfRule type="cellIs" dxfId="137" priority="138" operator="between">
      <formula>0.01</formula>
      <formula>1</formula>
    </cfRule>
  </conditionalFormatting>
  <conditionalFormatting sqref="M389 P389 S389 Y389">
    <cfRule type="cellIs" dxfId="136" priority="137" operator="between">
      <formula>1</formula>
      <formula>1000</formula>
    </cfRule>
  </conditionalFormatting>
  <conditionalFormatting sqref="N389 Q389 T389:W389 Z389">
    <cfRule type="cellIs" dxfId="135" priority="136" operator="between">
      <formula>1</formula>
      <formula>100000</formula>
    </cfRule>
  </conditionalFormatting>
  <conditionalFormatting sqref="L390 O390 R390 X390">
    <cfRule type="cellIs" dxfId="134" priority="135" operator="between">
      <formula>0.01</formula>
      <formula>1</formula>
    </cfRule>
  </conditionalFormatting>
  <conditionalFormatting sqref="M390 P390 S390 Y390">
    <cfRule type="cellIs" dxfId="133" priority="134" operator="between">
      <formula>1</formula>
      <formula>1000</formula>
    </cfRule>
  </conditionalFormatting>
  <conditionalFormatting sqref="N390 Q390 T390:W390 Z390">
    <cfRule type="cellIs" dxfId="132" priority="133" operator="between">
      <formula>1</formula>
      <formula>100000</formula>
    </cfRule>
  </conditionalFormatting>
  <conditionalFormatting sqref="L391 O391 R391 X391">
    <cfRule type="cellIs" dxfId="131" priority="132" operator="between">
      <formula>0.01</formula>
      <formula>1</formula>
    </cfRule>
  </conditionalFormatting>
  <conditionalFormatting sqref="M391 P391 S391 Y391">
    <cfRule type="cellIs" dxfId="130" priority="131" operator="between">
      <formula>1</formula>
      <formula>1000</formula>
    </cfRule>
  </conditionalFormatting>
  <conditionalFormatting sqref="N391 Q391 T391:W391 Z391">
    <cfRule type="cellIs" dxfId="129" priority="130" operator="between">
      <formula>1</formula>
      <formula>100000</formula>
    </cfRule>
  </conditionalFormatting>
  <conditionalFormatting sqref="L392 O392 R392 X392">
    <cfRule type="cellIs" dxfId="128" priority="129" operator="between">
      <formula>0.01</formula>
      <formula>1</formula>
    </cfRule>
  </conditionalFormatting>
  <conditionalFormatting sqref="M392 P392 S392 Y392">
    <cfRule type="cellIs" dxfId="127" priority="128" operator="between">
      <formula>1</formula>
      <formula>1000</formula>
    </cfRule>
  </conditionalFormatting>
  <conditionalFormatting sqref="N392 Q392 T392:W392 Z392">
    <cfRule type="cellIs" dxfId="126" priority="127" operator="between">
      <formula>1</formula>
      <formula>100000</formula>
    </cfRule>
  </conditionalFormatting>
  <conditionalFormatting sqref="L393 O393 R393 X393">
    <cfRule type="cellIs" dxfId="125" priority="126" operator="between">
      <formula>0.01</formula>
      <formula>1</formula>
    </cfRule>
  </conditionalFormatting>
  <conditionalFormatting sqref="M393 P393 S393 Y393">
    <cfRule type="cellIs" dxfId="124" priority="125" operator="between">
      <formula>1</formula>
      <formula>1000</formula>
    </cfRule>
  </conditionalFormatting>
  <conditionalFormatting sqref="N393 Q393 T393:W393 Z393">
    <cfRule type="cellIs" dxfId="123" priority="124" operator="between">
      <formula>1</formula>
      <formula>100000</formula>
    </cfRule>
  </conditionalFormatting>
  <conditionalFormatting sqref="L394 O394 R394 X394">
    <cfRule type="cellIs" dxfId="122" priority="123" operator="between">
      <formula>0.01</formula>
      <formula>1</formula>
    </cfRule>
  </conditionalFormatting>
  <conditionalFormatting sqref="M394 P394 S394 Y394">
    <cfRule type="cellIs" dxfId="121" priority="122" operator="between">
      <formula>1</formula>
      <formula>1000</formula>
    </cfRule>
  </conditionalFormatting>
  <conditionalFormatting sqref="N394 Q394 T394:W394 Z394">
    <cfRule type="cellIs" dxfId="120" priority="121" operator="between">
      <formula>1</formula>
      <formula>100000</formula>
    </cfRule>
  </conditionalFormatting>
  <conditionalFormatting sqref="L395 O395 R395 X395">
    <cfRule type="cellIs" dxfId="119" priority="120" operator="between">
      <formula>0.01</formula>
      <formula>1</formula>
    </cfRule>
  </conditionalFormatting>
  <conditionalFormatting sqref="M395 P395 S395 Y395">
    <cfRule type="cellIs" dxfId="118" priority="119" operator="between">
      <formula>1</formula>
      <formula>1000</formula>
    </cfRule>
  </conditionalFormatting>
  <conditionalFormatting sqref="N395 Q395 T395:W395 Z395">
    <cfRule type="cellIs" dxfId="117" priority="118" operator="between">
      <formula>1</formula>
      <formula>100000</formula>
    </cfRule>
  </conditionalFormatting>
  <conditionalFormatting sqref="L396 O396 R396 X396">
    <cfRule type="cellIs" dxfId="116" priority="117" operator="between">
      <formula>0.01</formula>
      <formula>1</formula>
    </cfRule>
  </conditionalFormatting>
  <conditionalFormatting sqref="M396 P396 S396 Y396">
    <cfRule type="cellIs" dxfId="115" priority="116" operator="between">
      <formula>1</formula>
      <formula>1000</formula>
    </cfRule>
  </conditionalFormatting>
  <conditionalFormatting sqref="N396 Q396 T396:W396 Z396">
    <cfRule type="cellIs" dxfId="114" priority="115" operator="between">
      <formula>1</formula>
      <formula>100000</formula>
    </cfRule>
  </conditionalFormatting>
  <conditionalFormatting sqref="L397 O397 R397 X397">
    <cfRule type="cellIs" dxfId="113" priority="114" operator="between">
      <formula>0.01</formula>
      <formula>1</formula>
    </cfRule>
  </conditionalFormatting>
  <conditionalFormatting sqref="M397 P397 S397 Y397">
    <cfRule type="cellIs" dxfId="112" priority="113" operator="between">
      <formula>1</formula>
      <formula>1000</formula>
    </cfRule>
  </conditionalFormatting>
  <conditionalFormatting sqref="N397 Q397 T397:W397 Z397">
    <cfRule type="cellIs" dxfId="111" priority="112" operator="between">
      <formula>1</formula>
      <formula>100000</formula>
    </cfRule>
  </conditionalFormatting>
  <conditionalFormatting sqref="L398 O398 R398 X398">
    <cfRule type="cellIs" dxfId="110" priority="111" operator="between">
      <formula>0.01</formula>
      <formula>1</formula>
    </cfRule>
  </conditionalFormatting>
  <conditionalFormatting sqref="M398 P398 S398 Y398">
    <cfRule type="cellIs" dxfId="109" priority="110" operator="between">
      <formula>1</formula>
      <formula>1000</formula>
    </cfRule>
  </conditionalFormatting>
  <conditionalFormatting sqref="N398 Q398 T398:W398 Z398">
    <cfRule type="cellIs" dxfId="108" priority="109" operator="between">
      <formula>1</formula>
      <formula>100000</formula>
    </cfRule>
  </conditionalFormatting>
  <conditionalFormatting sqref="L400 O400 R400 X400">
    <cfRule type="cellIs" dxfId="107" priority="108" operator="between">
      <formula>0.01</formula>
      <formula>1</formula>
    </cfRule>
  </conditionalFormatting>
  <conditionalFormatting sqref="M400 P400 S400 Y400">
    <cfRule type="cellIs" dxfId="106" priority="107" operator="between">
      <formula>1</formula>
      <formula>1000</formula>
    </cfRule>
  </conditionalFormatting>
  <conditionalFormatting sqref="N400 Q400 T400:W400 Z400">
    <cfRule type="cellIs" dxfId="105" priority="106" operator="between">
      <formula>1</formula>
      <formula>100000</formula>
    </cfRule>
  </conditionalFormatting>
  <conditionalFormatting sqref="L401 O401 R401 X401">
    <cfRule type="cellIs" dxfId="104" priority="105" operator="between">
      <formula>0.01</formula>
      <formula>1</formula>
    </cfRule>
  </conditionalFormatting>
  <conditionalFormatting sqref="M401 P401 S401 Y401">
    <cfRule type="cellIs" dxfId="103" priority="104" operator="between">
      <formula>1</formula>
      <formula>1000</formula>
    </cfRule>
  </conditionalFormatting>
  <conditionalFormatting sqref="N401 Q401 T401:W401 Z401">
    <cfRule type="cellIs" dxfId="102" priority="103" operator="between">
      <formula>1</formula>
      <formula>100000</formula>
    </cfRule>
  </conditionalFormatting>
  <conditionalFormatting sqref="L403 O403 R403 X403">
    <cfRule type="cellIs" dxfId="101" priority="102" operator="between">
      <formula>0.01</formula>
      <formula>1</formula>
    </cfRule>
  </conditionalFormatting>
  <conditionalFormatting sqref="M403 P403 S403 Y403">
    <cfRule type="cellIs" dxfId="100" priority="101" operator="between">
      <formula>1</formula>
      <formula>1000</formula>
    </cfRule>
  </conditionalFormatting>
  <conditionalFormatting sqref="N403 Q403 T403:W403 Z403">
    <cfRule type="cellIs" dxfId="99" priority="100" operator="between">
      <formula>1</formula>
      <formula>100000</formula>
    </cfRule>
  </conditionalFormatting>
  <conditionalFormatting sqref="L405 O405 R405 X405">
    <cfRule type="cellIs" dxfId="98" priority="99" operator="between">
      <formula>0.01</formula>
      <formula>1</formula>
    </cfRule>
  </conditionalFormatting>
  <conditionalFormatting sqref="M405 P405 S405 Y405">
    <cfRule type="cellIs" dxfId="97" priority="98" operator="between">
      <formula>1</formula>
      <formula>1000</formula>
    </cfRule>
  </conditionalFormatting>
  <conditionalFormatting sqref="N405 Q405 T405:W405 Z405">
    <cfRule type="cellIs" dxfId="96" priority="97" operator="between">
      <formula>1</formula>
      <formula>100000</formula>
    </cfRule>
  </conditionalFormatting>
  <conditionalFormatting sqref="L407 O407 R407 X407">
    <cfRule type="cellIs" dxfId="95" priority="96" operator="between">
      <formula>0.01</formula>
      <formula>1</formula>
    </cfRule>
  </conditionalFormatting>
  <conditionalFormatting sqref="M407 P407 S407 Y407">
    <cfRule type="cellIs" dxfId="94" priority="95" operator="between">
      <formula>1</formula>
      <formula>1000</formula>
    </cfRule>
  </conditionalFormatting>
  <conditionalFormatting sqref="N407 Q407 T407:W407 Z407">
    <cfRule type="cellIs" dxfId="93" priority="94" operator="between">
      <formula>1</formula>
      <formula>100000</formula>
    </cfRule>
  </conditionalFormatting>
  <conditionalFormatting sqref="L409 O409 R409 X409">
    <cfRule type="cellIs" dxfId="92" priority="93" operator="between">
      <formula>0.01</formula>
      <formula>1</formula>
    </cfRule>
  </conditionalFormatting>
  <conditionalFormatting sqref="M409 P409 S409 Y409">
    <cfRule type="cellIs" dxfId="91" priority="92" operator="between">
      <formula>1</formula>
      <formula>1000</formula>
    </cfRule>
  </conditionalFormatting>
  <conditionalFormatting sqref="N409 Q409 T409:W409 Z409">
    <cfRule type="cellIs" dxfId="90" priority="91" operator="between">
      <formula>1</formula>
      <formula>100000</formula>
    </cfRule>
  </conditionalFormatting>
  <conditionalFormatting sqref="L411 O411 R411 X411">
    <cfRule type="cellIs" dxfId="89" priority="90" operator="between">
      <formula>0.01</formula>
      <formula>1</formula>
    </cfRule>
  </conditionalFormatting>
  <conditionalFormatting sqref="M411 P411 S411 Y411">
    <cfRule type="cellIs" dxfId="88" priority="89" operator="between">
      <formula>1</formula>
      <formula>1000</formula>
    </cfRule>
  </conditionalFormatting>
  <conditionalFormatting sqref="N411 Q411 T411:W411 Z411">
    <cfRule type="cellIs" dxfId="87" priority="88" operator="between">
      <formula>1</formula>
      <formula>100000</formula>
    </cfRule>
  </conditionalFormatting>
  <conditionalFormatting sqref="L413 O413 R413 X413">
    <cfRule type="cellIs" dxfId="86" priority="87" operator="between">
      <formula>0.01</formula>
      <formula>1</formula>
    </cfRule>
  </conditionalFormatting>
  <conditionalFormatting sqref="M413 P413 S413 Y413">
    <cfRule type="cellIs" dxfId="85" priority="86" operator="between">
      <formula>1</formula>
      <formula>1000</formula>
    </cfRule>
  </conditionalFormatting>
  <conditionalFormatting sqref="N413 Q413 T413:W413 Z413">
    <cfRule type="cellIs" dxfId="84" priority="85" operator="between">
      <formula>1</formula>
      <formula>100000</formula>
    </cfRule>
  </conditionalFormatting>
  <conditionalFormatting sqref="L416 O416 R416 X416">
    <cfRule type="cellIs" dxfId="83" priority="84" operator="between">
      <formula>0.01</formula>
      <formula>1</formula>
    </cfRule>
  </conditionalFormatting>
  <conditionalFormatting sqref="M416 P416 S416 Y416">
    <cfRule type="cellIs" dxfId="82" priority="83" operator="between">
      <formula>1</formula>
      <formula>1000</formula>
    </cfRule>
  </conditionalFormatting>
  <conditionalFormatting sqref="N416 Q416 T416:W416 Z416">
    <cfRule type="cellIs" dxfId="81" priority="82" operator="between">
      <formula>1</formula>
      <formula>100000</formula>
    </cfRule>
  </conditionalFormatting>
  <conditionalFormatting sqref="L417 O417 R417 X417">
    <cfRule type="cellIs" dxfId="80" priority="81" operator="between">
      <formula>0.01</formula>
      <formula>1</formula>
    </cfRule>
  </conditionalFormatting>
  <conditionalFormatting sqref="M417 P417 S417 Y417">
    <cfRule type="cellIs" dxfId="79" priority="80" operator="between">
      <formula>1</formula>
      <formula>1000</formula>
    </cfRule>
  </conditionalFormatting>
  <conditionalFormatting sqref="N417 Q417 T417:W417 Z417">
    <cfRule type="cellIs" dxfId="78" priority="79" operator="between">
      <formula>1</formula>
      <formula>100000</formula>
    </cfRule>
  </conditionalFormatting>
  <conditionalFormatting sqref="L418 O418 R418 X418">
    <cfRule type="cellIs" dxfId="77" priority="78" operator="between">
      <formula>0.01</formula>
      <formula>1</formula>
    </cfRule>
  </conditionalFormatting>
  <conditionalFormatting sqref="M418 P418 S418 Y418">
    <cfRule type="cellIs" dxfId="76" priority="77" operator="between">
      <formula>1</formula>
      <formula>1000</formula>
    </cfRule>
  </conditionalFormatting>
  <conditionalFormatting sqref="N418 Q418 T418:W418 Z418">
    <cfRule type="cellIs" dxfId="75" priority="76" operator="between">
      <formula>1</formula>
      <formula>100000</formula>
    </cfRule>
  </conditionalFormatting>
  <conditionalFormatting sqref="L419 O419 R419 X419">
    <cfRule type="cellIs" dxfId="74" priority="75" operator="between">
      <formula>0.01</formula>
      <formula>1</formula>
    </cfRule>
  </conditionalFormatting>
  <conditionalFormatting sqref="M419 P419 S419 Y419">
    <cfRule type="cellIs" dxfId="73" priority="74" operator="between">
      <formula>1</formula>
      <formula>1000</formula>
    </cfRule>
  </conditionalFormatting>
  <conditionalFormatting sqref="N419 Q419 T419:W419 Z419">
    <cfRule type="cellIs" dxfId="72" priority="73" operator="between">
      <formula>1</formula>
      <formula>100000</formula>
    </cfRule>
  </conditionalFormatting>
  <conditionalFormatting sqref="L420 O420 R420 X420">
    <cfRule type="cellIs" dxfId="71" priority="72" operator="between">
      <formula>0.01</formula>
      <formula>1</formula>
    </cfRule>
  </conditionalFormatting>
  <conditionalFormatting sqref="M420 P420 S420 Y420">
    <cfRule type="cellIs" dxfId="70" priority="71" operator="between">
      <formula>1</formula>
      <formula>1000</formula>
    </cfRule>
  </conditionalFormatting>
  <conditionalFormatting sqref="N420 Q420 T420:W420 Z420">
    <cfRule type="cellIs" dxfId="69" priority="70" operator="between">
      <formula>1</formula>
      <formula>100000</formula>
    </cfRule>
  </conditionalFormatting>
  <conditionalFormatting sqref="L421 O421 R421 X421">
    <cfRule type="cellIs" dxfId="68" priority="69" operator="between">
      <formula>0.01</formula>
      <formula>1</formula>
    </cfRule>
  </conditionalFormatting>
  <conditionalFormatting sqref="M421 P421 S421 Y421">
    <cfRule type="cellIs" dxfId="67" priority="68" operator="between">
      <formula>1</formula>
      <formula>1000</formula>
    </cfRule>
  </conditionalFormatting>
  <conditionalFormatting sqref="N421 Q421 T421:W421 Z421">
    <cfRule type="cellIs" dxfId="66" priority="67" operator="between">
      <formula>1</formula>
      <formula>100000</formula>
    </cfRule>
  </conditionalFormatting>
  <conditionalFormatting sqref="L422 O422 R422 X422">
    <cfRule type="cellIs" dxfId="65" priority="66" operator="between">
      <formula>0.01</formula>
      <formula>1</formula>
    </cfRule>
  </conditionalFormatting>
  <conditionalFormatting sqref="M422 P422 S422 Y422">
    <cfRule type="cellIs" dxfId="64" priority="65" operator="between">
      <formula>1</formula>
      <formula>1000</formula>
    </cfRule>
  </conditionalFormatting>
  <conditionalFormatting sqref="N422 Q422 T422:W422 Z422">
    <cfRule type="cellIs" dxfId="63" priority="64" operator="between">
      <formula>1</formula>
      <formula>100000</formula>
    </cfRule>
  </conditionalFormatting>
  <conditionalFormatting sqref="L423 O423 R423 X423">
    <cfRule type="cellIs" dxfId="62" priority="63" operator="between">
      <formula>0.01</formula>
      <formula>1</formula>
    </cfRule>
  </conditionalFormatting>
  <conditionalFormatting sqref="M423 P423 S423 Y423">
    <cfRule type="cellIs" dxfId="61" priority="62" operator="between">
      <formula>1</formula>
      <formula>1000</formula>
    </cfRule>
  </conditionalFormatting>
  <conditionalFormatting sqref="N423 Q423 T423:W423 Z423">
    <cfRule type="cellIs" dxfId="60" priority="61" operator="between">
      <formula>1</formula>
      <formula>100000</formula>
    </cfRule>
  </conditionalFormatting>
  <conditionalFormatting sqref="L424 O424 R424 X424">
    <cfRule type="cellIs" dxfId="59" priority="60" operator="between">
      <formula>0.01</formula>
      <formula>1</formula>
    </cfRule>
  </conditionalFormatting>
  <conditionalFormatting sqref="M424 P424 S424 Y424">
    <cfRule type="cellIs" dxfId="58" priority="59" operator="between">
      <formula>1</formula>
      <formula>1000</formula>
    </cfRule>
  </conditionalFormatting>
  <conditionalFormatting sqref="N424 Q424 T424:W424 Z424">
    <cfRule type="cellIs" dxfId="57" priority="58" operator="between">
      <formula>1</formula>
      <formula>100000</formula>
    </cfRule>
  </conditionalFormatting>
  <conditionalFormatting sqref="L425 O425 R425 X425">
    <cfRule type="cellIs" dxfId="56" priority="57" operator="between">
      <formula>0.01</formula>
      <formula>1</formula>
    </cfRule>
  </conditionalFormatting>
  <conditionalFormatting sqref="M425 P425 S425 Y425">
    <cfRule type="cellIs" dxfId="55" priority="56" operator="between">
      <formula>1</formula>
      <formula>1000</formula>
    </cfRule>
  </conditionalFormatting>
  <conditionalFormatting sqref="N425 Q425 T425:W425 Z425">
    <cfRule type="cellIs" dxfId="54" priority="55" operator="between">
      <formula>1</formula>
      <formula>100000</formula>
    </cfRule>
  </conditionalFormatting>
  <conditionalFormatting sqref="L426 O426 R426 X426">
    <cfRule type="cellIs" dxfId="53" priority="54" operator="between">
      <formula>0.01</formula>
      <formula>1</formula>
    </cfRule>
  </conditionalFormatting>
  <conditionalFormatting sqref="M426 P426 S426 Y426">
    <cfRule type="cellIs" dxfId="52" priority="53" operator="between">
      <formula>1</formula>
      <formula>1000</formula>
    </cfRule>
  </conditionalFormatting>
  <conditionalFormatting sqref="N426 Q426 T426:W426 Z426">
    <cfRule type="cellIs" dxfId="51" priority="52" operator="between">
      <formula>1</formula>
      <formula>100000</formula>
    </cfRule>
  </conditionalFormatting>
  <conditionalFormatting sqref="L427 O427 R427 X427">
    <cfRule type="cellIs" dxfId="50" priority="51" operator="between">
      <formula>0.01</formula>
      <formula>1</formula>
    </cfRule>
  </conditionalFormatting>
  <conditionalFormatting sqref="M427 P427 S427 Y427">
    <cfRule type="cellIs" dxfId="49" priority="50" operator="between">
      <formula>1</formula>
      <formula>1000</formula>
    </cfRule>
  </conditionalFormatting>
  <conditionalFormatting sqref="N427 Q427 T427:W427 Z427">
    <cfRule type="cellIs" dxfId="48" priority="49" operator="between">
      <formula>1</formula>
      <formula>100000</formula>
    </cfRule>
  </conditionalFormatting>
  <conditionalFormatting sqref="L430 O430 R430 X430">
    <cfRule type="cellIs" dxfId="47" priority="48" operator="between">
      <formula>0.01</formula>
      <formula>1</formula>
    </cfRule>
  </conditionalFormatting>
  <conditionalFormatting sqref="M430 P430 S430 Y430">
    <cfRule type="cellIs" dxfId="46" priority="47" operator="between">
      <formula>1</formula>
      <formula>1000</formula>
    </cfRule>
  </conditionalFormatting>
  <conditionalFormatting sqref="N430 Q430 T430:W430 Z430">
    <cfRule type="cellIs" dxfId="45" priority="46" operator="between">
      <formula>1</formula>
      <formula>100000</formula>
    </cfRule>
  </conditionalFormatting>
  <conditionalFormatting sqref="L431 O431 R431 X431">
    <cfRule type="cellIs" dxfId="44" priority="45" operator="between">
      <formula>0.01</formula>
      <formula>1</formula>
    </cfRule>
  </conditionalFormatting>
  <conditionalFormatting sqref="M431 P431 S431 Y431">
    <cfRule type="cellIs" dxfId="43" priority="44" operator="between">
      <formula>1</formula>
      <formula>1000</formula>
    </cfRule>
  </conditionalFormatting>
  <conditionalFormatting sqref="N431 Q431 T431:W431 Z431">
    <cfRule type="cellIs" dxfId="42" priority="43" operator="between">
      <formula>1</formula>
      <formula>100000</formula>
    </cfRule>
  </conditionalFormatting>
  <conditionalFormatting sqref="L432 O432 R432 X432">
    <cfRule type="cellIs" dxfId="41" priority="42" operator="between">
      <formula>0.01</formula>
      <formula>1</formula>
    </cfRule>
  </conditionalFormatting>
  <conditionalFormatting sqref="M432 P432 S432 Y432">
    <cfRule type="cellIs" dxfId="40" priority="41" operator="between">
      <formula>1</formula>
      <formula>1000</formula>
    </cfRule>
  </conditionalFormatting>
  <conditionalFormatting sqref="N432 Q432 T432:W432 Z432">
    <cfRule type="cellIs" dxfId="39" priority="40" operator="between">
      <formula>1</formula>
      <formula>100000</formula>
    </cfRule>
  </conditionalFormatting>
  <conditionalFormatting sqref="L434 O434 R434 X434">
    <cfRule type="cellIs" dxfId="38" priority="39" operator="between">
      <formula>0.01</formula>
      <formula>1</formula>
    </cfRule>
  </conditionalFormatting>
  <conditionalFormatting sqref="M434 P434 S434 Y434">
    <cfRule type="cellIs" dxfId="37" priority="38" operator="between">
      <formula>1</formula>
      <formula>1000</formula>
    </cfRule>
  </conditionalFormatting>
  <conditionalFormatting sqref="N434 Q434 T434:W434 Z434">
    <cfRule type="cellIs" dxfId="36" priority="37" operator="between">
      <formula>1</formula>
      <formula>100000</formula>
    </cfRule>
  </conditionalFormatting>
  <conditionalFormatting sqref="L435 O435 R435 X435">
    <cfRule type="cellIs" dxfId="35" priority="36" operator="between">
      <formula>0.01</formula>
      <formula>1</formula>
    </cfRule>
  </conditionalFormatting>
  <conditionalFormatting sqref="M435 P435 S435 Y435">
    <cfRule type="cellIs" dxfId="34" priority="35" operator="between">
      <formula>1</formula>
      <formula>1000</formula>
    </cfRule>
  </conditionalFormatting>
  <conditionalFormatting sqref="N435 Q435 T435:W435 Z435">
    <cfRule type="cellIs" dxfId="33" priority="34" operator="between">
      <formula>1</formula>
      <formula>100000</formula>
    </cfRule>
  </conditionalFormatting>
  <conditionalFormatting sqref="L437 O437 R437 X437">
    <cfRule type="cellIs" dxfId="32" priority="33" operator="between">
      <formula>0.01</formula>
      <formula>1</formula>
    </cfRule>
  </conditionalFormatting>
  <conditionalFormatting sqref="M437 P437 S437 Y437">
    <cfRule type="cellIs" dxfId="31" priority="32" operator="between">
      <formula>1</formula>
      <formula>1000</formula>
    </cfRule>
  </conditionalFormatting>
  <conditionalFormatting sqref="N437 Q437 T437:W437 Z437">
    <cfRule type="cellIs" dxfId="30" priority="31" operator="between">
      <formula>1</formula>
      <formula>100000</formula>
    </cfRule>
  </conditionalFormatting>
  <conditionalFormatting sqref="L438 O438 R438 X438">
    <cfRule type="cellIs" dxfId="29" priority="30" operator="between">
      <formula>0.01</formula>
      <formula>1</formula>
    </cfRule>
  </conditionalFormatting>
  <conditionalFormatting sqref="M438 P438 S438 Y438">
    <cfRule type="cellIs" dxfId="28" priority="29" operator="between">
      <formula>1</formula>
      <formula>1000</formula>
    </cfRule>
  </conditionalFormatting>
  <conditionalFormatting sqref="N438 Q438 T438:W438 Z438">
    <cfRule type="cellIs" dxfId="27" priority="28" operator="between">
      <formula>1</formula>
      <formula>100000</formula>
    </cfRule>
  </conditionalFormatting>
  <conditionalFormatting sqref="L439 O439 R439 X439">
    <cfRule type="cellIs" dxfId="26" priority="27" operator="between">
      <formula>0.01</formula>
      <formula>1</formula>
    </cfRule>
  </conditionalFormatting>
  <conditionalFormatting sqref="M439 P439 S439 Y439">
    <cfRule type="cellIs" dxfId="25" priority="26" operator="between">
      <formula>1</formula>
      <formula>1000</formula>
    </cfRule>
  </conditionalFormatting>
  <conditionalFormatting sqref="N439 Q439 T439:W439 Z439">
    <cfRule type="cellIs" dxfId="24" priority="25" operator="between">
      <formula>1</formula>
      <formula>100000</formula>
    </cfRule>
  </conditionalFormatting>
  <conditionalFormatting sqref="L440 O440 R440 X440">
    <cfRule type="cellIs" dxfId="23" priority="24" operator="between">
      <formula>0.01</formula>
      <formula>1</formula>
    </cfRule>
  </conditionalFormatting>
  <conditionalFormatting sqref="M440 P440 S440 Y440">
    <cfRule type="cellIs" dxfId="22" priority="23" operator="between">
      <formula>1</formula>
      <formula>1000</formula>
    </cfRule>
  </conditionalFormatting>
  <conditionalFormatting sqref="N440 Q440 T440:W440 Z440">
    <cfRule type="cellIs" dxfId="21" priority="22" operator="between">
      <formula>1</formula>
      <formula>100000</formula>
    </cfRule>
  </conditionalFormatting>
  <conditionalFormatting sqref="L442 O442 R442 X442">
    <cfRule type="cellIs" dxfId="20" priority="21" operator="between">
      <formula>0.01</formula>
      <formula>1</formula>
    </cfRule>
  </conditionalFormatting>
  <conditionalFormatting sqref="M442 P442 S442 Y442">
    <cfRule type="cellIs" dxfId="19" priority="20" operator="between">
      <formula>1</formula>
      <formula>1000</formula>
    </cfRule>
  </conditionalFormatting>
  <conditionalFormatting sqref="N442 Q442 T442:W442 Z442">
    <cfRule type="cellIs" dxfId="18" priority="19" operator="between">
      <formula>1</formula>
      <formula>100000</formula>
    </cfRule>
  </conditionalFormatting>
  <conditionalFormatting sqref="L443 O443 R443 X443">
    <cfRule type="cellIs" dxfId="17" priority="18" operator="between">
      <formula>0.01</formula>
      <formula>1</formula>
    </cfRule>
  </conditionalFormatting>
  <conditionalFormatting sqref="M443 P443 S443 Y443">
    <cfRule type="cellIs" dxfId="16" priority="17" operator="between">
      <formula>1</formula>
      <formula>1000</formula>
    </cfRule>
  </conditionalFormatting>
  <conditionalFormatting sqref="N443 Q443 T443:W443 Z443">
    <cfRule type="cellIs" dxfId="15" priority="16" operator="between">
      <formula>1</formula>
      <formula>100000</formula>
    </cfRule>
  </conditionalFormatting>
  <conditionalFormatting sqref="L444 O444 R444 X444">
    <cfRule type="cellIs" dxfId="14" priority="15" operator="between">
      <formula>0.01</formula>
      <formula>1</formula>
    </cfRule>
  </conditionalFormatting>
  <conditionalFormatting sqref="M444 P444 S444 Y444">
    <cfRule type="cellIs" dxfId="13" priority="14" operator="between">
      <formula>1</formula>
      <formula>1000</formula>
    </cfRule>
  </conditionalFormatting>
  <conditionalFormatting sqref="N444 Q444 T444:W444 Z444">
    <cfRule type="cellIs" dxfId="12" priority="13" operator="between">
      <formula>1</formula>
      <formula>100000</formula>
    </cfRule>
  </conditionalFormatting>
  <conditionalFormatting sqref="L445 O445 R445 X445">
    <cfRule type="cellIs" dxfId="11" priority="12" operator="between">
      <formula>0.01</formula>
      <formula>1</formula>
    </cfRule>
  </conditionalFormatting>
  <conditionalFormatting sqref="M445 P445 S445 Y445">
    <cfRule type="cellIs" dxfId="10" priority="11" operator="between">
      <formula>1</formula>
      <formula>1000</formula>
    </cfRule>
  </conditionalFormatting>
  <conditionalFormatting sqref="N445 Q445 T445:W445 Z445">
    <cfRule type="cellIs" dxfId="9" priority="10" operator="between">
      <formula>1</formula>
      <formula>100000</formula>
    </cfRule>
  </conditionalFormatting>
  <conditionalFormatting sqref="L447 O447 R447 X447">
    <cfRule type="cellIs" dxfId="8" priority="9" operator="between">
      <formula>0.01</formula>
      <formula>1</formula>
    </cfRule>
  </conditionalFormatting>
  <conditionalFormatting sqref="M447 P447 S447 Y447">
    <cfRule type="cellIs" dxfId="7" priority="8" operator="between">
      <formula>1</formula>
      <formula>1000</formula>
    </cfRule>
  </conditionalFormatting>
  <conditionalFormatting sqref="N447 Q447 T447:W447 Z447">
    <cfRule type="cellIs" dxfId="6" priority="7" operator="between">
      <formula>1</formula>
      <formula>100000</formula>
    </cfRule>
  </conditionalFormatting>
  <conditionalFormatting sqref="L448 O448 R448 X448">
    <cfRule type="cellIs" dxfId="5" priority="6" operator="between">
      <formula>0.01</formula>
      <formula>1</formula>
    </cfRule>
  </conditionalFormatting>
  <conditionalFormatting sqref="M448 P448 S448 Y448">
    <cfRule type="cellIs" dxfId="4" priority="5" operator="between">
      <formula>1</formula>
      <formula>1000</formula>
    </cfRule>
  </conditionalFormatting>
  <conditionalFormatting sqref="N448 Q448 T448:W448 Z448">
    <cfRule type="cellIs" dxfId="3" priority="4" operator="between">
      <formula>1</formula>
      <formula>100000</formula>
    </cfRule>
  </conditionalFormatting>
  <conditionalFormatting sqref="L414 O414 R414 X414">
    <cfRule type="cellIs" dxfId="2" priority="3" operator="between">
      <formula>0.01</formula>
      <formula>1</formula>
    </cfRule>
  </conditionalFormatting>
  <conditionalFormatting sqref="M414 P414 S414 Y414">
    <cfRule type="cellIs" dxfId="1" priority="2" operator="between">
      <formula>1</formula>
      <formula>1000</formula>
    </cfRule>
  </conditionalFormatting>
  <conditionalFormatting sqref="N414 Q414 T414:W414 Z414">
    <cfRule type="cellIs" dxfId="0" priority="1" operator="between">
      <formula>1</formula>
      <formula>100000</formula>
    </cfRule>
  </conditionalFormatting>
  <printOptions horizontalCentered="1"/>
  <pageMargins left="0.39370078740157483" right="0.39370078740157483" top="0.39370078740157483" bottom="0.39370078740157483" header="0.31496062992125984" footer="0.31496062992125984"/>
  <pageSetup paperSize="9" scale="35" fitToHeight="4" orientation="portrait" r:id="rId1"/>
  <rowBreaks count="10" manualBreakCount="10">
    <brk id="70" max="19" man="1"/>
    <brk id="112" max="19" man="1"/>
    <brk id="148" max="19" man="1"/>
    <brk id="184" max="19" man="1"/>
    <brk id="239" max="19" man="1"/>
    <brk id="285" max="19" man="1"/>
    <brk id="321" max="19" man="1"/>
    <brk id="363" max="19" man="1"/>
    <brk id="433" max="19" man="1"/>
    <brk id="478" max="1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4</vt:i4>
      </vt:variant>
    </vt:vector>
  </HeadingPairs>
  <TitlesOfParts>
    <vt:vector size="6" baseType="lpstr">
      <vt:lpstr>PLANILHA DE MEDIÇÃO</vt:lpstr>
      <vt:lpstr>MEMORIAL DE CALCULO</vt:lpstr>
      <vt:lpstr>'MEMORIAL DE CALCULO'!Area_de_impressao</vt:lpstr>
      <vt:lpstr>'PLANILHA DE MEDIÇÃO'!Area_de_impressao</vt:lpstr>
      <vt:lpstr>'MEMORIAL DE CALCULO'!Titulos_de_impressao</vt:lpstr>
      <vt:lpstr>'PLANILHA DE MEDIÇÃO'!Titulos_de_impressao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Allam</dc:creator>
  <cp:lastModifiedBy>DOUGLAS WESLEY</cp:lastModifiedBy>
  <cp:lastPrinted>2026-03-27T18:11:39Z</cp:lastPrinted>
  <dcterms:created xsi:type="dcterms:W3CDTF">2024-08-07T11:01:56Z</dcterms:created>
  <dcterms:modified xsi:type="dcterms:W3CDTF">2026-03-27T18:14:07Z</dcterms:modified>
</cp:coreProperties>
</file>