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PAV_VARIAS_RUAS\"/>
    </mc:Choice>
  </mc:AlternateContent>
  <xr:revisionPtr revIDLastSave="0" documentId="13_ncr:1_{4F6B169C-26E4-4D70-A4CE-E7CBE54061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D02" sheetId="2" r:id="rId1"/>
    <sheet name="Memorial de Calculo" sheetId="3" r:id="rId2"/>
    <sheet name="Comparativo" sheetId="4" state="hidden" r:id="rId3"/>
    <sheet name="COMPOSICOES" sheetId="5" state="hidden" r:id="rId4"/>
    <sheet name="CRONOGRAMA" sheetId="6" state="hidden" r:id="rId5"/>
    <sheet name="BDI" sheetId="7" state="hidden" r:id="rId6"/>
    <sheet name="ENCARGOS SOCIAIS" sheetId="8" state="hidden" r:id="rId7"/>
  </sheets>
  <definedNames>
    <definedName name="JR_PAGE_ANCHOR_0_1">#REF!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78" i="2" l="1"/>
  <c r="I825" i="2"/>
  <c r="I824" i="2" s="1"/>
  <c r="I823" i="2" s="1"/>
  <c r="J878" i="2"/>
  <c r="K879" i="2"/>
  <c r="K878" i="2"/>
  <c r="K93" i="2"/>
  <c r="K92" i="2"/>
  <c r="K89" i="2"/>
  <c r="K90" i="2"/>
  <c r="K88" i="2"/>
  <c r="K82" i="2"/>
  <c r="K80" i="2" s="1"/>
  <c r="K83" i="2"/>
  <c r="K84" i="2"/>
  <c r="K85" i="2"/>
  <c r="K86" i="2"/>
  <c r="K81" i="2"/>
  <c r="K75" i="2"/>
  <c r="K76" i="2"/>
  <c r="K77" i="2"/>
  <c r="K78" i="2"/>
  <c r="K79" i="2"/>
  <c r="K74" i="2"/>
  <c r="K72" i="2"/>
  <c r="K71" i="2" s="1"/>
  <c r="K70" i="2"/>
  <c r="K68" i="2" s="1"/>
  <c r="K69" i="2"/>
  <c r="K66" i="2"/>
  <c r="K65" i="2"/>
  <c r="K64" i="2" s="1"/>
  <c r="K62" i="2"/>
  <c r="K63" i="2"/>
  <c r="K60" i="2" s="1"/>
  <c r="K61" i="2"/>
  <c r="K55" i="2"/>
  <c r="K56" i="2"/>
  <c r="K57" i="2"/>
  <c r="K58" i="2"/>
  <c r="K59" i="2"/>
  <c r="K54" i="2"/>
  <c r="K48" i="2"/>
  <c r="K49" i="2"/>
  <c r="K50" i="2"/>
  <c r="K51" i="2"/>
  <c r="K52" i="2"/>
  <c r="K47" i="2"/>
  <c r="K46" i="2" s="1"/>
  <c r="K45" i="2"/>
  <c r="K44" i="2" s="1"/>
  <c r="K91" i="2"/>
  <c r="K53" i="2"/>
  <c r="K43" i="2"/>
  <c r="K42" i="2"/>
  <c r="K39" i="2"/>
  <c r="K38" i="2"/>
  <c r="K37" i="2" s="1"/>
  <c r="K35" i="2"/>
  <c r="K36" i="2"/>
  <c r="K34" i="2"/>
  <c r="K28" i="2"/>
  <c r="K26" i="2" s="1"/>
  <c r="K29" i="2"/>
  <c r="K30" i="2"/>
  <c r="K31" i="2"/>
  <c r="K32" i="2"/>
  <c r="K27" i="2"/>
  <c r="K21" i="2"/>
  <c r="K22" i="2"/>
  <c r="K23" i="2"/>
  <c r="K24" i="2"/>
  <c r="K25" i="2"/>
  <c r="K20" i="2"/>
  <c r="K19" i="2" s="1"/>
  <c r="K18" i="2"/>
  <c r="K17" i="2" s="1"/>
  <c r="K15" i="2"/>
  <c r="K16" i="2"/>
  <c r="K14" i="2"/>
  <c r="I847" i="2"/>
  <c r="I843" i="2"/>
  <c r="I836" i="2"/>
  <c r="I829" i="2"/>
  <c r="I827" i="2"/>
  <c r="I820" i="2"/>
  <c r="I816" i="2"/>
  <c r="I809" i="2"/>
  <c r="I802" i="2"/>
  <c r="I800" i="2"/>
  <c r="I797" i="2"/>
  <c r="I793" i="2"/>
  <c r="I789" i="2"/>
  <c r="I769" i="2" s="1"/>
  <c r="I782" i="2"/>
  <c r="I775" i="2"/>
  <c r="I773" i="2"/>
  <c r="I770" i="2"/>
  <c r="I739" i="2"/>
  <c r="I735" i="2"/>
  <c r="I728" i="2"/>
  <c r="I721" i="2"/>
  <c r="I719" i="2"/>
  <c r="I716" i="2"/>
  <c r="I685" i="2"/>
  <c r="I681" i="2"/>
  <c r="I674" i="2"/>
  <c r="I667" i="2"/>
  <c r="I665" i="2"/>
  <c r="I662" i="2"/>
  <c r="I604" i="2"/>
  <c r="I600" i="2"/>
  <c r="I593" i="2"/>
  <c r="I586" i="2"/>
  <c r="I584" i="2"/>
  <c r="I581" i="2"/>
  <c r="I523" i="2"/>
  <c r="I519" i="2"/>
  <c r="I512" i="2"/>
  <c r="I505" i="2"/>
  <c r="I503" i="2"/>
  <c r="I500" i="2"/>
  <c r="I496" i="2"/>
  <c r="I492" i="2"/>
  <c r="I485" i="2"/>
  <c r="I478" i="2"/>
  <c r="I472" i="2" s="1"/>
  <c r="I476" i="2"/>
  <c r="I473" i="2"/>
  <c r="I388" i="2"/>
  <c r="I384" i="2"/>
  <c r="I377" i="2"/>
  <c r="I370" i="2"/>
  <c r="I368" i="2"/>
  <c r="I365" i="2"/>
  <c r="I307" i="2"/>
  <c r="I303" i="2"/>
  <c r="I296" i="2"/>
  <c r="I289" i="2"/>
  <c r="I287" i="2"/>
  <c r="I284" i="2"/>
  <c r="I280" i="2"/>
  <c r="I276" i="2"/>
  <c r="I269" i="2"/>
  <c r="I262" i="2"/>
  <c r="I260" i="2"/>
  <c r="I257" i="2"/>
  <c r="I253" i="2"/>
  <c r="I249" i="2"/>
  <c r="I242" i="2"/>
  <c r="I235" i="2"/>
  <c r="I233" i="2"/>
  <c r="I230" i="2"/>
  <c r="I226" i="2"/>
  <c r="I222" i="2"/>
  <c r="I215" i="2"/>
  <c r="I208" i="2"/>
  <c r="I206" i="2"/>
  <c r="I203" i="2"/>
  <c r="I172" i="2"/>
  <c r="I168" i="2"/>
  <c r="I161" i="2"/>
  <c r="I154" i="2"/>
  <c r="I152" i="2"/>
  <c r="I149" i="2"/>
  <c r="I145" i="2"/>
  <c r="I141" i="2"/>
  <c r="I134" i="2"/>
  <c r="I127" i="2"/>
  <c r="I125" i="2"/>
  <c r="I122" i="2"/>
  <c r="E848" i="2"/>
  <c r="E842" i="2"/>
  <c r="G842" i="2" s="1"/>
  <c r="K842" i="2" s="1"/>
  <c r="E841" i="2"/>
  <c r="E840" i="2"/>
  <c r="E839" i="2"/>
  <c r="I839" i="2" s="1"/>
  <c r="E838" i="2"/>
  <c r="E837" i="2"/>
  <c r="E835" i="2"/>
  <c r="I835" i="2" s="1"/>
  <c r="E834" i="2"/>
  <c r="E833" i="2"/>
  <c r="G833" i="2" s="1"/>
  <c r="K833" i="2" s="1"/>
  <c r="E832" i="2"/>
  <c r="E831" i="2"/>
  <c r="E830" i="2"/>
  <c r="I830" i="2" s="1"/>
  <c r="E828" i="2"/>
  <c r="E826" i="2"/>
  <c r="E825" i="2"/>
  <c r="E821" i="2"/>
  <c r="G821" i="2" s="1"/>
  <c r="K821" i="2" s="1"/>
  <c r="E815" i="2"/>
  <c r="G815" i="2" s="1"/>
  <c r="K815" i="2" s="1"/>
  <c r="E814" i="2"/>
  <c r="E813" i="2"/>
  <c r="E812" i="2"/>
  <c r="E811" i="2"/>
  <c r="G811" i="2" s="1"/>
  <c r="K811" i="2" s="1"/>
  <c r="E810" i="2"/>
  <c r="E808" i="2"/>
  <c r="G808" i="2" s="1"/>
  <c r="K808" i="2" s="1"/>
  <c r="E807" i="2"/>
  <c r="E806" i="2"/>
  <c r="G806" i="2" s="1"/>
  <c r="K806" i="2" s="1"/>
  <c r="E805" i="2"/>
  <c r="E804" i="2"/>
  <c r="E803" i="2"/>
  <c r="E801" i="2"/>
  <c r="G801" i="2" s="1"/>
  <c r="K801" i="2" s="1"/>
  <c r="K800" i="2" s="1"/>
  <c r="E799" i="2"/>
  <c r="E798" i="2"/>
  <c r="G798" i="2" s="1"/>
  <c r="K798" i="2" s="1"/>
  <c r="E794" i="2"/>
  <c r="E788" i="2"/>
  <c r="E787" i="2"/>
  <c r="E786" i="2"/>
  <c r="E785" i="2"/>
  <c r="E784" i="2"/>
  <c r="G784" i="2" s="1"/>
  <c r="K784" i="2" s="1"/>
  <c r="E783" i="2"/>
  <c r="E781" i="2"/>
  <c r="I781" i="2" s="1"/>
  <c r="E780" i="2"/>
  <c r="E779" i="2"/>
  <c r="E778" i="2"/>
  <c r="E777" i="2"/>
  <c r="E776" i="2"/>
  <c r="E774" i="2"/>
  <c r="G774" i="2" s="1"/>
  <c r="K774" i="2" s="1"/>
  <c r="K773" i="2" s="1"/>
  <c r="E772" i="2"/>
  <c r="E771" i="2"/>
  <c r="I771" i="2" s="1"/>
  <c r="E740" i="2"/>
  <c r="G740" i="2" s="1"/>
  <c r="K740" i="2" s="1"/>
  <c r="E734" i="2"/>
  <c r="E733" i="2"/>
  <c r="E732" i="2"/>
  <c r="E731" i="2"/>
  <c r="G731" i="2" s="1"/>
  <c r="K731" i="2" s="1"/>
  <c r="E730" i="2"/>
  <c r="G730" i="2" s="1"/>
  <c r="K730" i="2" s="1"/>
  <c r="E729" i="2"/>
  <c r="E727" i="2"/>
  <c r="G727" i="2" s="1"/>
  <c r="K727" i="2" s="1"/>
  <c r="E726" i="2"/>
  <c r="E725" i="2"/>
  <c r="E724" i="2"/>
  <c r="G724" i="2" s="1"/>
  <c r="K724" i="2" s="1"/>
  <c r="E723" i="2"/>
  <c r="E722" i="2"/>
  <c r="G722" i="2" s="1"/>
  <c r="K722" i="2" s="1"/>
  <c r="E720" i="2"/>
  <c r="I720" i="2" s="1"/>
  <c r="E718" i="2"/>
  <c r="E717" i="2"/>
  <c r="G717" i="2" s="1"/>
  <c r="K717" i="2" s="1"/>
  <c r="E686" i="2"/>
  <c r="E680" i="2"/>
  <c r="E679" i="2"/>
  <c r="E678" i="2"/>
  <c r="E677" i="2"/>
  <c r="E676" i="2"/>
  <c r="E675" i="2"/>
  <c r="E673" i="2"/>
  <c r="G673" i="2" s="1"/>
  <c r="K673" i="2" s="1"/>
  <c r="E672" i="2"/>
  <c r="E671" i="2"/>
  <c r="E670" i="2"/>
  <c r="E669" i="2"/>
  <c r="E668" i="2"/>
  <c r="E666" i="2"/>
  <c r="E664" i="2"/>
  <c r="E663" i="2"/>
  <c r="G663" i="2" s="1"/>
  <c r="K663" i="2" s="1"/>
  <c r="G733" i="2"/>
  <c r="K733" i="2" s="1"/>
  <c r="G729" i="2"/>
  <c r="K729" i="2" s="1"/>
  <c r="I726" i="2"/>
  <c r="G718" i="2"/>
  <c r="K718" i="2" s="1"/>
  <c r="I672" i="2"/>
  <c r="E605" i="2"/>
  <c r="E599" i="2"/>
  <c r="E598" i="2"/>
  <c r="E597" i="2"/>
  <c r="E596" i="2"/>
  <c r="E595" i="2"/>
  <c r="G595" i="2" s="1"/>
  <c r="K595" i="2" s="1"/>
  <c r="E594" i="2"/>
  <c r="E592" i="2"/>
  <c r="G592" i="2" s="1"/>
  <c r="K592" i="2" s="1"/>
  <c r="E591" i="2"/>
  <c r="E590" i="2"/>
  <c r="E589" i="2"/>
  <c r="E588" i="2"/>
  <c r="E587" i="2"/>
  <c r="E585" i="2"/>
  <c r="G585" i="2" s="1"/>
  <c r="K585" i="2" s="1"/>
  <c r="K584" i="2" s="1"/>
  <c r="E583" i="2"/>
  <c r="E582" i="2"/>
  <c r="G582" i="2" s="1"/>
  <c r="K582" i="2" s="1"/>
  <c r="E524" i="2"/>
  <c r="E518" i="2"/>
  <c r="E517" i="2"/>
  <c r="E516" i="2"/>
  <c r="E515" i="2"/>
  <c r="E514" i="2"/>
  <c r="E513" i="2"/>
  <c r="E511" i="2"/>
  <c r="I511" i="2" s="1"/>
  <c r="E510" i="2"/>
  <c r="E509" i="2"/>
  <c r="E508" i="2"/>
  <c r="E507" i="2"/>
  <c r="E506" i="2"/>
  <c r="E504" i="2"/>
  <c r="E502" i="2"/>
  <c r="E501" i="2"/>
  <c r="I501" i="2" s="1"/>
  <c r="E497" i="2"/>
  <c r="E491" i="2"/>
  <c r="E490" i="2"/>
  <c r="E489" i="2"/>
  <c r="E488" i="2"/>
  <c r="E487" i="2"/>
  <c r="E486" i="2"/>
  <c r="E484" i="2"/>
  <c r="G484" i="2" s="1"/>
  <c r="K484" i="2" s="1"/>
  <c r="E483" i="2"/>
  <c r="E482" i="2"/>
  <c r="E481" i="2"/>
  <c r="E480" i="2"/>
  <c r="E479" i="2"/>
  <c r="E477" i="2"/>
  <c r="E475" i="2"/>
  <c r="E474" i="2"/>
  <c r="G474" i="2" s="1"/>
  <c r="K474" i="2" s="1"/>
  <c r="E389" i="2"/>
  <c r="G389" i="2" s="1"/>
  <c r="K389" i="2" s="1"/>
  <c r="E383" i="2"/>
  <c r="E382" i="2"/>
  <c r="E381" i="2"/>
  <c r="E380" i="2"/>
  <c r="I380" i="2" s="1"/>
  <c r="E379" i="2"/>
  <c r="E378" i="2"/>
  <c r="E376" i="2"/>
  <c r="G376" i="2" s="1"/>
  <c r="K376" i="2" s="1"/>
  <c r="E375" i="2"/>
  <c r="I375" i="2" s="1"/>
  <c r="E374" i="2"/>
  <c r="E373" i="2"/>
  <c r="E372" i="2"/>
  <c r="E371" i="2"/>
  <c r="G371" i="2" s="1"/>
  <c r="K371" i="2" s="1"/>
  <c r="E369" i="2"/>
  <c r="E367" i="2"/>
  <c r="E366" i="2"/>
  <c r="G366" i="2" s="1"/>
  <c r="K366" i="2" s="1"/>
  <c r="E308" i="2"/>
  <c r="E302" i="2"/>
  <c r="E301" i="2"/>
  <c r="E300" i="2"/>
  <c r="E299" i="2"/>
  <c r="E298" i="2"/>
  <c r="E297" i="2"/>
  <c r="E295" i="2"/>
  <c r="I295" i="2" s="1"/>
  <c r="E294" i="2"/>
  <c r="E293" i="2"/>
  <c r="E292" i="2"/>
  <c r="E291" i="2"/>
  <c r="E290" i="2"/>
  <c r="E288" i="2"/>
  <c r="E286" i="2"/>
  <c r="E285" i="2"/>
  <c r="I285" i="2" s="1"/>
  <c r="E281" i="2"/>
  <c r="E275" i="2"/>
  <c r="E274" i="2"/>
  <c r="E273" i="2"/>
  <c r="E272" i="2"/>
  <c r="E271" i="2"/>
  <c r="E270" i="2"/>
  <c r="E268" i="2"/>
  <c r="I268" i="2" s="1"/>
  <c r="E267" i="2"/>
  <c r="E266" i="2"/>
  <c r="E265" i="2"/>
  <c r="E264" i="2"/>
  <c r="E263" i="2"/>
  <c r="E261" i="2"/>
  <c r="E259" i="2"/>
  <c r="E258" i="2"/>
  <c r="I258" i="2" s="1"/>
  <c r="E254" i="2"/>
  <c r="G254" i="2" s="1"/>
  <c r="K254" i="2" s="1"/>
  <c r="E248" i="2"/>
  <c r="E247" i="2"/>
  <c r="E246" i="2"/>
  <c r="E245" i="2"/>
  <c r="E244" i="2"/>
  <c r="E243" i="2"/>
  <c r="E241" i="2"/>
  <c r="E240" i="2"/>
  <c r="E239" i="2"/>
  <c r="E238" i="2"/>
  <c r="E237" i="2"/>
  <c r="E236" i="2"/>
  <c r="E234" i="2"/>
  <c r="E232" i="2"/>
  <c r="E231" i="2"/>
  <c r="E227" i="2"/>
  <c r="E221" i="2"/>
  <c r="E220" i="2"/>
  <c r="E219" i="2"/>
  <c r="E218" i="2"/>
  <c r="E217" i="2"/>
  <c r="E216" i="2"/>
  <c r="E214" i="2"/>
  <c r="G214" i="2" s="1"/>
  <c r="K214" i="2" s="1"/>
  <c r="E213" i="2"/>
  <c r="E212" i="2"/>
  <c r="E211" i="2"/>
  <c r="E210" i="2"/>
  <c r="E209" i="2"/>
  <c r="E207" i="2"/>
  <c r="E205" i="2"/>
  <c r="E204" i="2"/>
  <c r="G204" i="2" s="1"/>
  <c r="K204" i="2" s="1"/>
  <c r="E173" i="2"/>
  <c r="G173" i="2" s="1"/>
  <c r="K173" i="2" s="1"/>
  <c r="E163" i="2"/>
  <c r="E164" i="2"/>
  <c r="E165" i="2"/>
  <c r="G165" i="2" s="1"/>
  <c r="K165" i="2" s="1"/>
  <c r="E166" i="2"/>
  <c r="E167" i="2"/>
  <c r="E162" i="2"/>
  <c r="E156" i="2"/>
  <c r="I156" i="2" s="1"/>
  <c r="E157" i="2"/>
  <c r="E158" i="2"/>
  <c r="G158" i="2" s="1"/>
  <c r="K158" i="2" s="1"/>
  <c r="E159" i="2"/>
  <c r="E160" i="2"/>
  <c r="E155" i="2"/>
  <c r="E153" i="2"/>
  <c r="E151" i="2"/>
  <c r="G151" i="2" s="1"/>
  <c r="K151" i="2" s="1"/>
  <c r="E150" i="2"/>
  <c r="G150" i="2" s="1"/>
  <c r="K150" i="2" s="1"/>
  <c r="E146" i="2"/>
  <c r="E136" i="2"/>
  <c r="E137" i="2"/>
  <c r="G137" i="2" s="1"/>
  <c r="K137" i="2" s="1"/>
  <c r="E138" i="2"/>
  <c r="E139" i="2"/>
  <c r="E140" i="2"/>
  <c r="E135" i="2"/>
  <c r="E129" i="2"/>
  <c r="G129" i="2" s="1"/>
  <c r="K129" i="2" s="1"/>
  <c r="E130" i="2"/>
  <c r="E131" i="2"/>
  <c r="E132" i="2"/>
  <c r="G132" i="2" s="1"/>
  <c r="K132" i="2" s="1"/>
  <c r="E133" i="2"/>
  <c r="E128" i="2"/>
  <c r="E126" i="2"/>
  <c r="E124" i="2"/>
  <c r="E123" i="2"/>
  <c r="G876" i="2"/>
  <c r="G875" i="2"/>
  <c r="G873" i="2"/>
  <c r="G872" i="2"/>
  <c r="G871" i="2"/>
  <c r="K871" i="2" s="1"/>
  <c r="G869" i="2"/>
  <c r="K869" i="2" s="1"/>
  <c r="G868" i="2"/>
  <c r="K868" i="2" s="1"/>
  <c r="G867" i="2"/>
  <c r="K867" i="2" s="1"/>
  <c r="G866" i="2"/>
  <c r="K866" i="2" s="1"/>
  <c r="G865" i="2"/>
  <c r="G864" i="2"/>
  <c r="K864" i="2" s="1"/>
  <c r="G862" i="2"/>
  <c r="G861" i="2"/>
  <c r="K861" i="2" s="1"/>
  <c r="G860" i="2"/>
  <c r="K860" i="2" s="1"/>
  <c r="G859" i="2"/>
  <c r="K859" i="2" s="1"/>
  <c r="G858" i="2"/>
  <c r="K858" i="2" s="1"/>
  <c r="G857" i="2"/>
  <c r="K857" i="2" s="1"/>
  <c r="G855" i="2"/>
  <c r="G853" i="2"/>
  <c r="K853" i="2" s="1"/>
  <c r="G852" i="2"/>
  <c r="G849" i="2"/>
  <c r="K849" i="2" s="1"/>
  <c r="G848" i="2"/>
  <c r="K848" i="2" s="1"/>
  <c r="G846" i="2"/>
  <c r="K846" i="2" s="1"/>
  <c r="G845" i="2"/>
  <c r="K845" i="2" s="1"/>
  <c r="G844" i="2"/>
  <c r="G841" i="2"/>
  <c r="K841" i="2" s="1"/>
  <c r="G840" i="2"/>
  <c r="G839" i="2"/>
  <c r="K839" i="2" s="1"/>
  <c r="G838" i="2"/>
  <c r="K838" i="2" s="1"/>
  <c r="G837" i="2"/>
  <c r="K837" i="2" s="1"/>
  <c r="G835" i="2"/>
  <c r="K835" i="2" s="1"/>
  <c r="G834" i="2"/>
  <c r="G832" i="2"/>
  <c r="K832" i="2" s="1"/>
  <c r="G831" i="2"/>
  <c r="G830" i="2"/>
  <c r="K830" i="2" s="1"/>
  <c r="G828" i="2"/>
  <c r="K828" i="2" s="1"/>
  <c r="K827" i="2" s="1"/>
  <c r="G826" i="2"/>
  <c r="K826" i="2" s="1"/>
  <c r="G825" i="2"/>
  <c r="K825" i="2" s="1"/>
  <c r="G822" i="2"/>
  <c r="G819" i="2"/>
  <c r="G818" i="2"/>
  <c r="G817" i="2"/>
  <c r="K817" i="2" s="1"/>
  <c r="G814" i="2"/>
  <c r="K814" i="2" s="1"/>
  <c r="G813" i="2"/>
  <c r="K813" i="2" s="1"/>
  <c r="G812" i="2"/>
  <c r="G810" i="2"/>
  <c r="K810" i="2" s="1"/>
  <c r="G807" i="2"/>
  <c r="K807" i="2" s="1"/>
  <c r="G805" i="2"/>
  <c r="K805" i="2" s="1"/>
  <c r="G804" i="2"/>
  <c r="K804" i="2" s="1"/>
  <c r="G803" i="2"/>
  <c r="G799" i="2"/>
  <c r="G795" i="2"/>
  <c r="K795" i="2" s="1"/>
  <c r="G794" i="2"/>
  <c r="K794" i="2" s="1"/>
  <c r="G792" i="2"/>
  <c r="K792" i="2" s="1"/>
  <c r="G791" i="2"/>
  <c r="K791" i="2" s="1"/>
  <c r="G790" i="2"/>
  <c r="K790" i="2" s="1"/>
  <c r="G788" i="2"/>
  <c r="G787" i="2"/>
  <c r="K787" i="2" s="1"/>
  <c r="G786" i="2"/>
  <c r="G785" i="2"/>
  <c r="K785" i="2" s="1"/>
  <c r="G783" i="2"/>
  <c r="K783" i="2" s="1"/>
  <c r="G780" i="2"/>
  <c r="G779" i="2"/>
  <c r="G778" i="2"/>
  <c r="G777" i="2"/>
  <c r="G776" i="2"/>
  <c r="G772" i="2"/>
  <c r="K772" i="2" s="1"/>
  <c r="G768" i="2"/>
  <c r="G767" i="2"/>
  <c r="K767" i="2" s="1"/>
  <c r="G765" i="2"/>
  <c r="G764" i="2"/>
  <c r="G763" i="2"/>
  <c r="K763" i="2" s="1"/>
  <c r="G761" i="2"/>
  <c r="K761" i="2" s="1"/>
  <c r="G760" i="2"/>
  <c r="K760" i="2" s="1"/>
  <c r="G759" i="2"/>
  <c r="K759" i="2" s="1"/>
  <c r="G758" i="2"/>
  <c r="K758" i="2" s="1"/>
  <c r="G757" i="2"/>
  <c r="K757" i="2" s="1"/>
  <c r="G756" i="2"/>
  <c r="G754" i="2"/>
  <c r="G753" i="2"/>
  <c r="K753" i="2" s="1"/>
  <c r="G752" i="2"/>
  <c r="K752" i="2" s="1"/>
  <c r="G751" i="2"/>
  <c r="K751" i="2" s="1"/>
  <c r="G750" i="2"/>
  <c r="K750" i="2" s="1"/>
  <c r="G749" i="2"/>
  <c r="G747" i="2"/>
  <c r="K747" i="2" s="1"/>
  <c r="K746" i="2" s="1"/>
  <c r="G745" i="2"/>
  <c r="K745" i="2" s="1"/>
  <c r="G744" i="2"/>
  <c r="G741" i="2"/>
  <c r="K741" i="2" s="1"/>
  <c r="G738" i="2"/>
  <c r="K738" i="2" s="1"/>
  <c r="G737" i="2"/>
  <c r="K737" i="2" s="1"/>
  <c r="G736" i="2"/>
  <c r="G734" i="2"/>
  <c r="G732" i="2"/>
  <c r="G725" i="2"/>
  <c r="K725" i="2" s="1"/>
  <c r="G723" i="2"/>
  <c r="K723" i="2" s="1"/>
  <c r="G714" i="2"/>
  <c r="G713" i="2"/>
  <c r="G711" i="2"/>
  <c r="G710" i="2"/>
  <c r="G709" i="2"/>
  <c r="K709" i="2" s="1"/>
  <c r="G707" i="2"/>
  <c r="K707" i="2" s="1"/>
  <c r="G706" i="2"/>
  <c r="K706" i="2" s="1"/>
  <c r="G705" i="2"/>
  <c r="K705" i="2" s="1"/>
  <c r="G704" i="2"/>
  <c r="K704" i="2" s="1"/>
  <c r="G703" i="2"/>
  <c r="G702" i="2"/>
  <c r="G700" i="2"/>
  <c r="G699" i="2"/>
  <c r="K699" i="2" s="1"/>
  <c r="G698" i="2"/>
  <c r="K698" i="2" s="1"/>
  <c r="G697" i="2"/>
  <c r="K697" i="2" s="1"/>
  <c r="G696" i="2"/>
  <c r="K696" i="2" s="1"/>
  <c r="G695" i="2"/>
  <c r="K695" i="2" s="1"/>
  <c r="G693" i="2"/>
  <c r="G691" i="2"/>
  <c r="K691" i="2" s="1"/>
  <c r="G690" i="2"/>
  <c r="G687" i="2"/>
  <c r="K687" i="2" s="1"/>
  <c r="G686" i="2"/>
  <c r="K686" i="2" s="1"/>
  <c r="G684" i="2"/>
  <c r="K684" i="2" s="1"/>
  <c r="G683" i="2"/>
  <c r="K683" i="2" s="1"/>
  <c r="G682" i="2"/>
  <c r="G680" i="2"/>
  <c r="G679" i="2"/>
  <c r="G678" i="2"/>
  <c r="G677" i="2"/>
  <c r="K677" i="2" s="1"/>
  <c r="G676" i="2"/>
  <c r="K676" i="2" s="1"/>
  <c r="G675" i="2"/>
  <c r="K675" i="2" s="1"/>
  <c r="G672" i="2"/>
  <c r="K672" i="2" s="1"/>
  <c r="G671" i="2"/>
  <c r="G670" i="2"/>
  <c r="G669" i="2"/>
  <c r="G668" i="2"/>
  <c r="K668" i="2" s="1"/>
  <c r="G666" i="2"/>
  <c r="G664" i="2"/>
  <c r="K664" i="2" s="1"/>
  <c r="G660" i="2"/>
  <c r="G659" i="2"/>
  <c r="G657" i="2"/>
  <c r="G656" i="2"/>
  <c r="G655" i="2"/>
  <c r="K655" i="2" s="1"/>
  <c r="G653" i="2"/>
  <c r="K653" i="2" s="1"/>
  <c r="G652" i="2"/>
  <c r="K652" i="2" s="1"/>
  <c r="G651" i="2"/>
  <c r="K651" i="2" s="1"/>
  <c r="G650" i="2"/>
  <c r="K650" i="2" s="1"/>
  <c r="G649" i="2"/>
  <c r="K649" i="2" s="1"/>
  <c r="G648" i="2"/>
  <c r="G646" i="2"/>
  <c r="G645" i="2"/>
  <c r="K645" i="2" s="1"/>
  <c r="G644" i="2"/>
  <c r="K644" i="2" s="1"/>
  <c r="G643" i="2"/>
  <c r="K643" i="2" s="1"/>
  <c r="G642" i="2"/>
  <c r="K642" i="2" s="1"/>
  <c r="G641" i="2"/>
  <c r="G639" i="2"/>
  <c r="G637" i="2"/>
  <c r="G636" i="2"/>
  <c r="G633" i="2"/>
  <c r="K633" i="2" s="1"/>
  <c r="G632" i="2"/>
  <c r="K632" i="2" s="1"/>
  <c r="G630" i="2"/>
  <c r="K630" i="2" s="1"/>
  <c r="G629" i="2"/>
  <c r="K629" i="2" s="1"/>
  <c r="G628" i="2"/>
  <c r="G626" i="2"/>
  <c r="G625" i="2"/>
  <c r="G624" i="2"/>
  <c r="K624" i="2" s="1"/>
  <c r="G623" i="2"/>
  <c r="K623" i="2" s="1"/>
  <c r="G622" i="2"/>
  <c r="K622" i="2" s="1"/>
  <c r="G621" i="2"/>
  <c r="K621" i="2" s="1"/>
  <c r="G619" i="2"/>
  <c r="K619" i="2" s="1"/>
  <c r="G618" i="2"/>
  <c r="G617" i="2"/>
  <c r="K617" i="2" s="1"/>
  <c r="G616" i="2"/>
  <c r="G615" i="2"/>
  <c r="K615" i="2" s="1"/>
  <c r="G614" i="2"/>
  <c r="K614" i="2" s="1"/>
  <c r="G612" i="2"/>
  <c r="K612" i="2" s="1"/>
  <c r="K611" i="2" s="1"/>
  <c r="G610" i="2"/>
  <c r="K610" i="2" s="1"/>
  <c r="G609" i="2"/>
  <c r="K609" i="2" s="1"/>
  <c r="G606" i="2"/>
  <c r="G605" i="2"/>
  <c r="G603" i="2"/>
  <c r="G602" i="2"/>
  <c r="K602" i="2" s="1"/>
  <c r="G601" i="2"/>
  <c r="K601" i="2" s="1"/>
  <c r="G599" i="2"/>
  <c r="K599" i="2" s="1"/>
  <c r="G598" i="2"/>
  <c r="K598" i="2" s="1"/>
  <c r="G597" i="2"/>
  <c r="K597" i="2" s="1"/>
  <c r="G596" i="2"/>
  <c r="G594" i="2"/>
  <c r="G591" i="2"/>
  <c r="K591" i="2" s="1"/>
  <c r="G590" i="2"/>
  <c r="K590" i="2" s="1"/>
  <c r="G589" i="2"/>
  <c r="K589" i="2" s="1"/>
  <c r="G588" i="2"/>
  <c r="K588" i="2" s="1"/>
  <c r="G587" i="2"/>
  <c r="G583" i="2"/>
  <c r="G579" i="2"/>
  <c r="K579" i="2" s="1"/>
  <c r="G578" i="2"/>
  <c r="K578" i="2" s="1"/>
  <c r="G576" i="2"/>
  <c r="K576" i="2" s="1"/>
  <c r="G575" i="2"/>
  <c r="K575" i="2" s="1"/>
  <c r="G574" i="2"/>
  <c r="G572" i="2"/>
  <c r="K572" i="2" s="1"/>
  <c r="G571" i="2"/>
  <c r="G570" i="2"/>
  <c r="K570" i="2" s="1"/>
  <c r="G569" i="2"/>
  <c r="K569" i="2" s="1"/>
  <c r="G568" i="2"/>
  <c r="K568" i="2" s="1"/>
  <c r="G567" i="2"/>
  <c r="K567" i="2" s="1"/>
  <c r="G565" i="2"/>
  <c r="K565" i="2" s="1"/>
  <c r="G564" i="2"/>
  <c r="K564" i="2" s="1"/>
  <c r="G563" i="2"/>
  <c r="K563" i="2" s="1"/>
  <c r="G562" i="2"/>
  <c r="K562" i="2" s="1"/>
  <c r="G561" i="2"/>
  <c r="K561" i="2" s="1"/>
  <c r="G560" i="2"/>
  <c r="K560" i="2" s="1"/>
  <c r="G558" i="2"/>
  <c r="K558" i="2" s="1"/>
  <c r="K557" i="2" s="1"/>
  <c r="G556" i="2"/>
  <c r="K556" i="2" s="1"/>
  <c r="G555" i="2"/>
  <c r="K555" i="2" s="1"/>
  <c r="G552" i="2"/>
  <c r="G551" i="2"/>
  <c r="G549" i="2"/>
  <c r="G548" i="2"/>
  <c r="K548" i="2" s="1"/>
  <c r="G547" i="2"/>
  <c r="K547" i="2" s="1"/>
  <c r="G545" i="2"/>
  <c r="K545" i="2" s="1"/>
  <c r="G544" i="2"/>
  <c r="K544" i="2" s="1"/>
  <c r="G543" i="2"/>
  <c r="K543" i="2" s="1"/>
  <c r="G542" i="2"/>
  <c r="K542" i="2" s="1"/>
  <c r="G541" i="2"/>
  <c r="K541" i="2" s="1"/>
  <c r="G540" i="2"/>
  <c r="G538" i="2"/>
  <c r="K538" i="2" s="1"/>
  <c r="G537" i="2"/>
  <c r="K537" i="2" s="1"/>
  <c r="G536" i="2"/>
  <c r="K536" i="2" s="1"/>
  <c r="G535" i="2"/>
  <c r="K535" i="2" s="1"/>
  <c r="G534" i="2"/>
  <c r="K534" i="2" s="1"/>
  <c r="G533" i="2"/>
  <c r="G531" i="2"/>
  <c r="G529" i="2"/>
  <c r="G528" i="2"/>
  <c r="K528" i="2" s="1"/>
  <c r="G525" i="2"/>
  <c r="K525" i="2" s="1"/>
  <c r="G524" i="2"/>
  <c r="G522" i="2"/>
  <c r="K522" i="2" s="1"/>
  <c r="G521" i="2"/>
  <c r="K521" i="2" s="1"/>
  <c r="G520" i="2"/>
  <c r="G518" i="2"/>
  <c r="G517" i="2"/>
  <c r="G516" i="2"/>
  <c r="K516" i="2" s="1"/>
  <c r="G515" i="2"/>
  <c r="K515" i="2" s="1"/>
  <c r="G514" i="2"/>
  <c r="K514" i="2" s="1"/>
  <c r="G513" i="2"/>
  <c r="K513" i="2" s="1"/>
  <c r="G511" i="2"/>
  <c r="K511" i="2" s="1"/>
  <c r="G510" i="2"/>
  <c r="G509" i="2"/>
  <c r="G508" i="2"/>
  <c r="G507" i="2"/>
  <c r="K507" i="2" s="1"/>
  <c r="G506" i="2"/>
  <c r="K506" i="2" s="1"/>
  <c r="G504" i="2"/>
  <c r="K504" i="2" s="1"/>
  <c r="K503" i="2" s="1"/>
  <c r="G502" i="2"/>
  <c r="K502" i="2" s="1"/>
  <c r="G501" i="2"/>
  <c r="K501" i="2" s="1"/>
  <c r="G498" i="2"/>
  <c r="G497" i="2"/>
  <c r="G495" i="2"/>
  <c r="G494" i="2"/>
  <c r="K494" i="2" s="1"/>
  <c r="G493" i="2"/>
  <c r="K493" i="2" s="1"/>
  <c r="G491" i="2"/>
  <c r="K491" i="2" s="1"/>
  <c r="G490" i="2"/>
  <c r="K490" i="2" s="1"/>
  <c r="G489" i="2"/>
  <c r="K489" i="2" s="1"/>
  <c r="G488" i="2"/>
  <c r="G487" i="2"/>
  <c r="G486" i="2"/>
  <c r="G483" i="2"/>
  <c r="K483" i="2" s="1"/>
  <c r="G482" i="2"/>
  <c r="K482" i="2" s="1"/>
  <c r="G481" i="2"/>
  <c r="K481" i="2" s="1"/>
  <c r="G480" i="2"/>
  <c r="K480" i="2" s="1"/>
  <c r="G479" i="2"/>
  <c r="G477" i="2"/>
  <c r="G475" i="2"/>
  <c r="G471" i="2"/>
  <c r="K471" i="2" s="1"/>
  <c r="G470" i="2"/>
  <c r="K470" i="2" s="1"/>
  <c r="G468" i="2"/>
  <c r="K468" i="2" s="1"/>
  <c r="G467" i="2"/>
  <c r="K467" i="2" s="1"/>
  <c r="G466" i="2"/>
  <c r="G464" i="2"/>
  <c r="G463" i="2"/>
  <c r="K463" i="2" s="1"/>
  <c r="G462" i="2"/>
  <c r="K462" i="2" s="1"/>
  <c r="G461" i="2"/>
  <c r="K461" i="2" s="1"/>
  <c r="G460" i="2"/>
  <c r="K460" i="2" s="1"/>
  <c r="G459" i="2"/>
  <c r="K459" i="2" s="1"/>
  <c r="G457" i="2"/>
  <c r="K457" i="2" s="1"/>
  <c r="G456" i="2"/>
  <c r="G455" i="2"/>
  <c r="G454" i="2"/>
  <c r="G453" i="2"/>
  <c r="K453" i="2" s="1"/>
  <c r="G452" i="2"/>
  <c r="K452" i="2" s="1"/>
  <c r="G450" i="2"/>
  <c r="K450" i="2" s="1"/>
  <c r="K449" i="2" s="1"/>
  <c r="G448" i="2"/>
  <c r="K448" i="2" s="1"/>
  <c r="G447" i="2"/>
  <c r="K447" i="2" s="1"/>
  <c r="G444" i="2"/>
  <c r="K444" i="2" s="1"/>
  <c r="G443" i="2"/>
  <c r="K443" i="2" s="1"/>
  <c r="G441" i="2"/>
  <c r="G440" i="2"/>
  <c r="K440" i="2" s="1"/>
  <c r="G439" i="2"/>
  <c r="K439" i="2" s="1"/>
  <c r="G437" i="2"/>
  <c r="K437" i="2" s="1"/>
  <c r="G436" i="2"/>
  <c r="K436" i="2" s="1"/>
  <c r="G435" i="2"/>
  <c r="K435" i="2" s="1"/>
  <c r="G434" i="2"/>
  <c r="K434" i="2" s="1"/>
  <c r="G433" i="2"/>
  <c r="G432" i="2"/>
  <c r="K432" i="2" s="1"/>
  <c r="G430" i="2"/>
  <c r="K430" i="2" s="1"/>
  <c r="G429" i="2"/>
  <c r="K429" i="2" s="1"/>
  <c r="G428" i="2"/>
  <c r="K428" i="2" s="1"/>
  <c r="G427" i="2"/>
  <c r="K427" i="2" s="1"/>
  <c r="G426" i="2"/>
  <c r="K426" i="2" s="1"/>
  <c r="G425" i="2"/>
  <c r="G423" i="2"/>
  <c r="G421" i="2"/>
  <c r="K421" i="2" s="1"/>
  <c r="G420" i="2"/>
  <c r="K420" i="2" s="1"/>
  <c r="G417" i="2"/>
  <c r="K417" i="2" s="1"/>
  <c r="G416" i="2"/>
  <c r="K416" i="2" s="1"/>
  <c r="G414" i="2"/>
  <c r="K414" i="2" s="1"/>
  <c r="G413" i="2"/>
  <c r="K413" i="2" s="1"/>
  <c r="G412" i="2"/>
  <c r="G410" i="2"/>
  <c r="K410" i="2" s="1"/>
  <c r="G409" i="2"/>
  <c r="K409" i="2" s="1"/>
  <c r="G408" i="2"/>
  <c r="K408" i="2" s="1"/>
  <c r="G407" i="2"/>
  <c r="K407" i="2" s="1"/>
  <c r="G406" i="2"/>
  <c r="K406" i="2" s="1"/>
  <c r="G405" i="2"/>
  <c r="K405" i="2" s="1"/>
  <c r="G403" i="2"/>
  <c r="K403" i="2" s="1"/>
  <c r="G402" i="2"/>
  <c r="K402" i="2" s="1"/>
  <c r="G401" i="2"/>
  <c r="G400" i="2"/>
  <c r="G399" i="2"/>
  <c r="K399" i="2" s="1"/>
  <c r="G398" i="2"/>
  <c r="K398" i="2" s="1"/>
  <c r="G396" i="2"/>
  <c r="K396" i="2" s="1"/>
  <c r="K395" i="2" s="1"/>
  <c r="G394" i="2"/>
  <c r="K394" i="2" s="1"/>
  <c r="G393" i="2"/>
  <c r="K393" i="2" s="1"/>
  <c r="G390" i="2"/>
  <c r="K390" i="2" s="1"/>
  <c r="G387" i="2"/>
  <c r="G386" i="2"/>
  <c r="K386" i="2" s="1"/>
  <c r="G385" i="2"/>
  <c r="K385" i="2" s="1"/>
  <c r="G383" i="2"/>
  <c r="K383" i="2" s="1"/>
  <c r="G382" i="2"/>
  <c r="K382" i="2" s="1"/>
  <c r="G381" i="2"/>
  <c r="K381" i="2" s="1"/>
  <c r="G380" i="2"/>
  <c r="K380" i="2" s="1"/>
  <c r="G379" i="2"/>
  <c r="K379" i="2" s="1"/>
  <c r="G378" i="2"/>
  <c r="G375" i="2"/>
  <c r="K375" i="2" s="1"/>
  <c r="G374" i="2"/>
  <c r="K374" i="2" s="1"/>
  <c r="G373" i="2"/>
  <c r="K373" i="2" s="1"/>
  <c r="G372" i="2"/>
  <c r="K372" i="2" s="1"/>
  <c r="G369" i="2"/>
  <c r="G367" i="2"/>
  <c r="G363" i="2"/>
  <c r="K363" i="2" s="1"/>
  <c r="G362" i="2"/>
  <c r="K362" i="2" s="1"/>
  <c r="G360" i="2"/>
  <c r="K360" i="2" s="1"/>
  <c r="G359" i="2"/>
  <c r="K359" i="2" s="1"/>
  <c r="G358" i="2"/>
  <c r="G356" i="2"/>
  <c r="K356" i="2" s="1"/>
  <c r="G355" i="2"/>
  <c r="K355" i="2" s="1"/>
  <c r="G354" i="2"/>
  <c r="K354" i="2" s="1"/>
  <c r="G353" i="2"/>
  <c r="K353" i="2" s="1"/>
  <c r="G352" i="2"/>
  <c r="K352" i="2" s="1"/>
  <c r="G351" i="2"/>
  <c r="K351" i="2" s="1"/>
  <c r="G349" i="2"/>
  <c r="K349" i="2" s="1"/>
  <c r="G348" i="2"/>
  <c r="K348" i="2" s="1"/>
  <c r="G347" i="2"/>
  <c r="K347" i="2" s="1"/>
  <c r="G346" i="2"/>
  <c r="G345" i="2"/>
  <c r="K345" i="2" s="1"/>
  <c r="G344" i="2"/>
  <c r="K344" i="2" s="1"/>
  <c r="G342" i="2"/>
  <c r="K342" i="2" s="1"/>
  <c r="K341" i="2" s="1"/>
  <c r="G340" i="2"/>
  <c r="K340" i="2" s="1"/>
  <c r="G339" i="2"/>
  <c r="K339" i="2" s="1"/>
  <c r="G336" i="2"/>
  <c r="K336" i="2" s="1"/>
  <c r="G335" i="2"/>
  <c r="K335" i="2" s="1"/>
  <c r="G333" i="2"/>
  <c r="G332" i="2"/>
  <c r="G331" i="2"/>
  <c r="K331" i="2" s="1"/>
  <c r="G329" i="2"/>
  <c r="K329" i="2" s="1"/>
  <c r="G328" i="2"/>
  <c r="K328" i="2" s="1"/>
  <c r="G327" i="2"/>
  <c r="K327" i="2" s="1"/>
  <c r="G326" i="2"/>
  <c r="K326" i="2" s="1"/>
  <c r="G325" i="2"/>
  <c r="K325" i="2" s="1"/>
  <c r="G324" i="2"/>
  <c r="G322" i="2"/>
  <c r="G321" i="2"/>
  <c r="K321" i="2" s="1"/>
  <c r="G320" i="2"/>
  <c r="K320" i="2" s="1"/>
  <c r="G319" i="2"/>
  <c r="K319" i="2" s="1"/>
  <c r="G318" i="2"/>
  <c r="K318" i="2" s="1"/>
  <c r="G317" i="2"/>
  <c r="K317" i="2" s="1"/>
  <c r="G315" i="2"/>
  <c r="K315" i="2" s="1"/>
  <c r="K314" i="2" s="1"/>
  <c r="G313" i="2"/>
  <c r="G312" i="2"/>
  <c r="G309" i="2"/>
  <c r="K309" i="2" s="1"/>
  <c r="G308" i="2"/>
  <c r="K308" i="2" s="1"/>
  <c r="G306" i="2"/>
  <c r="K306" i="2" s="1"/>
  <c r="G305" i="2"/>
  <c r="K305" i="2" s="1"/>
  <c r="G304" i="2"/>
  <c r="K304" i="2" s="1"/>
  <c r="G302" i="2"/>
  <c r="K302" i="2" s="1"/>
  <c r="G301" i="2"/>
  <c r="K301" i="2" s="1"/>
  <c r="G300" i="2"/>
  <c r="G299" i="2"/>
  <c r="K299" i="2" s="1"/>
  <c r="G298" i="2"/>
  <c r="K298" i="2" s="1"/>
  <c r="G297" i="2"/>
  <c r="K297" i="2" s="1"/>
  <c r="G295" i="2"/>
  <c r="K295" i="2" s="1"/>
  <c r="G294" i="2"/>
  <c r="K294" i="2" s="1"/>
  <c r="G293" i="2"/>
  <c r="K293" i="2" s="1"/>
  <c r="G292" i="2"/>
  <c r="K292" i="2" s="1"/>
  <c r="G291" i="2"/>
  <c r="K291" i="2" s="1"/>
  <c r="G290" i="2"/>
  <c r="K290" i="2" s="1"/>
  <c r="G288" i="2"/>
  <c r="K288" i="2" s="1"/>
  <c r="K287" i="2" s="1"/>
  <c r="G286" i="2"/>
  <c r="K286" i="2" s="1"/>
  <c r="G285" i="2"/>
  <c r="K285" i="2" s="1"/>
  <c r="G282" i="2"/>
  <c r="K282" i="2" s="1"/>
  <c r="G281" i="2"/>
  <c r="K281" i="2" s="1"/>
  <c r="G279" i="2"/>
  <c r="G278" i="2"/>
  <c r="G277" i="2"/>
  <c r="K277" i="2" s="1"/>
  <c r="G275" i="2"/>
  <c r="K275" i="2" s="1"/>
  <c r="G274" i="2"/>
  <c r="K274" i="2" s="1"/>
  <c r="G273" i="2"/>
  <c r="K273" i="2" s="1"/>
  <c r="G272" i="2"/>
  <c r="K272" i="2" s="1"/>
  <c r="G271" i="2"/>
  <c r="K271" i="2" s="1"/>
  <c r="G270" i="2"/>
  <c r="G267" i="2"/>
  <c r="K267" i="2" s="1"/>
  <c r="G266" i="2"/>
  <c r="K266" i="2" s="1"/>
  <c r="G265" i="2"/>
  <c r="K265" i="2" s="1"/>
  <c r="G264" i="2"/>
  <c r="K264" i="2" s="1"/>
  <c r="G263" i="2"/>
  <c r="K263" i="2" s="1"/>
  <c r="G261" i="2"/>
  <c r="G259" i="2"/>
  <c r="G255" i="2"/>
  <c r="K255" i="2" s="1"/>
  <c r="G252" i="2"/>
  <c r="K252" i="2" s="1"/>
  <c r="G251" i="2"/>
  <c r="K251" i="2" s="1"/>
  <c r="G250" i="2"/>
  <c r="K250" i="2" s="1"/>
  <c r="G248" i="2"/>
  <c r="K248" i="2" s="1"/>
  <c r="G247" i="2"/>
  <c r="G246" i="2"/>
  <c r="K246" i="2" s="1"/>
  <c r="G245" i="2"/>
  <c r="K245" i="2" s="1"/>
  <c r="G244" i="2"/>
  <c r="K244" i="2" s="1"/>
  <c r="G243" i="2"/>
  <c r="K243" i="2" s="1"/>
  <c r="G241" i="2"/>
  <c r="K241" i="2" s="1"/>
  <c r="G240" i="2"/>
  <c r="K240" i="2" s="1"/>
  <c r="G239" i="2"/>
  <c r="K239" i="2" s="1"/>
  <c r="G238" i="2"/>
  <c r="K238" i="2" s="1"/>
  <c r="G237" i="2"/>
  <c r="K237" i="2" s="1"/>
  <c r="G236" i="2"/>
  <c r="G234" i="2"/>
  <c r="K234" i="2" s="1"/>
  <c r="K233" i="2" s="1"/>
  <c r="G232" i="2"/>
  <c r="K232" i="2" s="1"/>
  <c r="G231" i="2"/>
  <c r="K231" i="2" s="1"/>
  <c r="G228" i="2"/>
  <c r="K228" i="2" s="1"/>
  <c r="G227" i="2"/>
  <c r="K227" i="2" s="1"/>
  <c r="G225" i="2"/>
  <c r="K225" i="2" s="1"/>
  <c r="G224" i="2"/>
  <c r="G223" i="2"/>
  <c r="K223" i="2" s="1"/>
  <c r="G221" i="2"/>
  <c r="K221" i="2" s="1"/>
  <c r="G220" i="2"/>
  <c r="K220" i="2" s="1"/>
  <c r="G219" i="2"/>
  <c r="K219" i="2" s="1"/>
  <c r="G218" i="2"/>
  <c r="K218" i="2" s="1"/>
  <c r="G217" i="2"/>
  <c r="K217" i="2" s="1"/>
  <c r="G216" i="2"/>
  <c r="G213" i="2"/>
  <c r="K213" i="2" s="1"/>
  <c r="G212" i="2"/>
  <c r="K212" i="2" s="1"/>
  <c r="G211" i="2"/>
  <c r="K211" i="2" s="1"/>
  <c r="G210" i="2"/>
  <c r="K210" i="2" s="1"/>
  <c r="G209" i="2"/>
  <c r="K209" i="2" s="1"/>
  <c r="G207" i="2"/>
  <c r="G205" i="2"/>
  <c r="G201" i="2"/>
  <c r="K201" i="2" s="1"/>
  <c r="G200" i="2"/>
  <c r="K200" i="2" s="1"/>
  <c r="G198" i="2"/>
  <c r="K198" i="2" s="1"/>
  <c r="G197" i="2"/>
  <c r="K197" i="2" s="1"/>
  <c r="G196" i="2"/>
  <c r="G194" i="2"/>
  <c r="K194" i="2" s="1"/>
  <c r="G193" i="2"/>
  <c r="G192" i="2"/>
  <c r="K192" i="2" s="1"/>
  <c r="G191" i="2"/>
  <c r="K191" i="2" s="1"/>
  <c r="G190" i="2"/>
  <c r="K190" i="2" s="1"/>
  <c r="G189" i="2"/>
  <c r="K189" i="2" s="1"/>
  <c r="G187" i="2"/>
  <c r="K187" i="2" s="1"/>
  <c r="G186" i="2"/>
  <c r="K186" i="2" s="1"/>
  <c r="G185" i="2"/>
  <c r="K185" i="2" s="1"/>
  <c r="G184" i="2"/>
  <c r="K184" i="2" s="1"/>
  <c r="G183" i="2"/>
  <c r="K183" i="2" s="1"/>
  <c r="G182" i="2"/>
  <c r="K182" i="2" s="1"/>
  <c r="G180" i="2"/>
  <c r="K180" i="2" s="1"/>
  <c r="K179" i="2" s="1"/>
  <c r="G178" i="2"/>
  <c r="K178" i="2" s="1"/>
  <c r="G177" i="2"/>
  <c r="K177" i="2" s="1"/>
  <c r="G174" i="2"/>
  <c r="K174" i="2" s="1"/>
  <c r="G171" i="2"/>
  <c r="K171" i="2" s="1"/>
  <c r="G170" i="2"/>
  <c r="G169" i="2"/>
  <c r="K169" i="2" s="1"/>
  <c r="G167" i="2"/>
  <c r="K167" i="2" s="1"/>
  <c r="G166" i="2"/>
  <c r="K166" i="2" s="1"/>
  <c r="G164" i="2"/>
  <c r="K164" i="2" s="1"/>
  <c r="G163" i="2"/>
  <c r="K163" i="2" s="1"/>
  <c r="G162" i="2"/>
  <c r="G160" i="2"/>
  <c r="K160" i="2" s="1"/>
  <c r="G159" i="2"/>
  <c r="K159" i="2" s="1"/>
  <c r="G157" i="2"/>
  <c r="K157" i="2" s="1"/>
  <c r="G156" i="2"/>
  <c r="K156" i="2" s="1"/>
  <c r="G155" i="2"/>
  <c r="K155" i="2" s="1"/>
  <c r="G153" i="2"/>
  <c r="K153" i="2" s="1"/>
  <c r="K152" i="2" s="1"/>
  <c r="G147" i="2"/>
  <c r="K147" i="2" s="1"/>
  <c r="G146" i="2"/>
  <c r="K146" i="2" s="1"/>
  <c r="G144" i="2"/>
  <c r="K144" i="2" s="1"/>
  <c r="G143" i="2"/>
  <c r="K143" i="2" s="1"/>
  <c r="G142" i="2"/>
  <c r="K142" i="2" s="1"/>
  <c r="G140" i="2"/>
  <c r="K140" i="2" s="1"/>
  <c r="G139" i="2"/>
  <c r="K139" i="2" s="1"/>
  <c r="G138" i="2"/>
  <c r="K138" i="2" s="1"/>
  <c r="G136" i="2"/>
  <c r="K136" i="2" s="1"/>
  <c r="G135" i="2"/>
  <c r="K135" i="2" s="1"/>
  <c r="G133" i="2"/>
  <c r="K133" i="2" s="1"/>
  <c r="G131" i="2"/>
  <c r="K131" i="2" s="1"/>
  <c r="G130" i="2"/>
  <c r="K130" i="2" s="1"/>
  <c r="G128" i="2"/>
  <c r="K128" i="2" s="1"/>
  <c r="G126" i="2"/>
  <c r="K126" i="2" s="1"/>
  <c r="K125" i="2" s="1"/>
  <c r="G124" i="2"/>
  <c r="K124" i="2" s="1"/>
  <c r="G123" i="2"/>
  <c r="K123" i="2" s="1"/>
  <c r="G120" i="2"/>
  <c r="K120" i="2" s="1"/>
  <c r="G119" i="2"/>
  <c r="K119" i="2" s="1"/>
  <c r="G117" i="2"/>
  <c r="G116" i="2"/>
  <c r="K116" i="2" s="1"/>
  <c r="G115" i="2"/>
  <c r="K115" i="2" s="1"/>
  <c r="G113" i="2"/>
  <c r="K113" i="2" s="1"/>
  <c r="G112" i="2"/>
  <c r="K112" i="2" s="1"/>
  <c r="G111" i="2"/>
  <c r="K111" i="2" s="1"/>
  <c r="G110" i="2"/>
  <c r="K110" i="2" s="1"/>
  <c r="G109" i="2"/>
  <c r="K109" i="2" s="1"/>
  <c r="G108" i="2"/>
  <c r="K108" i="2" s="1"/>
  <c r="G106" i="2"/>
  <c r="K106" i="2" s="1"/>
  <c r="G105" i="2"/>
  <c r="K105" i="2" s="1"/>
  <c r="G104" i="2"/>
  <c r="K104" i="2" s="1"/>
  <c r="G103" i="2"/>
  <c r="K103" i="2" s="1"/>
  <c r="G102" i="2"/>
  <c r="K102" i="2" s="1"/>
  <c r="G101" i="2"/>
  <c r="K101" i="2" s="1"/>
  <c r="G99" i="2"/>
  <c r="K99" i="2" s="1"/>
  <c r="K98" i="2" s="1"/>
  <c r="G97" i="2"/>
  <c r="K97" i="2" s="1"/>
  <c r="G96" i="2"/>
  <c r="K96" i="2" s="1"/>
  <c r="G93" i="2"/>
  <c r="G90" i="2"/>
  <c r="G89" i="2"/>
  <c r="G88" i="2"/>
  <c r="G66" i="2"/>
  <c r="G63" i="2"/>
  <c r="G62" i="2"/>
  <c r="G61" i="2"/>
  <c r="G39" i="2"/>
  <c r="G35" i="2"/>
  <c r="G36" i="2"/>
  <c r="G34" i="2"/>
  <c r="K117" i="2"/>
  <c r="K162" i="2"/>
  <c r="K170" i="2"/>
  <c r="K193" i="2"/>
  <c r="K196" i="2"/>
  <c r="K205" i="2"/>
  <c r="K207" i="2"/>
  <c r="K206" i="2" s="1"/>
  <c r="K216" i="2"/>
  <c r="K224" i="2"/>
  <c r="K236" i="2"/>
  <c r="K247" i="2"/>
  <c r="K259" i="2"/>
  <c r="K261" i="2"/>
  <c r="K260" i="2" s="1"/>
  <c r="K270" i="2"/>
  <c r="K278" i="2"/>
  <c r="K279" i="2"/>
  <c r="K300" i="2"/>
  <c r="K312" i="2"/>
  <c r="K313" i="2"/>
  <c r="K322" i="2"/>
  <c r="K324" i="2"/>
  <c r="K332" i="2"/>
  <c r="K333" i="2"/>
  <c r="K346" i="2"/>
  <c r="K358" i="2"/>
  <c r="K367" i="2"/>
  <c r="K369" i="2"/>
  <c r="K368" i="2" s="1"/>
  <c r="K378" i="2"/>
  <c r="K387" i="2"/>
  <c r="K400" i="2"/>
  <c r="K401" i="2"/>
  <c r="K412" i="2"/>
  <c r="K423" i="2"/>
  <c r="K422" i="2" s="1"/>
  <c r="K425" i="2"/>
  <c r="K433" i="2"/>
  <c r="K441" i="2"/>
  <c r="K454" i="2"/>
  <c r="K455" i="2"/>
  <c r="K456" i="2"/>
  <c r="K464" i="2"/>
  <c r="K466" i="2"/>
  <c r="K475" i="2"/>
  <c r="K477" i="2"/>
  <c r="K476" i="2" s="1"/>
  <c r="K479" i="2"/>
  <c r="K486" i="2"/>
  <c r="K487" i="2"/>
  <c r="K488" i="2"/>
  <c r="K495" i="2"/>
  <c r="K497" i="2"/>
  <c r="K498" i="2"/>
  <c r="K508" i="2"/>
  <c r="K509" i="2"/>
  <c r="K510" i="2"/>
  <c r="K517" i="2"/>
  <c r="K518" i="2"/>
  <c r="K520" i="2"/>
  <c r="K524" i="2"/>
  <c r="K529" i="2"/>
  <c r="K531" i="2"/>
  <c r="K530" i="2" s="1"/>
  <c r="K533" i="2"/>
  <c r="K540" i="2"/>
  <c r="K549" i="2"/>
  <c r="K551" i="2"/>
  <c r="K552" i="2"/>
  <c r="K571" i="2"/>
  <c r="K574" i="2"/>
  <c r="K583" i="2"/>
  <c r="K587" i="2"/>
  <c r="K594" i="2"/>
  <c r="K596" i="2"/>
  <c r="K603" i="2"/>
  <c r="K605" i="2"/>
  <c r="K606" i="2"/>
  <c r="K616" i="2"/>
  <c r="K618" i="2"/>
  <c r="K625" i="2"/>
  <c r="K626" i="2"/>
  <c r="K628" i="2"/>
  <c r="K636" i="2"/>
  <c r="K637" i="2"/>
  <c r="K639" i="2"/>
  <c r="K638" i="2" s="1"/>
  <c r="K641" i="2"/>
  <c r="K646" i="2"/>
  <c r="K648" i="2"/>
  <c r="K656" i="2"/>
  <c r="K657" i="2"/>
  <c r="K659" i="2"/>
  <c r="K660" i="2"/>
  <c r="K666" i="2"/>
  <c r="K665" i="2" s="1"/>
  <c r="K669" i="2"/>
  <c r="K670" i="2"/>
  <c r="K671" i="2"/>
  <c r="K678" i="2"/>
  <c r="K679" i="2"/>
  <c r="K680" i="2"/>
  <c r="K682" i="2"/>
  <c r="K690" i="2"/>
  <c r="K693" i="2"/>
  <c r="K692" i="2" s="1"/>
  <c r="K700" i="2"/>
  <c r="K702" i="2"/>
  <c r="K703" i="2"/>
  <c r="K710" i="2"/>
  <c r="K711" i="2"/>
  <c r="K713" i="2"/>
  <c r="K714" i="2"/>
  <c r="K732" i="2"/>
  <c r="K734" i="2"/>
  <c r="K736" i="2"/>
  <c r="K744" i="2"/>
  <c r="K749" i="2"/>
  <c r="K754" i="2"/>
  <c r="K756" i="2"/>
  <c r="K764" i="2"/>
  <c r="K765" i="2"/>
  <c r="K768" i="2"/>
  <c r="K776" i="2"/>
  <c r="K777" i="2"/>
  <c r="K778" i="2"/>
  <c r="K779" i="2"/>
  <c r="K780" i="2"/>
  <c r="K786" i="2"/>
  <c r="K788" i="2"/>
  <c r="K799" i="2"/>
  <c r="K803" i="2"/>
  <c r="K812" i="2"/>
  <c r="K818" i="2"/>
  <c r="K819" i="2"/>
  <c r="K822" i="2"/>
  <c r="K831" i="2"/>
  <c r="K834" i="2"/>
  <c r="K840" i="2"/>
  <c r="K844" i="2"/>
  <c r="K852" i="2"/>
  <c r="K855" i="2"/>
  <c r="K854" i="2" s="1"/>
  <c r="K862" i="2"/>
  <c r="K865" i="2"/>
  <c r="K872" i="2"/>
  <c r="K873" i="2"/>
  <c r="K875" i="2"/>
  <c r="K876" i="2"/>
  <c r="G14" i="2"/>
  <c r="E92" i="2"/>
  <c r="I92" i="2" s="1"/>
  <c r="E82" i="2"/>
  <c r="G82" i="2" s="1"/>
  <c r="E83" i="2"/>
  <c r="G83" i="2" s="1"/>
  <c r="E84" i="2"/>
  <c r="G84" i="2" s="1"/>
  <c r="E85" i="2"/>
  <c r="G85" i="2" s="1"/>
  <c r="E86" i="2"/>
  <c r="I86" i="2" s="1"/>
  <c r="E81" i="2"/>
  <c r="G81" i="2" s="1"/>
  <c r="E75" i="2"/>
  <c r="I75" i="2" s="1"/>
  <c r="E76" i="2"/>
  <c r="G76" i="2" s="1"/>
  <c r="E77" i="2"/>
  <c r="G77" i="2" s="1"/>
  <c r="E78" i="2"/>
  <c r="G78" i="2" s="1"/>
  <c r="E79" i="2"/>
  <c r="G79" i="2" s="1"/>
  <c r="E74" i="2"/>
  <c r="G74" i="2" s="1"/>
  <c r="E72" i="2"/>
  <c r="G72" i="2" s="1"/>
  <c r="E70" i="2"/>
  <c r="G70" i="2" s="1"/>
  <c r="E69" i="2"/>
  <c r="I69" i="2" s="1"/>
  <c r="E65" i="2"/>
  <c r="G65" i="2" s="1"/>
  <c r="E55" i="2"/>
  <c r="I55" i="2" s="1"/>
  <c r="E56" i="2"/>
  <c r="I56" i="2" s="1"/>
  <c r="E57" i="2"/>
  <c r="I57" i="2" s="1"/>
  <c r="E58" i="2"/>
  <c r="G58" i="2" s="1"/>
  <c r="E59" i="2"/>
  <c r="G59" i="2" s="1"/>
  <c r="E54" i="2"/>
  <c r="G54" i="2" s="1"/>
  <c r="E48" i="2"/>
  <c r="G48" i="2" s="1"/>
  <c r="E49" i="2"/>
  <c r="I49" i="2" s="1"/>
  <c r="E50" i="2"/>
  <c r="G50" i="2" s="1"/>
  <c r="E51" i="2"/>
  <c r="G51" i="2" s="1"/>
  <c r="E52" i="2"/>
  <c r="G52" i="2" s="1"/>
  <c r="E47" i="2"/>
  <c r="G47" i="2" s="1"/>
  <c r="E45" i="2"/>
  <c r="G45" i="2" s="1"/>
  <c r="E43" i="2"/>
  <c r="G43" i="2" s="1"/>
  <c r="E42" i="2"/>
  <c r="G42" i="2" s="1"/>
  <c r="E38" i="2"/>
  <c r="G38" i="2" s="1"/>
  <c r="E28" i="2"/>
  <c r="G28" i="2" s="1"/>
  <c r="E29" i="2"/>
  <c r="G29" i="2" s="1"/>
  <c r="E30" i="2"/>
  <c r="G30" i="2" s="1"/>
  <c r="E31" i="2"/>
  <c r="G31" i="2" s="1"/>
  <c r="E32" i="2"/>
  <c r="I32" i="2" s="1"/>
  <c r="E27" i="2"/>
  <c r="G27" i="2" s="1"/>
  <c r="E21" i="2"/>
  <c r="G21" i="2" s="1"/>
  <c r="E22" i="2"/>
  <c r="I22" i="2" s="1"/>
  <c r="E23" i="2"/>
  <c r="I23" i="2" s="1"/>
  <c r="E24" i="2"/>
  <c r="G24" i="2" s="1"/>
  <c r="E25" i="2"/>
  <c r="G25" i="2" s="1"/>
  <c r="E20" i="2"/>
  <c r="G20" i="2" s="1"/>
  <c r="E18" i="2"/>
  <c r="I18" i="2" s="1"/>
  <c r="I17" i="2" s="1"/>
  <c r="E16" i="2"/>
  <c r="I16" i="2" s="1"/>
  <c r="I39" i="2"/>
  <c r="I24" i="2"/>
  <c r="E15" i="2"/>
  <c r="G15" i="2" s="1"/>
  <c r="K9" i="2"/>
  <c r="J876" i="2"/>
  <c r="J875" i="2"/>
  <c r="J874" i="2" s="1"/>
  <c r="J873" i="2"/>
  <c r="J872" i="2"/>
  <c r="J871" i="2"/>
  <c r="J869" i="2"/>
  <c r="J868" i="2"/>
  <c r="J867" i="2"/>
  <c r="J866" i="2"/>
  <c r="J865" i="2"/>
  <c r="J864" i="2"/>
  <c r="J862" i="2"/>
  <c r="J861" i="2"/>
  <c r="J860" i="2"/>
  <c r="J859" i="2"/>
  <c r="J858" i="2"/>
  <c r="J857" i="2"/>
  <c r="J855" i="2"/>
  <c r="J854" i="2" s="1"/>
  <c r="J853" i="2"/>
  <c r="J852" i="2"/>
  <c r="J849" i="2"/>
  <c r="J848" i="2"/>
  <c r="J846" i="2"/>
  <c r="J845" i="2"/>
  <c r="J844" i="2"/>
  <c r="J842" i="2"/>
  <c r="J841" i="2"/>
  <c r="J840" i="2"/>
  <c r="J839" i="2"/>
  <c r="J838" i="2"/>
  <c r="J837" i="2"/>
  <c r="J835" i="2"/>
  <c r="J834" i="2"/>
  <c r="J833" i="2"/>
  <c r="J832" i="2"/>
  <c r="J831" i="2"/>
  <c r="J830" i="2"/>
  <c r="J828" i="2"/>
  <c r="J827" i="2" s="1"/>
  <c r="J826" i="2"/>
  <c r="J825" i="2"/>
  <c r="J822" i="2"/>
  <c r="J821" i="2"/>
  <c r="J819" i="2"/>
  <c r="J818" i="2"/>
  <c r="J817" i="2"/>
  <c r="J815" i="2"/>
  <c r="J814" i="2"/>
  <c r="J813" i="2"/>
  <c r="J812" i="2"/>
  <c r="J811" i="2"/>
  <c r="J810" i="2"/>
  <c r="J808" i="2"/>
  <c r="J807" i="2"/>
  <c r="J806" i="2"/>
  <c r="J805" i="2"/>
  <c r="J804" i="2"/>
  <c r="J803" i="2"/>
  <c r="J801" i="2"/>
  <c r="J800" i="2" s="1"/>
  <c r="J799" i="2"/>
  <c r="J798" i="2"/>
  <c r="J795" i="2"/>
  <c r="J794" i="2"/>
  <c r="J792" i="2"/>
  <c r="J791" i="2"/>
  <c r="J790" i="2"/>
  <c r="J788" i="2"/>
  <c r="J787" i="2"/>
  <c r="J786" i="2"/>
  <c r="J785" i="2"/>
  <c r="J784" i="2"/>
  <c r="J783" i="2"/>
  <c r="J781" i="2"/>
  <c r="J780" i="2"/>
  <c r="J779" i="2"/>
  <c r="J778" i="2"/>
  <c r="J777" i="2"/>
  <c r="J776" i="2"/>
  <c r="J774" i="2"/>
  <c r="J773" i="2" s="1"/>
  <c r="J772" i="2"/>
  <c r="J771" i="2"/>
  <c r="J768" i="2"/>
  <c r="J767" i="2"/>
  <c r="J765" i="2"/>
  <c r="J764" i="2"/>
  <c r="J763" i="2"/>
  <c r="J761" i="2"/>
  <c r="J760" i="2"/>
  <c r="J759" i="2"/>
  <c r="J758" i="2"/>
  <c r="J757" i="2"/>
  <c r="J756" i="2"/>
  <c r="J754" i="2"/>
  <c r="J753" i="2"/>
  <c r="J752" i="2"/>
  <c r="J751" i="2"/>
  <c r="J750" i="2"/>
  <c r="J749" i="2"/>
  <c r="J747" i="2"/>
  <c r="J746" i="2" s="1"/>
  <c r="J745" i="2"/>
  <c r="J744" i="2"/>
  <c r="J741" i="2"/>
  <c r="J740" i="2"/>
  <c r="J738" i="2"/>
  <c r="J737" i="2"/>
  <c r="J736" i="2"/>
  <c r="J734" i="2"/>
  <c r="J733" i="2"/>
  <c r="J732" i="2"/>
  <c r="J731" i="2"/>
  <c r="J730" i="2"/>
  <c r="J729" i="2"/>
  <c r="J727" i="2"/>
  <c r="J726" i="2"/>
  <c r="J725" i="2"/>
  <c r="J724" i="2"/>
  <c r="J723" i="2"/>
  <c r="J722" i="2"/>
  <c r="J720" i="2"/>
  <c r="J719" i="2" s="1"/>
  <c r="J718" i="2"/>
  <c r="J717" i="2"/>
  <c r="J714" i="2"/>
  <c r="J713" i="2"/>
  <c r="J711" i="2"/>
  <c r="J710" i="2"/>
  <c r="J709" i="2"/>
  <c r="J707" i="2"/>
  <c r="J706" i="2"/>
  <c r="J705" i="2"/>
  <c r="J704" i="2"/>
  <c r="J703" i="2"/>
  <c r="J702" i="2"/>
  <c r="J700" i="2"/>
  <c r="J699" i="2"/>
  <c r="J698" i="2"/>
  <c r="J697" i="2"/>
  <c r="J696" i="2"/>
  <c r="J695" i="2"/>
  <c r="J693" i="2"/>
  <c r="J692" i="2" s="1"/>
  <c r="J691" i="2"/>
  <c r="J690" i="2"/>
  <c r="J686" i="2"/>
  <c r="J649" i="2"/>
  <c r="J385" i="2"/>
  <c r="J687" i="2"/>
  <c r="J684" i="2"/>
  <c r="J683" i="2"/>
  <c r="J682" i="2"/>
  <c r="J680" i="2"/>
  <c r="J679" i="2"/>
  <c r="J678" i="2"/>
  <c r="J677" i="2"/>
  <c r="J676" i="2"/>
  <c r="J675" i="2"/>
  <c r="J673" i="2"/>
  <c r="J672" i="2"/>
  <c r="J671" i="2"/>
  <c r="J670" i="2"/>
  <c r="J669" i="2"/>
  <c r="J668" i="2"/>
  <c r="J666" i="2"/>
  <c r="J665" i="2" s="1"/>
  <c r="J664" i="2"/>
  <c r="J663" i="2"/>
  <c r="J660" i="2"/>
  <c r="J659" i="2"/>
  <c r="J657" i="2"/>
  <c r="J656" i="2"/>
  <c r="J655" i="2"/>
  <c r="J653" i="2"/>
  <c r="J652" i="2"/>
  <c r="J651" i="2"/>
  <c r="J650" i="2"/>
  <c r="J648" i="2"/>
  <c r="J646" i="2"/>
  <c r="J645" i="2"/>
  <c r="J644" i="2"/>
  <c r="J643" i="2"/>
  <c r="J642" i="2"/>
  <c r="J641" i="2"/>
  <c r="J639" i="2"/>
  <c r="J638" i="2" s="1"/>
  <c r="J637" i="2"/>
  <c r="J636" i="2"/>
  <c r="J633" i="2"/>
  <c r="J632" i="2"/>
  <c r="J630" i="2"/>
  <c r="J629" i="2"/>
  <c r="J628" i="2"/>
  <c r="J626" i="2"/>
  <c r="J625" i="2"/>
  <c r="J624" i="2"/>
  <c r="J623" i="2"/>
  <c r="J622" i="2"/>
  <c r="J621" i="2"/>
  <c r="J619" i="2"/>
  <c r="J618" i="2"/>
  <c r="J617" i="2"/>
  <c r="J616" i="2"/>
  <c r="J615" i="2"/>
  <c r="J614" i="2"/>
  <c r="J612" i="2"/>
  <c r="J611" i="2" s="1"/>
  <c r="J610" i="2"/>
  <c r="J609" i="2"/>
  <c r="J606" i="2"/>
  <c r="J605" i="2"/>
  <c r="J603" i="2"/>
  <c r="J602" i="2"/>
  <c r="J601" i="2"/>
  <c r="J599" i="2"/>
  <c r="J598" i="2"/>
  <c r="J597" i="2"/>
  <c r="J596" i="2"/>
  <c r="J595" i="2"/>
  <c r="J594" i="2"/>
  <c r="J592" i="2"/>
  <c r="J591" i="2"/>
  <c r="J590" i="2"/>
  <c r="J589" i="2"/>
  <c r="J588" i="2"/>
  <c r="J587" i="2"/>
  <c r="J585" i="2"/>
  <c r="J584" i="2" s="1"/>
  <c r="J583" i="2"/>
  <c r="J582" i="2"/>
  <c r="J579" i="2"/>
  <c r="J578" i="2"/>
  <c r="J576" i="2"/>
  <c r="J575" i="2"/>
  <c r="J574" i="2"/>
  <c r="J572" i="2"/>
  <c r="J571" i="2"/>
  <c r="J570" i="2"/>
  <c r="J569" i="2"/>
  <c r="J568" i="2"/>
  <c r="J567" i="2"/>
  <c r="J565" i="2"/>
  <c r="J564" i="2"/>
  <c r="J563" i="2"/>
  <c r="J562" i="2"/>
  <c r="J561" i="2"/>
  <c r="J560" i="2"/>
  <c r="J558" i="2"/>
  <c r="J557" i="2" s="1"/>
  <c r="J556" i="2"/>
  <c r="J555" i="2"/>
  <c r="J552" i="2"/>
  <c r="J551" i="2"/>
  <c r="J549" i="2"/>
  <c r="J548" i="2"/>
  <c r="J547" i="2"/>
  <c r="J545" i="2"/>
  <c r="J544" i="2"/>
  <c r="J543" i="2"/>
  <c r="J542" i="2"/>
  <c r="J541" i="2"/>
  <c r="J540" i="2"/>
  <c r="J538" i="2"/>
  <c r="J537" i="2"/>
  <c r="J536" i="2"/>
  <c r="J535" i="2"/>
  <c r="J534" i="2"/>
  <c r="J533" i="2"/>
  <c r="J531" i="2"/>
  <c r="J530" i="2" s="1"/>
  <c r="J529" i="2"/>
  <c r="J528" i="2"/>
  <c r="J525" i="2"/>
  <c r="J524" i="2"/>
  <c r="J522" i="2"/>
  <c r="J521" i="2"/>
  <c r="J520" i="2"/>
  <c r="J518" i="2"/>
  <c r="J517" i="2"/>
  <c r="J516" i="2"/>
  <c r="J515" i="2"/>
  <c r="J514" i="2"/>
  <c r="J513" i="2"/>
  <c r="J511" i="2"/>
  <c r="J510" i="2"/>
  <c r="J509" i="2"/>
  <c r="J508" i="2"/>
  <c r="J507" i="2"/>
  <c r="J506" i="2"/>
  <c r="J504" i="2"/>
  <c r="J503" i="2" s="1"/>
  <c r="J502" i="2"/>
  <c r="J501" i="2"/>
  <c r="J498" i="2"/>
  <c r="J497" i="2"/>
  <c r="J495" i="2"/>
  <c r="J494" i="2"/>
  <c r="J493" i="2"/>
  <c r="J491" i="2"/>
  <c r="J490" i="2"/>
  <c r="J489" i="2"/>
  <c r="J488" i="2"/>
  <c r="J487" i="2"/>
  <c r="J486" i="2"/>
  <c r="J484" i="2"/>
  <c r="J483" i="2"/>
  <c r="J482" i="2"/>
  <c r="J481" i="2"/>
  <c r="J480" i="2"/>
  <c r="J479" i="2"/>
  <c r="J477" i="2"/>
  <c r="J476" i="2" s="1"/>
  <c r="J475" i="2"/>
  <c r="J474" i="2"/>
  <c r="J471" i="2"/>
  <c r="J470" i="2"/>
  <c r="J468" i="2"/>
  <c r="J467" i="2"/>
  <c r="J466" i="2"/>
  <c r="J464" i="2"/>
  <c r="J463" i="2"/>
  <c r="J462" i="2"/>
  <c r="J461" i="2"/>
  <c r="J460" i="2"/>
  <c r="J459" i="2"/>
  <c r="J457" i="2"/>
  <c r="J456" i="2"/>
  <c r="J455" i="2"/>
  <c r="J454" i="2"/>
  <c r="J453" i="2"/>
  <c r="J452" i="2"/>
  <c r="J450" i="2"/>
  <c r="J449" i="2" s="1"/>
  <c r="J448" i="2"/>
  <c r="J447" i="2"/>
  <c r="J444" i="2"/>
  <c r="J443" i="2"/>
  <c r="J441" i="2"/>
  <c r="J440" i="2"/>
  <c r="J439" i="2"/>
  <c r="J437" i="2"/>
  <c r="J436" i="2"/>
  <c r="J435" i="2"/>
  <c r="J434" i="2"/>
  <c r="J433" i="2"/>
  <c r="J432" i="2"/>
  <c r="J430" i="2"/>
  <c r="J429" i="2"/>
  <c r="J428" i="2"/>
  <c r="J427" i="2"/>
  <c r="J426" i="2"/>
  <c r="J425" i="2"/>
  <c r="J423" i="2"/>
  <c r="J422" i="2" s="1"/>
  <c r="J421" i="2"/>
  <c r="J420" i="2"/>
  <c r="J417" i="2"/>
  <c r="J416" i="2"/>
  <c r="J414" i="2"/>
  <c r="J413" i="2"/>
  <c r="J412" i="2"/>
  <c r="J410" i="2"/>
  <c r="J409" i="2"/>
  <c r="J408" i="2"/>
  <c r="J407" i="2"/>
  <c r="J406" i="2"/>
  <c r="J405" i="2"/>
  <c r="J403" i="2"/>
  <c r="J402" i="2"/>
  <c r="J401" i="2"/>
  <c r="J400" i="2"/>
  <c r="J399" i="2"/>
  <c r="J398" i="2"/>
  <c r="J396" i="2"/>
  <c r="J395" i="2" s="1"/>
  <c r="J394" i="2"/>
  <c r="J393" i="2"/>
  <c r="J390" i="2"/>
  <c r="J389" i="2"/>
  <c r="J387" i="2"/>
  <c r="J386" i="2"/>
  <c r="J383" i="2"/>
  <c r="J382" i="2"/>
  <c r="J381" i="2"/>
  <c r="J380" i="2"/>
  <c r="J379" i="2"/>
  <c r="J378" i="2"/>
  <c r="J376" i="2"/>
  <c r="J375" i="2"/>
  <c r="J374" i="2"/>
  <c r="J373" i="2"/>
  <c r="J372" i="2"/>
  <c r="J371" i="2"/>
  <c r="J369" i="2"/>
  <c r="J368" i="2" s="1"/>
  <c r="J367" i="2"/>
  <c r="J366" i="2"/>
  <c r="J363" i="2"/>
  <c r="J362" i="2"/>
  <c r="J360" i="2"/>
  <c r="J359" i="2"/>
  <c r="J358" i="2"/>
  <c r="J356" i="2"/>
  <c r="J355" i="2"/>
  <c r="J354" i="2"/>
  <c r="J353" i="2"/>
  <c r="J352" i="2"/>
  <c r="J351" i="2"/>
  <c r="J349" i="2"/>
  <c r="J348" i="2"/>
  <c r="J347" i="2"/>
  <c r="J346" i="2"/>
  <c r="J345" i="2"/>
  <c r="J344" i="2"/>
  <c r="J342" i="2"/>
  <c r="J341" i="2" s="1"/>
  <c r="J340" i="2"/>
  <c r="J339" i="2"/>
  <c r="J336" i="2"/>
  <c r="J335" i="2"/>
  <c r="J334" i="2" s="1"/>
  <c r="J333" i="2"/>
  <c r="J332" i="2"/>
  <c r="J331" i="2"/>
  <c r="J329" i="2"/>
  <c r="J328" i="2"/>
  <c r="J327" i="2"/>
  <c r="J326" i="2"/>
  <c r="J325" i="2"/>
  <c r="J324" i="2"/>
  <c r="J322" i="2"/>
  <c r="J321" i="2"/>
  <c r="J320" i="2"/>
  <c r="J319" i="2"/>
  <c r="J318" i="2"/>
  <c r="J317" i="2"/>
  <c r="J315" i="2"/>
  <c r="J314" i="2" s="1"/>
  <c r="J313" i="2"/>
  <c r="J312" i="2"/>
  <c r="J309" i="2"/>
  <c r="J308" i="2"/>
  <c r="J306" i="2"/>
  <c r="J305" i="2"/>
  <c r="J304" i="2"/>
  <c r="J302" i="2"/>
  <c r="J301" i="2"/>
  <c r="J300" i="2"/>
  <c r="J299" i="2"/>
  <c r="J298" i="2"/>
  <c r="J297" i="2"/>
  <c r="J295" i="2"/>
  <c r="J294" i="2"/>
  <c r="J293" i="2"/>
  <c r="J292" i="2"/>
  <c r="J291" i="2"/>
  <c r="J290" i="2"/>
  <c r="J288" i="2"/>
  <c r="J287" i="2" s="1"/>
  <c r="J286" i="2"/>
  <c r="J285" i="2"/>
  <c r="J282" i="2"/>
  <c r="J281" i="2"/>
  <c r="J279" i="2"/>
  <c r="J278" i="2"/>
  <c r="J277" i="2"/>
  <c r="J275" i="2"/>
  <c r="J274" i="2"/>
  <c r="J273" i="2"/>
  <c r="J272" i="2"/>
  <c r="J271" i="2"/>
  <c r="J270" i="2"/>
  <c r="J268" i="2"/>
  <c r="J267" i="2"/>
  <c r="J266" i="2"/>
  <c r="J265" i="2"/>
  <c r="J264" i="2"/>
  <c r="J263" i="2"/>
  <c r="J261" i="2"/>
  <c r="J260" i="2" s="1"/>
  <c r="J259" i="2"/>
  <c r="J258" i="2"/>
  <c r="J255" i="2"/>
  <c r="J254" i="2"/>
  <c r="J252" i="2"/>
  <c r="J251" i="2"/>
  <c r="J250" i="2"/>
  <c r="J248" i="2"/>
  <c r="J247" i="2"/>
  <c r="J246" i="2"/>
  <c r="J245" i="2"/>
  <c r="J244" i="2"/>
  <c r="J243" i="2"/>
  <c r="J241" i="2"/>
  <c r="J240" i="2"/>
  <c r="J239" i="2"/>
  <c r="J238" i="2"/>
  <c r="J237" i="2"/>
  <c r="J236" i="2"/>
  <c r="J234" i="2"/>
  <c r="J233" i="2" s="1"/>
  <c r="J232" i="2"/>
  <c r="J231" i="2"/>
  <c r="J228" i="2"/>
  <c r="J227" i="2"/>
  <c r="J225" i="2"/>
  <c r="J224" i="2"/>
  <c r="J223" i="2"/>
  <c r="J221" i="2"/>
  <c r="J220" i="2"/>
  <c r="J219" i="2"/>
  <c r="J218" i="2"/>
  <c r="J217" i="2"/>
  <c r="J216" i="2"/>
  <c r="J214" i="2"/>
  <c r="J213" i="2"/>
  <c r="J212" i="2"/>
  <c r="J211" i="2"/>
  <c r="J210" i="2"/>
  <c r="J209" i="2"/>
  <c r="J207" i="2"/>
  <c r="J206" i="2" s="1"/>
  <c r="J205" i="2"/>
  <c r="J204" i="2"/>
  <c r="J201" i="2"/>
  <c r="J200" i="2"/>
  <c r="J198" i="2"/>
  <c r="J197" i="2"/>
  <c r="J196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0" i="2"/>
  <c r="J179" i="2" s="1"/>
  <c r="J178" i="2"/>
  <c r="J177" i="2"/>
  <c r="J174" i="2"/>
  <c r="J173" i="2"/>
  <c r="J171" i="2"/>
  <c r="J170" i="2"/>
  <c r="J169" i="2"/>
  <c r="J167" i="2"/>
  <c r="J166" i="2"/>
  <c r="J165" i="2"/>
  <c r="J164" i="2"/>
  <c r="J163" i="2"/>
  <c r="J162" i="2"/>
  <c r="J160" i="2"/>
  <c r="J159" i="2"/>
  <c r="J158" i="2"/>
  <c r="J157" i="2"/>
  <c r="J156" i="2"/>
  <c r="J155" i="2"/>
  <c r="J153" i="2"/>
  <c r="J152" i="2" s="1"/>
  <c r="J151" i="2"/>
  <c r="J150" i="2"/>
  <c r="J147" i="2"/>
  <c r="J146" i="2"/>
  <c r="J144" i="2"/>
  <c r="J143" i="2"/>
  <c r="J142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6" i="2"/>
  <c r="J125" i="2" s="1"/>
  <c r="J124" i="2"/>
  <c r="J123" i="2"/>
  <c r="J120" i="2"/>
  <c r="J119" i="2"/>
  <c r="J117" i="2"/>
  <c r="J116" i="2"/>
  <c r="J115" i="2"/>
  <c r="J113" i="2"/>
  <c r="J112" i="2"/>
  <c r="J111" i="2"/>
  <c r="J110" i="2"/>
  <c r="J109" i="2"/>
  <c r="J108" i="2"/>
  <c r="J106" i="2"/>
  <c r="J105" i="2"/>
  <c r="J104" i="2"/>
  <c r="J103" i="2"/>
  <c r="J102" i="2"/>
  <c r="J101" i="2"/>
  <c r="J99" i="2"/>
  <c r="J98" i="2" s="1"/>
  <c r="J97" i="2"/>
  <c r="J96" i="2"/>
  <c r="J93" i="2"/>
  <c r="J92" i="2"/>
  <c r="J90" i="2"/>
  <c r="J89" i="2"/>
  <c r="J88" i="2"/>
  <c r="J86" i="2"/>
  <c r="J85" i="2"/>
  <c r="J84" i="2"/>
  <c r="J83" i="2"/>
  <c r="J82" i="2"/>
  <c r="J81" i="2"/>
  <c r="J79" i="2"/>
  <c r="J78" i="2"/>
  <c r="J77" i="2"/>
  <c r="J76" i="2"/>
  <c r="J75" i="2"/>
  <c r="J74" i="2"/>
  <c r="J72" i="2"/>
  <c r="J71" i="2" s="1"/>
  <c r="J70" i="2"/>
  <c r="J69" i="2"/>
  <c r="J66" i="2"/>
  <c r="J65" i="2"/>
  <c r="J62" i="2"/>
  <c r="J63" i="2"/>
  <c r="J61" i="2"/>
  <c r="J55" i="2"/>
  <c r="J56" i="2"/>
  <c r="J57" i="2"/>
  <c r="J58" i="2"/>
  <c r="J59" i="2"/>
  <c r="J54" i="2"/>
  <c r="J48" i="2"/>
  <c r="J49" i="2"/>
  <c r="J50" i="2"/>
  <c r="J51" i="2"/>
  <c r="J52" i="2"/>
  <c r="J47" i="2"/>
  <c r="J45" i="2"/>
  <c r="J44" i="2" s="1"/>
  <c r="J43" i="2"/>
  <c r="J42" i="2"/>
  <c r="J39" i="2"/>
  <c r="J38" i="2"/>
  <c r="J35" i="2"/>
  <c r="J36" i="2"/>
  <c r="J34" i="2"/>
  <c r="J28" i="2"/>
  <c r="J29" i="2"/>
  <c r="J30" i="2"/>
  <c r="J31" i="2"/>
  <c r="J32" i="2"/>
  <c r="J27" i="2"/>
  <c r="J21" i="2"/>
  <c r="J22" i="2"/>
  <c r="J23" i="2"/>
  <c r="J24" i="2"/>
  <c r="J25" i="2"/>
  <c r="J20" i="2"/>
  <c r="J18" i="2"/>
  <c r="J15" i="2"/>
  <c r="J16" i="2"/>
  <c r="J14" i="2"/>
  <c r="I876" i="2"/>
  <c r="I875" i="2"/>
  <c r="I873" i="2"/>
  <c r="I872" i="2"/>
  <c r="I871" i="2"/>
  <c r="I869" i="2"/>
  <c r="I868" i="2"/>
  <c r="I867" i="2"/>
  <c r="I866" i="2"/>
  <c r="I865" i="2"/>
  <c r="I864" i="2"/>
  <c r="I862" i="2"/>
  <c r="I861" i="2"/>
  <c r="I860" i="2"/>
  <c r="I859" i="2"/>
  <c r="I858" i="2"/>
  <c r="I857" i="2"/>
  <c r="I855" i="2"/>
  <c r="I853" i="2"/>
  <c r="I852" i="2"/>
  <c r="I849" i="2"/>
  <c r="I848" i="2"/>
  <c r="I846" i="2"/>
  <c r="I845" i="2"/>
  <c r="I844" i="2"/>
  <c r="I842" i="2"/>
  <c r="I841" i="2"/>
  <c r="I840" i="2"/>
  <c r="I838" i="2"/>
  <c r="I837" i="2"/>
  <c r="I834" i="2"/>
  <c r="I833" i="2"/>
  <c r="I832" i="2"/>
  <c r="I831" i="2"/>
  <c r="I828" i="2"/>
  <c r="I826" i="2"/>
  <c r="I822" i="2"/>
  <c r="I821" i="2"/>
  <c r="I819" i="2"/>
  <c r="I818" i="2"/>
  <c r="I817" i="2"/>
  <c r="I815" i="2"/>
  <c r="I814" i="2"/>
  <c r="I813" i="2"/>
  <c r="I812" i="2"/>
  <c r="I811" i="2"/>
  <c r="I810" i="2"/>
  <c r="I807" i="2"/>
  <c r="I806" i="2"/>
  <c r="I805" i="2"/>
  <c r="I804" i="2"/>
  <c r="I803" i="2"/>
  <c r="I801" i="2"/>
  <c r="I799" i="2"/>
  <c r="I795" i="2"/>
  <c r="I794" i="2"/>
  <c r="I792" i="2"/>
  <c r="I791" i="2"/>
  <c r="I790" i="2"/>
  <c r="I788" i="2"/>
  <c r="I787" i="2"/>
  <c r="I786" i="2"/>
  <c r="I785" i="2"/>
  <c r="I783" i="2"/>
  <c r="I780" i="2"/>
  <c r="I779" i="2"/>
  <c r="I778" i="2"/>
  <c r="I777" i="2"/>
  <c r="I776" i="2"/>
  <c r="I772" i="2"/>
  <c r="I768" i="2"/>
  <c r="I767" i="2"/>
  <c r="I765" i="2"/>
  <c r="I764" i="2"/>
  <c r="I763" i="2"/>
  <c r="I761" i="2"/>
  <c r="I760" i="2"/>
  <c r="I759" i="2"/>
  <c r="I758" i="2"/>
  <c r="I757" i="2"/>
  <c r="I756" i="2"/>
  <c r="I754" i="2"/>
  <c r="I753" i="2"/>
  <c r="I752" i="2"/>
  <c r="I751" i="2"/>
  <c r="I750" i="2"/>
  <c r="I749" i="2"/>
  <c r="I747" i="2"/>
  <c r="I745" i="2"/>
  <c r="I744" i="2"/>
  <c r="I741" i="2"/>
  <c r="I740" i="2"/>
  <c r="I738" i="2"/>
  <c r="I737" i="2"/>
  <c r="I736" i="2"/>
  <c r="I734" i="2"/>
  <c r="I733" i="2"/>
  <c r="I732" i="2"/>
  <c r="I729" i="2"/>
  <c r="I727" i="2"/>
  <c r="I725" i="2"/>
  <c r="I724" i="2"/>
  <c r="I723" i="2"/>
  <c r="I722" i="2"/>
  <c r="I718" i="2"/>
  <c r="I717" i="2"/>
  <c r="I714" i="2"/>
  <c r="I713" i="2"/>
  <c r="I711" i="2"/>
  <c r="I710" i="2"/>
  <c r="I709" i="2"/>
  <c r="I707" i="2"/>
  <c r="I706" i="2"/>
  <c r="I705" i="2"/>
  <c r="I704" i="2"/>
  <c r="I703" i="2"/>
  <c r="I702" i="2"/>
  <c r="I700" i="2"/>
  <c r="I699" i="2"/>
  <c r="I698" i="2"/>
  <c r="I697" i="2"/>
  <c r="I696" i="2"/>
  <c r="I695" i="2"/>
  <c r="I693" i="2"/>
  <c r="I691" i="2"/>
  <c r="I690" i="2"/>
  <c r="I687" i="2"/>
  <c r="I686" i="2"/>
  <c r="I684" i="2"/>
  <c r="I683" i="2"/>
  <c r="I682" i="2"/>
  <c r="I680" i="2"/>
  <c r="I679" i="2"/>
  <c r="I678" i="2"/>
  <c r="I677" i="2"/>
  <c r="I676" i="2"/>
  <c r="I675" i="2"/>
  <c r="I671" i="2"/>
  <c r="I670" i="2"/>
  <c r="I669" i="2"/>
  <c r="I668" i="2"/>
  <c r="I666" i="2"/>
  <c r="I664" i="2"/>
  <c r="I660" i="2"/>
  <c r="I659" i="2"/>
  <c r="I657" i="2"/>
  <c r="I656" i="2"/>
  <c r="I655" i="2"/>
  <c r="I653" i="2"/>
  <c r="I652" i="2"/>
  <c r="I651" i="2"/>
  <c r="I650" i="2"/>
  <c r="I649" i="2"/>
  <c r="I648" i="2"/>
  <c r="I646" i="2"/>
  <c r="I645" i="2"/>
  <c r="I644" i="2"/>
  <c r="I643" i="2"/>
  <c r="I642" i="2"/>
  <c r="I641" i="2"/>
  <c r="I639" i="2"/>
  <c r="I637" i="2"/>
  <c r="I636" i="2"/>
  <c r="I633" i="2"/>
  <c r="I632" i="2"/>
  <c r="I630" i="2"/>
  <c r="I629" i="2"/>
  <c r="I628" i="2"/>
  <c r="I626" i="2"/>
  <c r="I625" i="2"/>
  <c r="I624" i="2"/>
  <c r="I623" i="2"/>
  <c r="I622" i="2"/>
  <c r="I621" i="2"/>
  <c r="I619" i="2"/>
  <c r="I618" i="2"/>
  <c r="I617" i="2"/>
  <c r="I616" i="2"/>
  <c r="I615" i="2"/>
  <c r="I614" i="2"/>
  <c r="I612" i="2"/>
  <c r="I610" i="2"/>
  <c r="I609" i="2"/>
  <c r="I606" i="2"/>
  <c r="I605" i="2"/>
  <c r="I603" i="2"/>
  <c r="I602" i="2"/>
  <c r="I601" i="2"/>
  <c r="I599" i="2"/>
  <c r="I598" i="2"/>
  <c r="I597" i="2"/>
  <c r="I596" i="2"/>
  <c r="I595" i="2"/>
  <c r="I594" i="2"/>
  <c r="I592" i="2"/>
  <c r="I591" i="2"/>
  <c r="I590" i="2"/>
  <c r="I589" i="2"/>
  <c r="I588" i="2"/>
  <c r="I587" i="2"/>
  <c r="I585" i="2"/>
  <c r="I583" i="2"/>
  <c r="I582" i="2"/>
  <c r="I579" i="2"/>
  <c r="I578" i="2"/>
  <c r="I576" i="2"/>
  <c r="I575" i="2"/>
  <c r="I574" i="2"/>
  <c r="I572" i="2"/>
  <c r="I571" i="2"/>
  <c r="I570" i="2"/>
  <c r="I569" i="2"/>
  <c r="I568" i="2"/>
  <c r="I567" i="2"/>
  <c r="I565" i="2"/>
  <c r="I564" i="2"/>
  <c r="I563" i="2"/>
  <c r="I562" i="2"/>
  <c r="I561" i="2"/>
  <c r="I560" i="2"/>
  <c r="I558" i="2"/>
  <c r="I556" i="2"/>
  <c r="I555" i="2"/>
  <c r="I552" i="2"/>
  <c r="I551" i="2"/>
  <c r="I549" i="2"/>
  <c r="I548" i="2"/>
  <c r="I547" i="2"/>
  <c r="I545" i="2"/>
  <c r="I544" i="2"/>
  <c r="I543" i="2"/>
  <c r="I542" i="2"/>
  <c r="I541" i="2"/>
  <c r="I540" i="2"/>
  <c r="I538" i="2"/>
  <c r="I537" i="2"/>
  <c r="I536" i="2"/>
  <c r="I535" i="2"/>
  <c r="I534" i="2"/>
  <c r="I533" i="2"/>
  <c r="I531" i="2"/>
  <c r="I529" i="2"/>
  <c r="I528" i="2"/>
  <c r="I525" i="2"/>
  <c r="I524" i="2"/>
  <c r="I522" i="2"/>
  <c r="I521" i="2"/>
  <c r="I520" i="2"/>
  <c r="I518" i="2"/>
  <c r="I517" i="2"/>
  <c r="I516" i="2"/>
  <c r="I515" i="2"/>
  <c r="I514" i="2"/>
  <c r="I513" i="2"/>
  <c r="I510" i="2"/>
  <c r="I509" i="2"/>
  <c r="I508" i="2"/>
  <c r="I507" i="2"/>
  <c r="I506" i="2"/>
  <c r="I504" i="2"/>
  <c r="I502" i="2"/>
  <c r="I498" i="2"/>
  <c r="I497" i="2"/>
  <c r="I495" i="2"/>
  <c r="I494" i="2"/>
  <c r="I493" i="2"/>
  <c r="I491" i="2"/>
  <c r="I490" i="2"/>
  <c r="I489" i="2"/>
  <c r="I488" i="2"/>
  <c r="I487" i="2"/>
  <c r="I486" i="2"/>
  <c r="I484" i="2"/>
  <c r="I483" i="2"/>
  <c r="I482" i="2"/>
  <c r="I481" i="2"/>
  <c r="I480" i="2"/>
  <c r="I479" i="2"/>
  <c r="I477" i="2"/>
  <c r="I475" i="2"/>
  <c r="I474" i="2"/>
  <c r="I471" i="2"/>
  <c r="I470" i="2"/>
  <c r="I468" i="2"/>
  <c r="I467" i="2"/>
  <c r="I466" i="2"/>
  <c r="I464" i="2"/>
  <c r="I463" i="2"/>
  <c r="I462" i="2"/>
  <c r="I461" i="2"/>
  <c r="I460" i="2"/>
  <c r="I459" i="2"/>
  <c r="I457" i="2"/>
  <c r="I456" i="2"/>
  <c r="I455" i="2"/>
  <c r="I454" i="2"/>
  <c r="I453" i="2"/>
  <c r="I452" i="2"/>
  <c r="I450" i="2"/>
  <c r="I448" i="2"/>
  <c r="I447" i="2"/>
  <c r="I444" i="2"/>
  <c r="I443" i="2"/>
  <c r="I441" i="2"/>
  <c r="I440" i="2"/>
  <c r="I439" i="2"/>
  <c r="I437" i="2"/>
  <c r="I436" i="2"/>
  <c r="I435" i="2"/>
  <c r="I434" i="2"/>
  <c r="I433" i="2"/>
  <c r="I432" i="2"/>
  <c r="I430" i="2"/>
  <c r="I429" i="2"/>
  <c r="I428" i="2"/>
  <c r="I427" i="2"/>
  <c r="I426" i="2"/>
  <c r="I425" i="2"/>
  <c r="I423" i="2"/>
  <c r="I421" i="2"/>
  <c r="I420" i="2"/>
  <c r="I417" i="2"/>
  <c r="I416" i="2"/>
  <c r="I414" i="2"/>
  <c r="I413" i="2"/>
  <c r="I412" i="2"/>
  <c r="I410" i="2"/>
  <c r="I409" i="2"/>
  <c r="I408" i="2"/>
  <c r="I407" i="2"/>
  <c r="I406" i="2"/>
  <c r="I405" i="2"/>
  <c r="I403" i="2"/>
  <c r="I402" i="2"/>
  <c r="I401" i="2"/>
  <c r="I400" i="2"/>
  <c r="I399" i="2"/>
  <c r="I398" i="2"/>
  <c r="I396" i="2"/>
  <c r="I394" i="2"/>
  <c r="I393" i="2"/>
  <c r="I390" i="2"/>
  <c r="I387" i="2"/>
  <c r="I386" i="2"/>
  <c r="I385" i="2"/>
  <c r="I383" i="2"/>
  <c r="I382" i="2"/>
  <c r="I381" i="2"/>
  <c r="I379" i="2"/>
  <c r="I378" i="2"/>
  <c r="I376" i="2"/>
  <c r="I374" i="2"/>
  <c r="I373" i="2"/>
  <c r="I372" i="2"/>
  <c r="I369" i="2"/>
  <c r="I367" i="2"/>
  <c r="I366" i="2"/>
  <c r="I363" i="2"/>
  <c r="I362" i="2"/>
  <c r="I360" i="2"/>
  <c r="I359" i="2"/>
  <c r="I358" i="2"/>
  <c r="I356" i="2"/>
  <c r="I355" i="2"/>
  <c r="I354" i="2"/>
  <c r="I353" i="2"/>
  <c r="I352" i="2"/>
  <c r="I351" i="2"/>
  <c r="I349" i="2"/>
  <c r="I348" i="2"/>
  <c r="I347" i="2"/>
  <c r="I346" i="2"/>
  <c r="I345" i="2"/>
  <c r="I344" i="2"/>
  <c r="I342" i="2"/>
  <c r="I340" i="2"/>
  <c r="I339" i="2"/>
  <c r="I336" i="2"/>
  <c r="I335" i="2"/>
  <c r="I333" i="2"/>
  <c r="I332" i="2"/>
  <c r="I331" i="2"/>
  <c r="I329" i="2"/>
  <c r="I328" i="2"/>
  <c r="I327" i="2"/>
  <c r="I326" i="2"/>
  <c r="I325" i="2"/>
  <c r="I324" i="2"/>
  <c r="I322" i="2"/>
  <c r="I321" i="2"/>
  <c r="I320" i="2"/>
  <c r="I319" i="2"/>
  <c r="I318" i="2"/>
  <c r="I317" i="2"/>
  <c r="I315" i="2"/>
  <c r="I313" i="2"/>
  <c r="I312" i="2"/>
  <c r="I309" i="2"/>
  <c r="I308" i="2"/>
  <c r="I306" i="2"/>
  <c r="I305" i="2"/>
  <c r="I304" i="2"/>
  <c r="I302" i="2"/>
  <c r="I301" i="2"/>
  <c r="I300" i="2"/>
  <c r="I299" i="2"/>
  <c r="I298" i="2"/>
  <c r="I297" i="2"/>
  <c r="I294" i="2"/>
  <c r="I293" i="2"/>
  <c r="I292" i="2"/>
  <c r="I291" i="2"/>
  <c r="I290" i="2"/>
  <c r="I288" i="2"/>
  <c r="I286" i="2"/>
  <c r="I282" i="2"/>
  <c r="I281" i="2"/>
  <c r="I279" i="2"/>
  <c r="I278" i="2"/>
  <c r="I277" i="2"/>
  <c r="I275" i="2"/>
  <c r="I274" i="2"/>
  <c r="I273" i="2"/>
  <c r="I272" i="2"/>
  <c r="I271" i="2"/>
  <c r="I270" i="2"/>
  <c r="I267" i="2"/>
  <c r="I266" i="2"/>
  <c r="I265" i="2"/>
  <c r="I264" i="2"/>
  <c r="I263" i="2"/>
  <c r="I261" i="2"/>
  <c r="I259" i="2"/>
  <c r="I255" i="2"/>
  <c r="I254" i="2"/>
  <c r="I252" i="2"/>
  <c r="I251" i="2"/>
  <c r="I250" i="2"/>
  <c r="I248" i="2"/>
  <c r="I247" i="2"/>
  <c r="I246" i="2"/>
  <c r="I245" i="2"/>
  <c r="I244" i="2"/>
  <c r="I243" i="2"/>
  <c r="I241" i="2"/>
  <c r="I240" i="2"/>
  <c r="I239" i="2"/>
  <c r="I238" i="2"/>
  <c r="I237" i="2"/>
  <c r="I236" i="2"/>
  <c r="I234" i="2"/>
  <c r="I232" i="2"/>
  <c r="I231" i="2"/>
  <c r="I228" i="2"/>
  <c r="I227" i="2"/>
  <c r="I225" i="2"/>
  <c r="I224" i="2"/>
  <c r="I223" i="2"/>
  <c r="I221" i="2"/>
  <c r="I220" i="2"/>
  <c r="I219" i="2"/>
  <c r="I218" i="2"/>
  <c r="I217" i="2"/>
  <c r="I216" i="2"/>
  <c r="I214" i="2"/>
  <c r="I213" i="2"/>
  <c r="I212" i="2"/>
  <c r="I211" i="2"/>
  <c r="I210" i="2"/>
  <c r="I209" i="2"/>
  <c r="I207" i="2"/>
  <c r="I205" i="2"/>
  <c r="I204" i="2"/>
  <c r="I201" i="2"/>
  <c r="I200" i="2"/>
  <c r="I198" i="2"/>
  <c r="I197" i="2"/>
  <c r="I196" i="2"/>
  <c r="I194" i="2"/>
  <c r="I193" i="2"/>
  <c r="I192" i="2"/>
  <c r="I191" i="2"/>
  <c r="I190" i="2"/>
  <c r="I189" i="2"/>
  <c r="I187" i="2"/>
  <c r="I186" i="2"/>
  <c r="I185" i="2"/>
  <c r="I184" i="2"/>
  <c r="I183" i="2"/>
  <c r="I182" i="2"/>
  <c r="I180" i="2"/>
  <c r="I178" i="2"/>
  <c r="I177" i="2"/>
  <c r="I174" i="2"/>
  <c r="I173" i="2"/>
  <c r="I171" i="2"/>
  <c r="I170" i="2"/>
  <c r="I169" i="2"/>
  <c r="I167" i="2"/>
  <c r="I166" i="2"/>
  <c r="I164" i="2"/>
  <c r="I163" i="2"/>
  <c r="I162" i="2"/>
  <c r="I160" i="2"/>
  <c r="I159" i="2"/>
  <c r="I158" i="2"/>
  <c r="I157" i="2"/>
  <c r="I155" i="2"/>
  <c r="I153" i="2"/>
  <c r="I151" i="2"/>
  <c r="I150" i="2"/>
  <c r="I147" i="2"/>
  <c r="I146" i="2"/>
  <c r="I144" i="2"/>
  <c r="I143" i="2"/>
  <c r="I142" i="2"/>
  <c r="I140" i="2"/>
  <c r="I139" i="2"/>
  <c r="I138" i="2"/>
  <c r="I137" i="2"/>
  <c r="I136" i="2"/>
  <c r="I135" i="2"/>
  <c r="I133" i="2"/>
  <c r="I132" i="2"/>
  <c r="I131" i="2"/>
  <c r="I130" i="2"/>
  <c r="I128" i="2"/>
  <c r="I126" i="2"/>
  <c r="I124" i="2"/>
  <c r="I123" i="2"/>
  <c r="I120" i="2"/>
  <c r="I119" i="2"/>
  <c r="I117" i="2"/>
  <c r="I116" i="2"/>
  <c r="I115" i="2"/>
  <c r="I113" i="2"/>
  <c r="I112" i="2"/>
  <c r="I111" i="2"/>
  <c r="I110" i="2"/>
  <c r="I109" i="2"/>
  <c r="I108" i="2"/>
  <c r="I106" i="2"/>
  <c r="I105" i="2"/>
  <c r="I104" i="2"/>
  <c r="I103" i="2"/>
  <c r="I102" i="2"/>
  <c r="I101" i="2"/>
  <c r="I99" i="2"/>
  <c r="I97" i="2"/>
  <c r="I96" i="2"/>
  <c r="I93" i="2"/>
  <c r="I90" i="2"/>
  <c r="I89" i="2"/>
  <c r="I88" i="2"/>
  <c r="I85" i="2"/>
  <c r="I84" i="2"/>
  <c r="I81" i="2"/>
  <c r="I79" i="2"/>
  <c r="I74" i="2"/>
  <c r="I72" i="2"/>
  <c r="I71" i="2" s="1"/>
  <c r="I70" i="2"/>
  <c r="I45" i="2"/>
  <c r="I44" i="2" s="1"/>
  <c r="I47" i="2"/>
  <c r="I48" i="2"/>
  <c r="I51" i="2"/>
  <c r="I52" i="2"/>
  <c r="I58" i="2"/>
  <c r="I59" i="2"/>
  <c r="I61" i="2"/>
  <c r="I62" i="2"/>
  <c r="I63" i="2"/>
  <c r="I66" i="2"/>
  <c r="I35" i="2"/>
  <c r="I36" i="2"/>
  <c r="I34" i="2"/>
  <c r="I25" i="2"/>
  <c r="I20" i="2"/>
  <c r="I14" i="2"/>
  <c r="F150" i="3"/>
  <c r="F149" i="3"/>
  <c r="F148" i="3" s="1"/>
  <c r="F172" i="3"/>
  <c r="F169" i="3"/>
  <c r="F168" i="3"/>
  <c r="F167" i="3"/>
  <c r="F165" i="3"/>
  <c r="F163" i="3"/>
  <c r="F162" i="3"/>
  <c r="F160" i="3"/>
  <c r="F158" i="3"/>
  <c r="F156" i="3"/>
  <c r="F155" i="3"/>
  <c r="F143" i="3"/>
  <c r="F142" i="3"/>
  <c r="F141" i="3"/>
  <c r="F140" i="3"/>
  <c r="F139" i="3"/>
  <c r="F138" i="3"/>
  <c r="F122" i="3"/>
  <c r="F121" i="3"/>
  <c r="F120" i="3"/>
  <c r="F119" i="3"/>
  <c r="F118" i="3"/>
  <c r="F117" i="3"/>
  <c r="F104" i="3"/>
  <c r="F97" i="3"/>
  <c r="F98" i="3"/>
  <c r="F99" i="3"/>
  <c r="F100" i="3"/>
  <c r="F101" i="3"/>
  <c r="F96" i="3"/>
  <c r="K87" i="2" l="1"/>
  <c r="K73" i="2"/>
  <c r="K67" i="2"/>
  <c r="K41" i="2"/>
  <c r="K40" i="2" s="1"/>
  <c r="K33" i="2"/>
  <c r="K13" i="2"/>
  <c r="K12" i="2" s="1"/>
  <c r="I796" i="2"/>
  <c r="I715" i="2"/>
  <c r="I661" i="2"/>
  <c r="I580" i="2"/>
  <c r="I499" i="2"/>
  <c r="I364" i="2"/>
  <c r="I283" i="2"/>
  <c r="I256" i="2"/>
  <c r="I229" i="2"/>
  <c r="I202" i="2"/>
  <c r="I148" i="2"/>
  <c r="I121" i="2"/>
  <c r="I798" i="2"/>
  <c r="I808" i="2"/>
  <c r="I774" i="2"/>
  <c r="I784" i="2"/>
  <c r="G771" i="2"/>
  <c r="K771" i="2" s="1"/>
  <c r="G781" i="2"/>
  <c r="K781" i="2" s="1"/>
  <c r="I730" i="2"/>
  <c r="G720" i="2"/>
  <c r="K720" i="2" s="1"/>
  <c r="K719" i="2" s="1"/>
  <c r="I731" i="2"/>
  <c r="I673" i="2"/>
  <c r="I663" i="2"/>
  <c r="G726" i="2"/>
  <c r="K726" i="2" s="1"/>
  <c r="K721" i="2" s="1"/>
  <c r="I389" i="2"/>
  <c r="I371" i="2"/>
  <c r="G258" i="2"/>
  <c r="K258" i="2" s="1"/>
  <c r="G268" i="2"/>
  <c r="K268" i="2" s="1"/>
  <c r="I165" i="2"/>
  <c r="I129" i="2"/>
  <c r="J95" i="2"/>
  <c r="I83" i="2"/>
  <c r="K874" i="2"/>
  <c r="K712" i="2"/>
  <c r="I78" i="2"/>
  <c r="J176" i="2"/>
  <c r="G57" i="2"/>
  <c r="K762" i="2"/>
  <c r="K766" i="2"/>
  <c r="I42" i="2"/>
  <c r="J19" i="2"/>
  <c r="K496" i="2"/>
  <c r="I15" i="2"/>
  <c r="I13" i="2" s="1"/>
  <c r="I87" i="2"/>
  <c r="K870" i="2"/>
  <c r="I43" i="2"/>
  <c r="I41" i="2" s="1"/>
  <c r="I54" i="2"/>
  <c r="I53" i="2" s="1"/>
  <c r="J365" i="2"/>
  <c r="J604" i="2"/>
  <c r="J743" i="2"/>
  <c r="I38" i="2"/>
  <c r="I37" i="2" s="1"/>
  <c r="I91" i="2"/>
  <c r="K203" i="2"/>
  <c r="I65" i="2"/>
  <c r="I64" i="2" s="1"/>
  <c r="I77" i="2"/>
  <c r="J13" i="2"/>
  <c r="J33" i="2"/>
  <c r="K816" i="2"/>
  <c r="K658" i="2"/>
  <c r="K635" i="2"/>
  <c r="K95" i="2"/>
  <c r="I27" i="2"/>
  <c r="K604" i="2"/>
  <c r="K577" i="2"/>
  <c r="K685" i="2"/>
  <c r="J26" i="2"/>
  <c r="K631" i="2"/>
  <c r="G69" i="2"/>
  <c r="I33" i="2"/>
  <c r="I60" i="2"/>
  <c r="J793" i="2"/>
  <c r="K141" i="2"/>
  <c r="K226" i="2"/>
  <c r="I82" i="2"/>
  <c r="J384" i="2"/>
  <c r="K176" i="2"/>
  <c r="K284" i="2"/>
  <c r="K338" i="2"/>
  <c r="K392" i="2"/>
  <c r="K500" i="2"/>
  <c r="K554" i="2"/>
  <c r="K608" i="2"/>
  <c r="K694" i="2"/>
  <c r="K716" i="2"/>
  <c r="K770" i="2"/>
  <c r="K824" i="2"/>
  <c r="K843" i="2"/>
  <c r="K262" i="2"/>
  <c r="K208" i="2"/>
  <c r="I28" i="2"/>
  <c r="I50" i="2"/>
  <c r="I46" i="2" s="1"/>
  <c r="I76" i="2"/>
  <c r="J473" i="2"/>
  <c r="J527" i="2"/>
  <c r="J739" i="2"/>
  <c r="I31" i="2"/>
  <c r="G22" i="2"/>
  <c r="K820" i="2"/>
  <c r="K797" i="2"/>
  <c r="K361" i="2"/>
  <c r="K296" i="2"/>
  <c r="G49" i="2"/>
  <c r="G23" i="2"/>
  <c r="K627" i="2"/>
  <c r="K640" i="2"/>
  <c r="J226" i="2"/>
  <c r="J280" i="2"/>
  <c r="J442" i="2"/>
  <c r="J496" i="2"/>
  <c r="G16" i="2"/>
  <c r="K851" i="2"/>
  <c r="G92" i="2"/>
  <c r="K145" i="2"/>
  <c r="K199" i="2"/>
  <c r="K856" i="2"/>
  <c r="K303" i="2"/>
  <c r="K168" i="2"/>
  <c r="K330" i="2"/>
  <c r="J122" i="2"/>
  <c r="J766" i="2"/>
  <c r="J820" i="2"/>
  <c r="G18" i="2"/>
  <c r="G32" i="2"/>
  <c r="K743" i="2"/>
  <c r="K415" i="2"/>
  <c r="K257" i="2"/>
  <c r="K230" i="2"/>
  <c r="G75" i="2"/>
  <c r="K365" i="2"/>
  <c r="K438" i="2"/>
  <c r="K473" i="2"/>
  <c r="K527" i="2"/>
  <c r="K581" i="2"/>
  <c r="K573" i="2"/>
  <c r="J469" i="2"/>
  <c r="K728" i="2"/>
  <c r="K512" i="2"/>
  <c r="K311" i="2"/>
  <c r="K149" i="2"/>
  <c r="G55" i="2"/>
  <c r="G86" i="2"/>
  <c r="K172" i="2"/>
  <c r="K280" i="2"/>
  <c r="J361" i="2"/>
  <c r="J438" i="2"/>
  <c r="J492" i="2"/>
  <c r="K388" i="2"/>
  <c r="G56" i="2"/>
  <c r="K863" i="2"/>
  <c r="K793" i="2"/>
  <c r="K782" i="2"/>
  <c r="K739" i="2"/>
  <c r="K689" i="2"/>
  <c r="K654" i="2"/>
  <c r="K708" i="2"/>
  <c r="K667" i="2"/>
  <c r="K802" i="2"/>
  <c r="K701" i="2"/>
  <c r="K789" i="2"/>
  <c r="K748" i="2"/>
  <c r="K735" i="2"/>
  <c r="K674" i="2"/>
  <c r="K662" i="2"/>
  <c r="K829" i="2"/>
  <c r="K809" i="2"/>
  <c r="K847" i="2"/>
  <c r="K755" i="2"/>
  <c r="K681" i="2"/>
  <c r="K775" i="2"/>
  <c r="K647" i="2"/>
  <c r="K836" i="2"/>
  <c r="K424" i="2"/>
  <c r="K384" i="2"/>
  <c r="K600" i="2"/>
  <c r="K620" i="2"/>
  <c r="K539" i="2"/>
  <c r="K465" i="2"/>
  <c r="K404" i="2"/>
  <c r="K478" i="2"/>
  <c r="K559" i="2"/>
  <c r="K442" i="2"/>
  <c r="K411" i="2"/>
  <c r="K343" i="2"/>
  <c r="K566" i="2"/>
  <c r="K546" i="2"/>
  <c r="K485" i="2"/>
  <c r="K431" i="2"/>
  <c r="K350" i="2"/>
  <c r="K523" i="2"/>
  <c r="K505" i="2"/>
  <c r="K586" i="2"/>
  <c r="K492" i="2"/>
  <c r="K451" i="2"/>
  <c r="K419" i="2"/>
  <c r="K370" i="2"/>
  <c r="K469" i="2"/>
  <c r="K357" i="2"/>
  <c r="K613" i="2"/>
  <c r="K593" i="2"/>
  <c r="K550" i="2"/>
  <c r="K532" i="2"/>
  <c r="K519" i="2"/>
  <c r="K458" i="2"/>
  <c r="K446" i="2"/>
  <c r="K397" i="2"/>
  <c r="K377" i="2"/>
  <c r="K323" i="2"/>
  <c r="K316" i="2"/>
  <c r="K334" i="2"/>
  <c r="K307" i="2"/>
  <c r="K289" i="2"/>
  <c r="K269" i="2"/>
  <c r="K276" i="2"/>
  <c r="K249" i="2"/>
  <c r="K242" i="2"/>
  <c r="K235" i="2"/>
  <c r="K253" i="2"/>
  <c r="K215" i="2"/>
  <c r="K222" i="2"/>
  <c r="K188" i="2"/>
  <c r="K181" i="2"/>
  <c r="K195" i="2"/>
  <c r="K161" i="2"/>
  <c r="K154" i="2"/>
  <c r="K134" i="2"/>
  <c r="K127" i="2"/>
  <c r="K122" i="2"/>
  <c r="K118" i="2"/>
  <c r="K100" i="2"/>
  <c r="K107" i="2"/>
  <c r="K114" i="2"/>
  <c r="I80" i="2"/>
  <c r="I68" i="2"/>
  <c r="I21" i="2"/>
  <c r="I19" i="2" s="1"/>
  <c r="I30" i="2"/>
  <c r="I29" i="2"/>
  <c r="J446" i="2"/>
  <c r="J500" i="2"/>
  <c r="J550" i="2"/>
  <c r="J91" i="2"/>
  <c r="J357" i="2"/>
  <c r="J809" i="2"/>
  <c r="J870" i="2"/>
  <c r="J613" i="2"/>
  <c r="J161" i="2"/>
  <c r="J269" i="2"/>
  <c r="J316" i="2"/>
  <c r="J330" i="2"/>
  <c r="J600" i="2"/>
  <c r="J654" i="2"/>
  <c r="J647" i="2"/>
  <c r="J689" i="2"/>
  <c r="J154" i="2"/>
  <c r="J257" i="2"/>
  <c r="J311" i="2"/>
  <c r="J415" i="2"/>
  <c r="J100" i="2"/>
  <c r="J118" i="2"/>
  <c r="J134" i="2"/>
  <c r="J215" i="2"/>
  <c r="J397" i="2"/>
  <c r="J505" i="2"/>
  <c r="J87" i="2"/>
  <c r="J141" i="2"/>
  <c r="J195" i="2"/>
  <c r="J546" i="2"/>
  <c r="J284" i="2"/>
  <c r="J388" i="2"/>
  <c r="J631" i="2"/>
  <c r="J712" i="2"/>
  <c r="J377" i="2"/>
  <c r="J411" i="2"/>
  <c r="J485" i="2"/>
  <c r="J253" i="2"/>
  <c r="J307" i="2"/>
  <c r="J338" i="2"/>
  <c r="J392" i="2"/>
  <c r="J168" i="2"/>
  <c r="J222" i="2"/>
  <c r="J431" i="2"/>
  <c r="J539" i="2"/>
  <c r="J573" i="2"/>
  <c r="J685" i="2"/>
  <c r="J770" i="2"/>
  <c r="J824" i="2"/>
  <c r="J577" i="2"/>
  <c r="J658" i="2"/>
  <c r="J681" i="2"/>
  <c r="J581" i="2"/>
  <c r="J762" i="2"/>
  <c r="J797" i="2"/>
  <c r="J851" i="2"/>
  <c r="J701" i="2"/>
  <c r="J728" i="2"/>
  <c r="J748" i="2"/>
  <c r="J181" i="2"/>
  <c r="J188" i="2"/>
  <c r="J199" i="2"/>
  <c r="J230" i="2"/>
  <c r="J242" i="2"/>
  <c r="J289" i="2"/>
  <c r="J303" i="2"/>
  <c r="J323" i="2"/>
  <c r="J370" i="2"/>
  <c r="J419" i="2"/>
  <c r="J458" i="2"/>
  <c r="J478" i="2"/>
  <c r="J554" i="2"/>
  <c r="J593" i="2"/>
  <c r="J662" i="2"/>
  <c r="J708" i="2"/>
  <c r="J789" i="2"/>
  <c r="J802" i="2"/>
  <c r="J350" i="2"/>
  <c r="J566" i="2"/>
  <c r="J586" i="2"/>
  <c r="J674" i="2"/>
  <c r="J114" i="2"/>
  <c r="J235" i="2"/>
  <c r="J296" i="2"/>
  <c r="J343" i="2"/>
  <c r="J635" i="2"/>
  <c r="J782" i="2"/>
  <c r="J829" i="2"/>
  <c r="J107" i="2"/>
  <c r="J172" i="2"/>
  <c r="J203" i="2"/>
  <c r="J276" i="2"/>
  <c r="J424" i="2"/>
  <c r="J519" i="2"/>
  <c r="J863" i="2"/>
  <c r="J46" i="2"/>
  <c r="J68" i="2"/>
  <c r="J73" i="2"/>
  <c r="J127" i="2"/>
  <c r="J145" i="2"/>
  <c r="J404" i="2"/>
  <c r="J532" i="2"/>
  <c r="J608" i="2"/>
  <c r="J627" i="2"/>
  <c r="J694" i="2"/>
  <c r="J721" i="2"/>
  <c r="J775" i="2"/>
  <c r="J843" i="2"/>
  <c r="J208" i="2"/>
  <c r="J451" i="2"/>
  <c r="J512" i="2"/>
  <c r="J640" i="2"/>
  <c r="J735" i="2"/>
  <c r="J755" i="2"/>
  <c r="J816" i="2"/>
  <c r="J836" i="2"/>
  <c r="J80" i="2"/>
  <c r="J149" i="2"/>
  <c r="J249" i="2"/>
  <c r="J262" i="2"/>
  <c r="J465" i="2"/>
  <c r="J523" i="2"/>
  <c r="J559" i="2"/>
  <c r="J620" i="2"/>
  <c r="J667" i="2"/>
  <c r="J716" i="2"/>
  <c r="J847" i="2"/>
  <c r="J856" i="2"/>
  <c r="F166" i="3"/>
  <c r="F170" i="3"/>
  <c r="G155" i="3"/>
  <c r="F144" i="3"/>
  <c r="F123" i="3"/>
  <c r="F102" i="3"/>
  <c r="I73" i="2" l="1"/>
  <c r="K553" i="2"/>
  <c r="K634" i="2"/>
  <c r="I40" i="2"/>
  <c r="K445" i="2"/>
  <c r="K499" i="2"/>
  <c r="K850" i="2"/>
  <c r="K202" i="2"/>
  <c r="K283" i="2"/>
  <c r="K796" i="2"/>
  <c r="K769" i="2"/>
  <c r="I26" i="2"/>
  <c r="K229" i="2"/>
  <c r="K310" i="2"/>
  <c r="K580" i="2"/>
  <c r="K337" i="2"/>
  <c r="K607" i="2"/>
  <c r="K742" i="2"/>
  <c r="K715" i="2"/>
  <c r="K256" i="2"/>
  <c r="K175" i="2"/>
  <c r="J472" i="2"/>
  <c r="J94" i="2"/>
  <c r="J364" i="2"/>
  <c r="K418" i="2"/>
  <c r="K472" i="2"/>
  <c r="K148" i="2"/>
  <c r="K94" i="2"/>
  <c r="K121" i="2"/>
  <c r="K526" i="2"/>
  <c r="J526" i="2"/>
  <c r="J121" i="2"/>
  <c r="J202" i="2"/>
  <c r="J742" i="2"/>
  <c r="I67" i="2"/>
  <c r="J175" i="2"/>
  <c r="J661" i="2"/>
  <c r="K364" i="2"/>
  <c r="K823" i="2"/>
  <c r="K661" i="2"/>
  <c r="K391" i="2"/>
  <c r="K688" i="2"/>
  <c r="J283" i="2"/>
  <c r="J67" i="2"/>
  <c r="J823" i="2"/>
  <c r="J850" i="2"/>
  <c r="J499" i="2"/>
  <c r="J607" i="2"/>
  <c r="J229" i="2"/>
  <c r="J796" i="2"/>
  <c r="J688" i="2"/>
  <c r="J445" i="2"/>
  <c r="J769" i="2"/>
  <c r="J715" i="2"/>
  <c r="J148" i="2"/>
  <c r="J634" i="2"/>
  <c r="J310" i="2"/>
  <c r="J418" i="2"/>
  <c r="J580" i="2"/>
  <c r="J391" i="2"/>
  <c r="J256" i="2"/>
  <c r="J553" i="2"/>
  <c r="J337" i="2"/>
  <c r="J41" i="2"/>
  <c r="J64" i="2"/>
  <c r="J53" i="2"/>
  <c r="J60" i="2"/>
  <c r="F171" i="3"/>
  <c r="F173" i="3" s="1"/>
  <c r="F153" i="3" s="1"/>
  <c r="F134" i="3"/>
  <c r="J40" i="2" l="1"/>
  <c r="F146" i="3"/>
  <c r="F136" i="3"/>
  <c r="F135" i="3"/>
  <c r="F133" i="3"/>
  <c r="F132" i="3"/>
  <c r="F131" i="3"/>
  <c r="F130" i="3"/>
  <c r="F129" i="3"/>
  <c r="F128" i="3"/>
  <c r="F125" i="3"/>
  <c r="F115" i="3"/>
  <c r="F114" i="3"/>
  <c r="F113" i="3"/>
  <c r="F112" i="3"/>
  <c r="F111" i="3"/>
  <c r="F110" i="3"/>
  <c r="F109" i="3"/>
  <c r="F108" i="3"/>
  <c r="F107" i="3"/>
  <c r="F87" i="3"/>
  <c r="F88" i="3"/>
  <c r="F89" i="3"/>
  <c r="F90" i="3"/>
  <c r="F91" i="3"/>
  <c r="F92" i="3"/>
  <c r="F93" i="3"/>
  <c r="F94" i="3"/>
  <c r="F86" i="3"/>
  <c r="F137" i="3" l="1"/>
  <c r="F116" i="3"/>
  <c r="F124" i="3" s="1"/>
  <c r="F126" i="3" s="1"/>
  <c r="F106" i="3" s="1"/>
  <c r="F95" i="3"/>
  <c r="F83" i="3"/>
  <c r="F145" i="3" l="1"/>
  <c r="F147" i="3" s="1"/>
  <c r="F127" i="3" s="1"/>
  <c r="F103" i="3"/>
  <c r="F105" i="3" s="1"/>
  <c r="F85" i="3" s="1"/>
  <c r="F82" i="3"/>
  <c r="F81" i="3" s="1"/>
  <c r="F79" i="3"/>
  <c r="F73" i="3"/>
  <c r="F74" i="3" s="1"/>
  <c r="F69" i="3"/>
  <c r="F71" i="3"/>
  <c r="F70" i="3"/>
  <c r="F68" i="3"/>
  <c r="F67" i="3"/>
  <c r="F66" i="3"/>
  <c r="F65" i="3"/>
  <c r="F64" i="3"/>
  <c r="F52" i="3"/>
  <c r="F37" i="3"/>
  <c r="F38" i="3"/>
  <c r="F40" i="3"/>
  <c r="F41" i="3"/>
  <c r="F42" i="3"/>
  <c r="F44" i="3"/>
  <c r="F45" i="3"/>
  <c r="F46" i="3"/>
  <c r="F47" i="3"/>
  <c r="F48" i="3"/>
  <c r="F49" i="3"/>
  <c r="F50" i="3"/>
  <c r="F36" i="3"/>
  <c r="F43" i="3"/>
  <c r="F34" i="3"/>
  <c r="F62" i="3"/>
  <c r="F61" i="3"/>
  <c r="F60" i="3"/>
  <c r="F56" i="3"/>
  <c r="F57" i="3"/>
  <c r="F58" i="3"/>
  <c r="F31" i="3"/>
  <c r="F30" i="3" s="1"/>
  <c r="F29" i="3"/>
  <c r="F72" i="3" l="1"/>
  <c r="F63" i="3" s="1"/>
  <c r="F51" i="3"/>
  <c r="F53" i="3" s="1"/>
  <c r="F33" i="3" s="1"/>
  <c r="F54" i="3"/>
  <c r="F28" i="3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F185" i="3"/>
  <c r="B185" i="3"/>
  <c r="A185" i="3"/>
  <c r="F183" i="3"/>
  <c r="F176" i="3"/>
  <c r="F175" i="3"/>
  <c r="B153" i="3"/>
  <c r="B127" i="3"/>
  <c r="B106" i="3"/>
  <c r="B85" i="3"/>
  <c r="B81" i="3"/>
  <c r="F77" i="3"/>
  <c r="B76" i="3"/>
  <c r="B54" i="3"/>
  <c r="F26" i="3"/>
  <c r="F25" i="3"/>
  <c r="E23" i="3"/>
  <c r="D23" i="3"/>
  <c r="C23" i="3"/>
  <c r="E22" i="3"/>
  <c r="D22" i="3"/>
  <c r="B22" i="3"/>
  <c r="F20" i="3"/>
  <c r="F19" i="3" s="1"/>
  <c r="B15" i="3"/>
  <c r="F10" i="3"/>
  <c r="F9" i="3"/>
  <c r="B9" i="3"/>
  <c r="F8" i="3"/>
  <c r="F7" i="3"/>
  <c r="F6" i="3"/>
  <c r="F5" i="3"/>
  <c r="B4" i="3"/>
  <c r="F78" i="3" l="1"/>
  <c r="F80" i="3" s="1"/>
  <c r="F76" i="3" s="1"/>
  <c r="F24" i="3"/>
  <c r="F22" i="3"/>
  <c r="F23" i="3"/>
  <c r="F4" i="3"/>
  <c r="M25" i="4"/>
  <c r="M43" i="4"/>
  <c r="M42" i="4" s="1"/>
  <c r="L44" i="4"/>
  <c r="K5" i="4"/>
  <c r="L13" i="4"/>
  <c r="M12" i="4"/>
  <c r="L17" i="4"/>
  <c r="M16" i="4"/>
  <c r="M29" i="4"/>
  <c r="L31" i="4"/>
  <c r="L38" i="4"/>
  <c r="M37" i="4"/>
  <c r="L7" i="4"/>
  <c r="M6" i="4"/>
  <c r="L35" i="4"/>
  <c r="I36" i="4"/>
  <c r="M36" i="4" s="1"/>
  <c r="L36" i="4" s="1"/>
  <c r="H40" i="4"/>
  <c r="I40" i="4" s="1"/>
  <c r="M40" i="4" s="1"/>
  <c r="L40" i="4" s="1"/>
  <c r="F21" i="3" l="1"/>
  <c r="M33" i="4"/>
  <c r="M5" i="4"/>
  <c r="J37" i="2" l="1"/>
  <c r="J17" i="2"/>
  <c r="J12" i="2" l="1"/>
  <c r="I12" i="2" l="1"/>
</calcChain>
</file>

<file path=xl/sharedStrings.xml><?xml version="1.0" encoding="utf-8"?>
<sst xmlns="http://schemas.openxmlformats.org/spreadsheetml/2006/main" count="4174" uniqueCount="1503">
  <si>
    <t xml:space="preserve">
</t>
  </si>
  <si>
    <t>ITEM</t>
  </si>
  <si>
    <t>CÓDIGO</t>
  </si>
  <si>
    <t>DESCRIÇÃO</t>
  </si>
  <si>
    <t>FONTE</t>
  </si>
  <si>
    <t>UND</t>
  </si>
  <si>
    <t>QUANTIDADE</t>
  </si>
  <si>
    <t>1</t>
  </si>
  <si>
    <t>SERVIÇOS PRELIMINARES</t>
  </si>
  <si>
    <t>1.1</t>
  </si>
  <si>
    <t>SINAPI</t>
  </si>
  <si>
    <t>M2</t>
  </si>
  <si>
    <t>1.2</t>
  </si>
  <si>
    <t>M</t>
  </si>
  <si>
    <t>1.3</t>
  </si>
  <si>
    <t>M3</t>
  </si>
  <si>
    <t>1.4</t>
  </si>
  <si>
    <t>1.5</t>
  </si>
  <si>
    <t>2</t>
  </si>
  <si>
    <t>PAREDES E PAINEIS</t>
  </si>
  <si>
    <t>2.1</t>
  </si>
  <si>
    <t>2.2</t>
  </si>
  <si>
    <t>2.3</t>
  </si>
  <si>
    <t>3</t>
  </si>
  <si>
    <t>COBERTURA</t>
  </si>
  <si>
    <t>3.1</t>
  </si>
  <si>
    <t>3.2</t>
  </si>
  <si>
    <t>3.3</t>
  </si>
  <si>
    <t>3.4</t>
  </si>
  <si>
    <t>3.5</t>
  </si>
  <si>
    <t>4</t>
  </si>
  <si>
    <t>ESQUADRIAS</t>
  </si>
  <si>
    <t>4.1</t>
  </si>
  <si>
    <t>UN</t>
  </si>
  <si>
    <t>5</t>
  </si>
  <si>
    <t>INSTALAÇÕES ELÉTRICAS</t>
  </si>
  <si>
    <t>5.1</t>
  </si>
  <si>
    <t>5.2</t>
  </si>
  <si>
    <t>5.3</t>
  </si>
  <si>
    <t>PONTO DE LUZ EM TETO OU PAREDE, COM ELETRODUTO PVC RIGIDO EMBUTIDO 0 3/4 (COREMAS 5)</t>
  </si>
  <si>
    <t>6</t>
  </si>
  <si>
    <t>PISOS</t>
  </si>
  <si>
    <t>6.1</t>
  </si>
  <si>
    <t>6.2</t>
  </si>
  <si>
    <t>6.3</t>
  </si>
  <si>
    <t>7</t>
  </si>
  <si>
    <t>REVESTIMENTOS INTERNOS</t>
  </si>
  <si>
    <t>7.1</t>
  </si>
  <si>
    <t>7.2</t>
  </si>
  <si>
    <t>7.3</t>
  </si>
  <si>
    <t>8</t>
  </si>
  <si>
    <t>PINTURAS INTERNA</t>
  </si>
  <si>
    <t>8.1</t>
  </si>
  <si>
    <t>8.2</t>
  </si>
  <si>
    <t>8.3</t>
  </si>
  <si>
    <t>8.4</t>
  </si>
  <si>
    <t>PINTURA LÁTEX ACRÍLICA PREMIUM, APLICAÇÃO MANUAL EM TETO, DUAS DEMÃOS. AF_04/2023</t>
  </si>
  <si>
    <t>9</t>
  </si>
  <si>
    <t>REVESTIMENTO EXTERNO</t>
  </si>
  <si>
    <t>9.1</t>
  </si>
  <si>
    <t>PINTURA EXTERNA</t>
  </si>
  <si>
    <t>9.1.1</t>
  </si>
  <si>
    <t>9.1.2</t>
  </si>
  <si>
    <t>DESCRIÇÃO DOS SERVIÇOS</t>
  </si>
  <si>
    <t>UNID.</t>
  </si>
  <si>
    <t>LICITADA</t>
  </si>
  <si>
    <t>ACRESCIDA</t>
  </si>
  <si>
    <t>SUPRIMIDA</t>
  </si>
  <si>
    <t>REPROGRAMAÇÃO</t>
  </si>
  <si>
    <t>LICITADO</t>
  </si>
  <si>
    <t>TOTAL REPROGRAMADO</t>
  </si>
  <si>
    <t>1.</t>
  </si>
  <si>
    <t>REFORMA DO POLO UNIVERSITÁRIO, NO MUNICÍPIO DE COREMAS/PB</t>
  </si>
  <si>
    <t>PAREDES E PAINÉIS</t>
  </si>
  <si>
    <t>1.2.2</t>
  </si>
  <si>
    <t>1.2.3</t>
  </si>
  <si>
    <t>1.3.6</t>
  </si>
  <si>
    <t>MADEIRAMENTO P/ TELHA CERÂMICA - (RIPA, CAIBRO, LINHA)</t>
  </si>
  <si>
    <t>1.4.1</t>
  </si>
  <si>
    <t>1.4.2</t>
  </si>
  <si>
    <t>1.4.3</t>
  </si>
  <si>
    <t>PORTA DE ALUMÍNIO ANODIZADO COMPACTA</t>
  </si>
  <si>
    <t>1.4.4</t>
  </si>
  <si>
    <t>TINTA ANTIFLAMA 2 DEMÃOS E PRIMER EM ESQUADRIAS DE FERRO</t>
  </si>
  <si>
    <t>1.4.5</t>
  </si>
  <si>
    <t>REMOÇÃO DE JANELAS, DE FORMA MANUAL, SEM REAPROVEITAMENTO. AF_09/2023</t>
  </si>
  <si>
    <t>JANELA BASCULANTE EM ALUMÍNIO ANODIZADO NATURAL, EXCLUSIVE VIDRO</t>
  </si>
  <si>
    <t>m³</t>
  </si>
  <si>
    <t>1.5.3</t>
  </si>
  <si>
    <t>1.5.4</t>
  </si>
  <si>
    <t>Revisão de ponto de tomada simples com reposição da tomada</t>
  </si>
  <si>
    <t>1.6</t>
  </si>
  <si>
    <t>1.6.1</t>
  </si>
  <si>
    <t>1.6.2</t>
  </si>
  <si>
    <t>1.6.3</t>
  </si>
  <si>
    <t>1.7</t>
  </si>
  <si>
    <t>1.7.2</t>
  </si>
  <si>
    <t>1.7.3</t>
  </si>
  <si>
    <t>1.8</t>
  </si>
  <si>
    <t>1.8.1</t>
  </si>
  <si>
    <t>1.8.2</t>
  </si>
  <si>
    <t>1.8.3</t>
  </si>
  <si>
    <t>1.8.4</t>
  </si>
  <si>
    <t>1.9</t>
  </si>
  <si>
    <t>1.9.1</t>
  </si>
  <si>
    <t>1.9.1.2</t>
  </si>
  <si>
    <t>1.10</t>
  </si>
  <si>
    <t>SERVIÇOS COMPLEMENTARES</t>
  </si>
  <si>
    <t>1.10.1</t>
  </si>
  <si>
    <t>Bancada em granito branco fortaleza, e = 2cm</t>
  </si>
  <si>
    <t>1.10.2</t>
  </si>
  <si>
    <t>CUBA DE INOX PARA BANCADA,COMPLETA</t>
  </si>
  <si>
    <t>1.10.3</t>
  </si>
  <si>
    <t>SIFÃO DE PVC D= 2” (INSTALADO)</t>
  </si>
  <si>
    <t>1.10.4</t>
  </si>
  <si>
    <t>TORNEIRA CROMADA 1/2” OU 3/4” PARA TANQUE, PADRÃO POPULAR - FORNECIMENTO E INSTALAÇÃO. AF_01/2020</t>
  </si>
  <si>
    <t>1.10.5</t>
  </si>
  <si>
    <t>VASO SANITARIO SIFONADO CONVENCIONAL COM LOUÇA BRANCA, INCLUSO CONJUNTO DE LIGAÇÃO PARA BACIA SANITÁRIA AJUSTÁVEL - FORNECIMENTO E INSTALAÇÃO. AF_01/2020</t>
  </si>
  <si>
    <t>MEMORIAL DE CALCULO ADITIVO/SUPRESSÃO</t>
  </si>
  <si>
    <t>Quantidade</t>
  </si>
  <si>
    <t>Comprimento</t>
  </si>
  <si>
    <t>Altura</t>
  </si>
  <si>
    <t>Total</t>
  </si>
  <si>
    <t>SUPRESSÃO</t>
  </si>
  <si>
    <t>m²</t>
  </si>
  <si>
    <t>Parede entre as salas 03 e 04</t>
  </si>
  <si>
    <t>Parede entre as salas 03 e 05</t>
  </si>
  <si>
    <t>Parede entre as salas 01 e 02</t>
  </si>
  <si>
    <t>Desconto da porta</t>
  </si>
  <si>
    <t>m</t>
  </si>
  <si>
    <t>Medida retirada pelo AutoCad</t>
  </si>
  <si>
    <t>ACRÉSCIMO</t>
  </si>
  <si>
    <t>und</t>
  </si>
  <si>
    <t>Medidas retiradas in loco (Porta da Fachada)</t>
  </si>
  <si>
    <t>Janelas banheiro</t>
  </si>
  <si>
    <t>Medidas retiradas in loco (Janelas da Fachada)</t>
  </si>
  <si>
    <t>Janelas Banheiro</t>
  </si>
  <si>
    <t>Medida retirada in loco (Meia parede da Cozinha)</t>
  </si>
  <si>
    <t>Largura</t>
  </si>
  <si>
    <t>Medidas retiradas in loco (Bancada Recepção)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</si>
  <si>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</si>
  <si>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</si>
  <si>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</si>
  <si>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</si>
  <si>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</si>
  <si>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</si>
  <si>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</si>
  <si>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</si>
  <si>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</si>
  <si>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</si>
  <si>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</si>
  <si>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</si>
  <si>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</si>
  <si>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</si>
  <si>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</si>
  <si>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</si>
  <si>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</si>
  <si>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</si>
  <si>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</si>
  <si>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</si>
  <si>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</si>
  <si>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</si>
  <si>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</si>
  <si>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</si>
  <si>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</si>
  <si>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</si>
  <si>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</si>
  <si>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</si>
  <si>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</si>
  <si>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</si>
  <si>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</si>
  <si>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</si>
  <si>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</si>
  <si>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</si>
  <si>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</si>
  <si>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</si>
  <si>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</si>
  <si>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</si>
  <si>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</si>
  <si>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</si>
  <si>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</si>
  <si>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</si>
  <si>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</si>
  <si>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</si>
  <si>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</si>
  <si>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</si>
  <si>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</si>
  <si>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</si>
  <si>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</si>
  <si>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</si>
  <si>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</si>
  <si>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</si>
  <si>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</si>
  <si>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</si>
  <si>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</si>
  <si>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</si>
  <si>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</si>
  <si>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</si>
  <si>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</si>
  <si>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</si>
  <si>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</si>
  <si>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</si>
  <si>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</si>
  <si>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</si>
  <si>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</si>
  <si>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</si>
  <si>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</si>
  <si>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</si>
  <si>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</si>
  <si>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</si>
  <si>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</si>
  <si>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</si>
  <si>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</si>
  <si>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</si>
  <si>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</si>
  <si>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</si>
  <si>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</si>
  <si>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</si>
  <si>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</si>
  <si>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</si>
  <si>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</si>
  <si>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</si>
  <si>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</si>
  <si>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</si>
  <si>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</si>
  <si>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</si>
  <si>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</si>
  <si>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</si>
  <si>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</si>
  <si>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</si>
  <si>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</si>
  <si>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</si>
  <si>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</si>
  <si>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</si>
  <si>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</si>
  <si>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</si>
  <si>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</si>
  <si>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</si>
  <si>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</si>
  <si>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</si>
  <si>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</si>
  <si>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</si>
  <si>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</si>
  <si>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</si>
  <si>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</si>
  <si>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</si>
  <si>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</si>
  <si>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</si>
  <si>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</si>
  <si>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</si>
  <si>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</si>
  <si>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</si>
  <si>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</si>
  <si>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</si>
  <si>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</si>
  <si>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</si>
  <si>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</si>
  <si>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</si>
  <si>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</si>
  <si>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</si>
  <si>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</si>
  <si>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</si>
  <si>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</si>
  <si>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</si>
  <si>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</si>
  <si>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</si>
  <si>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</si>
  <si>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</si>
  <si>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</si>
  <si>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</si>
  <si>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</si>
  <si>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</si>
  <si>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</si>
  <si>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</si>
  <si>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</si>
  <si>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</si>
  <si>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</si>
  <si>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</si>
  <si>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</si>
  <si>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</si>
  <si>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</si>
  <si>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</si>
  <si>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</si>
  <si>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</si>
  <si>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</si>
  <si>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</si>
  <si>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</si>
  <si>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</si>
  <si>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</si>
  <si>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</si>
  <si>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</si>
  <si>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</si>
  <si>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</si>
  <si>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</si>
  <si>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</si>
  <si>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</si>
  <si>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</si>
  <si>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</si>
  <si>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</si>
  <si>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</si>
  <si>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</si>
  <si>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</si>
  <si>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</si>
  <si>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</si>
  <si>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</si>
  <si>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</si>
  <si>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</si>
  <si>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</si>
  <si>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</si>
  <si>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</si>
  <si>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</si>
  <si>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</si>
  <si>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</si>
  <si>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</si>
  <si>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</si>
  <si>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</si>
  <si>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</si>
  <si>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</si>
  <si>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</si>
  <si>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</si>
  <si>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</si>
  <si>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</si>
  <si>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</si>
  <si>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</si>
  <si>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</si>
  <si>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</si>
  <si>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</si>
  <si>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</si>
  <si>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</si>
  <si>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</si>
  <si>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</si>
  <si>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</si>
  <si>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</si>
  <si>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</si>
  <si>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</si>
  <si>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</si>
  <si>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</si>
  <si>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</si>
  <si>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</si>
  <si>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</si>
  <si>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</si>
  <si>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</si>
  <si>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</si>
  <si>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</si>
  <si>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</si>
  <si>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</si>
  <si>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</si>
  <si>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</si>
  <si>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</si>
  <si>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</si>
  <si>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</si>
  <si>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</si>
  <si>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</si>
  <si>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</si>
  <si>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</si>
  <si>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</si>
  <si>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</si>
  <si>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</si>
  <si>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</si>
  <si>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</si>
  <si>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</si>
  <si>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</si>
  <si>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</si>
  <si>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</si>
  <si>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</si>
  <si>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</si>
  <si>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</si>
  <si>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</si>
  <si>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</si>
  <si>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</si>
  <si>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</si>
  <si>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</si>
  <si>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</si>
  <si>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</si>
  <si>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</si>
  <si>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</si>
  <si>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</si>
  <si>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</si>
  <si>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</si>
  <si>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</si>
  <si>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</si>
  <si>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</si>
  <si>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</si>
  <si>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</si>
  <si>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</si>
  <si>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</si>
  <si>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</si>
  <si>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</si>
  <si>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</si>
  <si>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</si>
  <si>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</si>
  <si>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</si>
  <si>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</si>
  <si>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</si>
  <si>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</si>
  <si>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</si>
  <si>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</si>
  <si>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</si>
  <si>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</si>
  <si>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</si>
  <si>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</si>
  <si>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</si>
  <si>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</si>
  <si>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</si>
  <si>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</si>
  <si>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</si>
  <si>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</si>
  <si>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</si>
  <si>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</si>
  <si>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</si>
  <si>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</si>
  <si>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</si>
  <si>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</si>
  <si>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</si>
  <si>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</si>
  <si>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</si>
  <si>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</si>
  <si>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</si>
  <si>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</si>
  <si>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</si>
  <si>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</si>
  <si>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</si>
  <si>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</si>
  <si>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</si>
  <si>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</si>
  <si>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</si>
  <si>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</si>
  <si>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</si>
  <si>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</si>
  <si>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</si>
  <si>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</si>
  <si>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</si>
  <si>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</si>
  <si>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</si>
  <si>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</si>
  <si>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</si>
  <si>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</si>
  <si>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</si>
  <si>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</si>
  <si>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</si>
  <si>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</si>
  <si>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</si>
  <si>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</si>
  <si>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</si>
  <si>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</si>
  <si>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</si>
  <si>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</si>
  <si>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</si>
  <si>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</si>
  <si>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</si>
  <si>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</si>
  <si>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</si>
  <si>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</si>
  <si>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</si>
  <si>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</si>
  <si>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</si>
  <si>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</si>
  <si>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</si>
  <si>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</si>
  <si>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</si>
  <si>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</si>
  <si>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</si>
  <si>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</si>
  <si>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</si>
  <si>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</si>
  <si>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</si>
  <si>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</si>
  <si>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</si>
  <si>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</si>
  <si>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</si>
  <si>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</si>
  <si>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</si>
  <si>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</si>
  <si>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</si>
  <si>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</si>
  <si>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</si>
  <si>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</si>
  <si>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</si>
  <si>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</si>
  <si>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</si>
  <si>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</si>
  <si>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</si>
  <si>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</si>
  <si>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</si>
  <si>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</si>
  <si>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</si>
  <si>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</si>
  <si>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</si>
  <si>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</si>
  <si>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</si>
  <si>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</si>
  <si>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</si>
  <si>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</si>
  <si>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</si>
  <si>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</si>
  <si>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</si>
  <si>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</si>
  <si>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</si>
  <si>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</si>
  <si>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</si>
  <si>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</si>
  <si>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</si>
  <si>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</si>
  <si>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</si>
  <si>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</si>
  <si>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</si>
  <si>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</si>
  <si>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</si>
  <si>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</si>
  <si>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</si>
  <si>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</si>
  <si>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</si>
  <si>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</si>
  <si>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</si>
  <si>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</si>
  <si>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</si>
  <si>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</si>
  <si>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</si>
  <si>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</si>
  <si>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</si>
  <si>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</si>
  <si>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</si>
  <si>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</si>
  <si>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</si>
  <si>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</si>
  <si>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</si>
  <si>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</si>
  <si>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</si>
  <si>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</si>
  <si>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</si>
  <si>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</si>
  <si>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</si>
  <si>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</si>
  <si>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</si>
  <si>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</si>
  <si>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</si>
  <si>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</si>
  <si>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</si>
  <si>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</si>
  <si>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</si>
  <si>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</si>
  <si>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</si>
  <si>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</si>
  <si>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</si>
  <si>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</si>
  <si>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</si>
  <si>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</si>
  <si>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</si>
  <si>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</si>
  <si>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</si>
  <si>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</si>
  <si>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</si>
  <si>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</si>
  <si>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</si>
  <si>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</si>
  <si>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</si>
  <si>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</si>
  <si>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</si>
  <si>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</si>
  <si>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</si>
  <si>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</si>
  <si>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</si>
  <si>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</si>
  <si>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</si>
  <si>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</si>
  <si>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</si>
  <si>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</si>
  <si>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</si>
  <si>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</si>
  <si>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</si>
  <si>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</si>
  <si>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</si>
  <si>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</si>
  <si>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</si>
  <si>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</si>
  <si>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</si>
  <si>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</si>
  <si>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</si>
  <si>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</si>
  <si>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</si>
  <si>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</si>
  <si>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</si>
  <si>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</si>
  <si>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</si>
  <si>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</si>
  <si>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</si>
  <si>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</si>
  <si>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</si>
  <si>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</si>
  <si>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</si>
  <si>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</si>
  <si>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</si>
  <si>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 xml:space="preserve">SUPRESSÃO </t>
  </si>
  <si>
    <t>Banheiro Masculino</t>
  </si>
  <si>
    <t>Banheiro Feminio</t>
  </si>
  <si>
    <t>CONTRAPISO EM ARGAMASSA TRAÇO 1:4 (CIMENTO E AREIA), PREPARO MANUAL, APLICADO EM ÁREAS SECAS SOBRE LAJE, ADERIDO, ACABAMENTO NÃO REFORÇADO, ESPESSURA</t>
  </si>
  <si>
    <t>Copa</t>
  </si>
  <si>
    <t>Banheiro Feminino</t>
  </si>
  <si>
    <t>Recepção</t>
  </si>
  <si>
    <t>Sala 01</t>
  </si>
  <si>
    <t>Sala 02</t>
  </si>
  <si>
    <t>Área Coberta</t>
  </si>
  <si>
    <t>TOTAL GERAL</t>
  </si>
  <si>
    <t>VALOR CONTRATO</t>
  </si>
  <si>
    <t>VALOR DO ACRESCIMO</t>
  </si>
  <si>
    <t>PISO EM GRANILITE, MARMORITE OU GRANITINA EM AMBIENTES INTERNOS, COM ESPESSURA DE 8 MM, INCLUSO MISTURA EM BETONEIRA, COLOCAÇÃO DAS JUNTAS, APLICAÇÃO DO</t>
  </si>
  <si>
    <t>Sala 03</t>
  </si>
  <si>
    <t>Circ. 01</t>
  </si>
  <si>
    <t>Sala 04</t>
  </si>
  <si>
    <t>Circ. 02</t>
  </si>
  <si>
    <t>VALOR DA SUPRESSÃO</t>
  </si>
  <si>
    <t>Banheiro Masc.</t>
  </si>
  <si>
    <t>Banheiro Fem.</t>
  </si>
  <si>
    <t>VALOR DO ACRÉSCIMO</t>
  </si>
  <si>
    <t>TOTAL GERAL DO SELADOR</t>
  </si>
  <si>
    <t>TOTAL DO DESCONTO DAS ESQUADRIAS</t>
  </si>
  <si>
    <t>TOTAL GERAL DO EMASSAMENTO</t>
  </si>
  <si>
    <t>TOTAL GERAL DA PINTURA</t>
  </si>
  <si>
    <t>ÁREA COBERTA</t>
  </si>
  <si>
    <t>LATERAIS SUPERIOR DA ÁREA COBERTA</t>
  </si>
  <si>
    <t>LADO A</t>
  </si>
  <si>
    <t>LADO B</t>
  </si>
  <si>
    <t>LADO C</t>
  </si>
  <si>
    <t>Área retungular</t>
  </si>
  <si>
    <t>Área triangular</t>
  </si>
  <si>
    <t>TOTAL DO EMASSAMENTO</t>
  </si>
  <si>
    <t>Sala nova 01</t>
  </si>
  <si>
    <t>Sala nova 02</t>
  </si>
  <si>
    <t>DISCRIMINAÇÃO</t>
  </si>
  <si>
    <t>QUANT. ACUMULADA</t>
  </si>
  <si>
    <t>ANTERIOR</t>
  </si>
  <si>
    <t>ATUAL</t>
  </si>
  <si>
    <t>QUANT. LÍQUIDA</t>
  </si>
  <si>
    <t>UND.</t>
  </si>
  <si>
    <t>PREÇO</t>
  </si>
  <si>
    <t>UNIT. 
(R$)</t>
  </si>
  <si>
    <t>PREÇO TOTAL ACUMULADO</t>
  </si>
  <si>
    <t>VALOR LÍQUIDO
DOS SERVIÇOS</t>
  </si>
  <si>
    <t>PREFEITURA MUNICIPAL DE COREMAS</t>
  </si>
  <si>
    <t>BOLETIM DE MEDIÇÃO DE SERVIÇOS EXECUTADOS</t>
  </si>
  <si>
    <t>OBJETO: OBJETO: CONTRATAÇÃO DE EMPRESA ESPECIALIZADA PARA PAVIMENTAÇÃO ASFÁLTICA DE VÁRIAS RUAS DO MUNICÍPIO DE COREMAS/PB</t>
  </si>
  <si>
    <t>FIRMA: NIEMAIA CONSTRUÇÕES LTDA</t>
  </si>
  <si>
    <t>CONTRATO: 230/2024-CPL</t>
  </si>
  <si>
    <t>ORDEM DE SERVIÇO: 19 DE JUNHO DE 2024</t>
  </si>
  <si>
    <t>PRAZO DA OBRA: 120 DIAS CORRIDOS</t>
  </si>
  <si>
    <t>Valor Acum. Medições (R$):</t>
  </si>
  <si>
    <t>Valor do Contrato (R$):</t>
  </si>
  <si>
    <t>Saldo do Contrato (R$):</t>
  </si>
  <si>
    <t>1.1.1</t>
  </si>
  <si>
    <t>PLACA DE OBRA EM CHAPA DE ACO GALVANIZADO</t>
  </si>
  <si>
    <t>RECOMPOSIÇÃO DE PAVIMENTO EM PARALELEPÍPEDOS, REJUNTAMENTO
COM ARGAMASSA, COM REAPROVEITAMENTO DOS PARALELEPÍPEDOS, 
PARA O FECHAMENTO DE VALAS - INCLUSO RETIRADA E COLOCAÇÃO DO
MATERIAL. AF_12/2020</t>
  </si>
  <si>
    <t>1.1.2</t>
  </si>
  <si>
    <t>1.1.3</t>
  </si>
  <si>
    <t>LIMPEZA MECANIZADA DE CAMADA VEGETAL, VEGETAÇÃO E PEQUENAS ÁRVORES (DIÂMETRO DE TRONCO MENOR QUE 0,20 M), COM TRATOR DE ESTEIRAS. AF_05/2018</t>
  </si>
  <si>
    <t>RUA AMÉLIA ALVES DE ARAÚJO</t>
  </si>
  <si>
    <t>SERVIÇOS DE TERRAPLANAGEM</t>
  </si>
  <si>
    <t>SERVICOS TOPOGRAFICOS PARA PAVIMENTACAO, INCLUSIVE NOTA DE SERVICOS, ACOMPANHAMENTO E GREIDE</t>
  </si>
  <si>
    <t>1.2.1</t>
  </si>
  <si>
    <t>PAVIMENTAÇÃO - ETAPA 1 - BINDER</t>
  </si>
  <si>
    <t>LIMPEZA DE SUPERFÍCIE COM JATO DE ALTA PRESSÃO. AF_04/2019</t>
  </si>
  <si>
    <t>CARGA DE MISTURA ASFÁLTICA EM CAMINHÃO BASCULANTE 14 m³ (UNIDADE: M3). AF_07/2020</t>
  </si>
  <si>
    <t>TRANSPORTE COM CAMINHÃO BASCULANTE DE 14 M³, EM VIA URBANA PAVIMENTADA, DMT ATÉ 30 KM (UNIDADE: M3XKM). AF_07/2020</t>
  </si>
  <si>
    <t>EXECUÇÃO DE PAVIMENTO COM APLICAÇÃO DE CONCRETO ASFÁLTICO, CAMADA DE BINDER - EXCLUSIVE CARGA E TRANSPORTE. AF_11/2019</t>
  </si>
  <si>
    <t>EXECUÇÃO DE PINTURA DE LIGAÇÃO COM EMULSÃO ASFÁLTICA RR-2C. AF_11/2019</t>
  </si>
  <si>
    <t>1.3.1</t>
  </si>
  <si>
    <t>1.3.2</t>
  </si>
  <si>
    <t>1.3.3</t>
  </si>
  <si>
    <t>1.3.4</t>
  </si>
  <si>
    <t>1.3.5</t>
  </si>
  <si>
    <t>TRANSPORTE COM CAMINHÃO BASCULANTE DE 14 M³, EM VIA URBANA PAVIMENTADA, ADICIONAL PARA DMT EXCEDENTE A 30 KM (UNIDADE: M3XKM). AF_07/2020</t>
  </si>
  <si>
    <t>PAVIMENTAÇÃO - ETAPA 2 - CBUQ</t>
  </si>
  <si>
    <t>EXECUÇÃO DE PAVIMENTO COM APLICAÇÃO DE CONCRETO ASFÁLTICO, CAMADA DE BINDER - EXCLUSIVE CARGA E TRANSPORTE. AF_11/2020</t>
  </si>
  <si>
    <t xml:space="preserve"> EXECUÇÃO DE PINTURA DE LIGAÇÃO COM EMULSÃO ASFÁLTICA RR-2C.
AF_11/2019</t>
  </si>
  <si>
    <t>1.4.6</t>
  </si>
  <si>
    <t>SINALIZAÇÃO PERMANENTE, VERTICAL, COM PLACA DE AÇO, PADRÃO DNER, LARGURA=0,60M, COM POSTE DE MADEIRA 2,60M FIXADO COM BASE
DE CONCRETO 40X40X50 - PLACA FAIXA DE PEDESTRE</t>
  </si>
  <si>
    <t>CAIACAO EM MEIO FIO</t>
  </si>
  <si>
    <t>1.5.1</t>
  </si>
  <si>
    <t>1.5.2</t>
  </si>
  <si>
    <t>SERVIÇOS FINAIS</t>
  </si>
  <si>
    <t>PLACA ESMALTADA PARA IDENTIFICAÇÃO NR DE RUA, DIMENSÕES 45X25CM</t>
  </si>
  <si>
    <t>SINALIZAÇÃO HORIZONTAL COM RESINA ACRÍLICA EMULSIONADA EM 
ÁGUA (0,4 MM)</t>
  </si>
  <si>
    <t>RUA ANTÔNIO FIRMINO LEITE</t>
  </si>
  <si>
    <t>2.1.1</t>
  </si>
  <si>
    <t>2.1.2</t>
  </si>
  <si>
    <t>2.2.1</t>
  </si>
  <si>
    <t>2.3.1</t>
  </si>
  <si>
    <t>2.3.2</t>
  </si>
  <si>
    <t>2.3.3</t>
  </si>
  <si>
    <t>2.3.4</t>
  </si>
  <si>
    <t>2.3.5</t>
  </si>
  <si>
    <t>2.3.6</t>
  </si>
  <si>
    <t>2.4</t>
  </si>
  <si>
    <t>2.4.1</t>
  </si>
  <si>
    <t>2.4.2</t>
  </si>
  <si>
    <t>2.4.3</t>
  </si>
  <si>
    <t>2.4.4</t>
  </si>
  <si>
    <t>2.4.5</t>
  </si>
  <si>
    <t>2.4.6</t>
  </si>
  <si>
    <t>2.5</t>
  </si>
  <si>
    <t>2.5.1</t>
  </si>
  <si>
    <t>2.5.2</t>
  </si>
  <si>
    <t>2.5.3</t>
  </si>
  <si>
    <t>2.6</t>
  </si>
  <si>
    <t>2.6.1</t>
  </si>
  <si>
    <t>2.6.2</t>
  </si>
  <si>
    <t>3.1.1</t>
  </si>
  <si>
    <t>3.1.2</t>
  </si>
  <si>
    <t>3.2.1</t>
  </si>
  <si>
    <t>3.3.1</t>
  </si>
  <si>
    <t>3.3.2</t>
  </si>
  <si>
    <t>3.3.3</t>
  </si>
  <si>
    <t>3.3.4</t>
  </si>
  <si>
    <t>3.3.5</t>
  </si>
  <si>
    <t>3.3.6</t>
  </si>
  <si>
    <t>3.4.1</t>
  </si>
  <si>
    <t>3.4.2</t>
  </si>
  <si>
    <t>3.4.3</t>
  </si>
  <si>
    <t>3.4.4</t>
  </si>
  <si>
    <t>3.4.5</t>
  </si>
  <si>
    <t>3.4.6</t>
  </si>
  <si>
    <t>3.5.1</t>
  </si>
  <si>
    <t>3.5.2</t>
  </si>
  <si>
    <t>3.5.3</t>
  </si>
  <si>
    <t>3.6</t>
  </si>
  <si>
    <t>3.6.1</t>
  </si>
  <si>
    <t>3.6.2</t>
  </si>
  <si>
    <t>4.1.1</t>
  </si>
  <si>
    <t>4.1.2</t>
  </si>
  <si>
    <t>4.2</t>
  </si>
  <si>
    <t>4.2.1</t>
  </si>
  <si>
    <t>4.3</t>
  </si>
  <si>
    <t>4.3.1</t>
  </si>
  <si>
    <t>4.3.2</t>
  </si>
  <si>
    <t>4.3.3</t>
  </si>
  <si>
    <t>4.3.4</t>
  </si>
  <si>
    <t>4.3.5</t>
  </si>
  <si>
    <t>4.3.6</t>
  </si>
  <si>
    <t>4.4</t>
  </si>
  <si>
    <t>4.4.1</t>
  </si>
  <si>
    <t>4.4.2</t>
  </si>
  <si>
    <t>4.4.3</t>
  </si>
  <si>
    <t>4.4.4</t>
  </si>
  <si>
    <t>4.4.5</t>
  </si>
  <si>
    <t>4.4.6</t>
  </si>
  <si>
    <t>4.5</t>
  </si>
  <si>
    <t>4.5.1</t>
  </si>
  <si>
    <t>4.5.2</t>
  </si>
  <si>
    <t>4.5.3</t>
  </si>
  <si>
    <t>4.6</t>
  </si>
  <si>
    <t>4.6.1</t>
  </si>
  <si>
    <t>4.6.2</t>
  </si>
  <si>
    <t>5.1.1</t>
  </si>
  <si>
    <t>5.1.2</t>
  </si>
  <si>
    <t>5.2.1</t>
  </si>
  <si>
    <t>5.3.1</t>
  </si>
  <si>
    <t>5.3.2</t>
  </si>
  <si>
    <t>5.3.3</t>
  </si>
  <si>
    <t>5.3.4</t>
  </si>
  <si>
    <t>5.3.5</t>
  </si>
  <si>
    <t>5.3.6</t>
  </si>
  <si>
    <t>5.4</t>
  </si>
  <si>
    <t>5.4.1</t>
  </si>
  <si>
    <t>5.4.2</t>
  </si>
  <si>
    <t>5.4.3</t>
  </si>
  <si>
    <t>5.4.4</t>
  </si>
  <si>
    <t>5.4.5</t>
  </si>
  <si>
    <t>5.4.6</t>
  </si>
  <si>
    <t>5.5</t>
  </si>
  <si>
    <t>5.5.1</t>
  </si>
  <si>
    <t>5.5.2</t>
  </si>
  <si>
    <t>5.5.3</t>
  </si>
  <si>
    <t>5.6</t>
  </si>
  <si>
    <t>5.6.1</t>
  </si>
  <si>
    <t>5.6.2</t>
  </si>
  <si>
    <t>6.1.1</t>
  </si>
  <si>
    <t>6.1.2</t>
  </si>
  <si>
    <t>6.2.1</t>
  </si>
  <si>
    <t>6.4</t>
  </si>
  <si>
    <t>6.3.1</t>
  </si>
  <si>
    <t>6.3.2</t>
  </si>
  <si>
    <t>6.3.3</t>
  </si>
  <si>
    <t>6.3.4</t>
  </si>
  <si>
    <t>6.3.5</t>
  </si>
  <si>
    <t>6.3.6</t>
  </si>
  <si>
    <t>6.4.1</t>
  </si>
  <si>
    <t>6.4.2</t>
  </si>
  <si>
    <t>6.4.3</t>
  </si>
  <si>
    <t>6.4.4</t>
  </si>
  <si>
    <t>6.4.5</t>
  </si>
  <si>
    <t>6.4.6</t>
  </si>
  <si>
    <t>6.5</t>
  </si>
  <si>
    <t>6.5.1</t>
  </si>
  <si>
    <t>6.5.2</t>
  </si>
  <si>
    <t>6.5.3</t>
  </si>
  <si>
    <t>6.6</t>
  </si>
  <si>
    <t>6.6.1</t>
  </si>
  <si>
    <t>6.6.2</t>
  </si>
  <si>
    <t>7.1.1</t>
  </si>
  <si>
    <t>7.1.2</t>
  </si>
  <si>
    <t>7.2.1</t>
  </si>
  <si>
    <t>7.3.1</t>
  </si>
  <si>
    <t>7.3.2</t>
  </si>
  <si>
    <t>7.3.3</t>
  </si>
  <si>
    <t>7.3.4</t>
  </si>
  <si>
    <t>7.3.5</t>
  </si>
  <si>
    <t>7.3.6</t>
  </si>
  <si>
    <t>7.4</t>
  </si>
  <si>
    <t>7.4.1</t>
  </si>
  <si>
    <t>7.4.2</t>
  </si>
  <si>
    <t>7.4.3</t>
  </si>
  <si>
    <t>7.4.4</t>
  </si>
  <si>
    <t>7.4.5</t>
  </si>
  <si>
    <t>7.4.6</t>
  </si>
  <si>
    <t>7.5</t>
  </si>
  <si>
    <t>7.5.1</t>
  </si>
  <si>
    <t>7.5.2</t>
  </si>
  <si>
    <t>7.5.3</t>
  </si>
  <si>
    <t>7.6</t>
  </si>
  <si>
    <t>7.6.1</t>
  </si>
  <si>
    <t>7.6.2</t>
  </si>
  <si>
    <t>8.1.1</t>
  </si>
  <si>
    <t>8.1.2</t>
  </si>
  <si>
    <t>8.2.1</t>
  </si>
  <si>
    <t>8.3.1</t>
  </si>
  <si>
    <t>8.3.2</t>
  </si>
  <si>
    <t>8.3.3</t>
  </si>
  <si>
    <t>8.3.4</t>
  </si>
  <si>
    <t>8.3.5</t>
  </si>
  <si>
    <t>8.3.6</t>
  </si>
  <si>
    <t>8.4.1</t>
  </si>
  <si>
    <t>8.4.2</t>
  </si>
  <si>
    <t>8.4.3</t>
  </si>
  <si>
    <t>8.4.4</t>
  </si>
  <si>
    <t>8.4.5</t>
  </si>
  <si>
    <t>8.4.6</t>
  </si>
  <si>
    <t>8.5</t>
  </si>
  <si>
    <t>8.5.1</t>
  </si>
  <si>
    <t>8.5.2</t>
  </si>
  <si>
    <t>8.5.3</t>
  </si>
  <si>
    <t>8.6</t>
  </si>
  <si>
    <t>8.6.1</t>
  </si>
  <si>
    <t>8.6.2</t>
  </si>
  <si>
    <t>9.2</t>
  </si>
  <si>
    <t>9.2.1</t>
  </si>
  <si>
    <t>9.3</t>
  </si>
  <si>
    <t>9.3.1</t>
  </si>
  <si>
    <t>9.3.2</t>
  </si>
  <si>
    <t>9.3.3</t>
  </si>
  <si>
    <t>9.3.4</t>
  </si>
  <si>
    <t>9.3.5</t>
  </si>
  <si>
    <t>9.3.6</t>
  </si>
  <si>
    <t>9.4</t>
  </si>
  <si>
    <t>9.4.1</t>
  </si>
  <si>
    <t>9.4.2</t>
  </si>
  <si>
    <t>9.4.3</t>
  </si>
  <si>
    <t>9.4.4</t>
  </si>
  <si>
    <t>9.4.5</t>
  </si>
  <si>
    <t>9.4.6</t>
  </si>
  <si>
    <t>9.5</t>
  </si>
  <si>
    <t>9.5.1</t>
  </si>
  <si>
    <t>9.5.2</t>
  </si>
  <si>
    <t>9.5.3</t>
  </si>
  <si>
    <t>9.6</t>
  </si>
  <si>
    <t>9.6.1</t>
  </si>
  <si>
    <t>9.6.2</t>
  </si>
  <si>
    <t>10.1</t>
  </si>
  <si>
    <t>10.1.1</t>
  </si>
  <si>
    <t>10.1.2</t>
  </si>
  <si>
    <t>10.2</t>
  </si>
  <si>
    <t>10.2.1</t>
  </si>
  <si>
    <t>10.3</t>
  </si>
  <si>
    <t>10.3.1</t>
  </si>
  <si>
    <t>10.3.2</t>
  </si>
  <si>
    <t>10.3.3</t>
  </si>
  <si>
    <t>10.3.4</t>
  </si>
  <si>
    <t>10.3.5</t>
  </si>
  <si>
    <t>10.3.6</t>
  </si>
  <si>
    <t>10.4</t>
  </si>
  <si>
    <t>10.4.1</t>
  </si>
  <si>
    <t>10.4.2</t>
  </si>
  <si>
    <t>10.4.3</t>
  </si>
  <si>
    <t>10.4.4</t>
  </si>
  <si>
    <t>10.4.5</t>
  </si>
  <si>
    <t>10.4.6</t>
  </si>
  <si>
    <t>10.5</t>
  </si>
  <si>
    <t>10.5.1</t>
  </si>
  <si>
    <t>10.5.2</t>
  </si>
  <si>
    <t>10.5.3</t>
  </si>
  <si>
    <t>10.6</t>
  </si>
  <si>
    <t>10.6.1</t>
  </si>
  <si>
    <t>10.6.2</t>
  </si>
  <si>
    <t>11.1</t>
  </si>
  <si>
    <t>11.1.1</t>
  </si>
  <si>
    <t>11.1.2</t>
  </si>
  <si>
    <t>11.2</t>
  </si>
  <si>
    <t>11.2.1</t>
  </si>
  <si>
    <t>11.3</t>
  </si>
  <si>
    <t>11.3.1</t>
  </si>
  <si>
    <t>11.3.2</t>
  </si>
  <si>
    <t>11.3.3</t>
  </si>
  <si>
    <t>11.3.4</t>
  </si>
  <si>
    <t>11.3.5</t>
  </si>
  <si>
    <t>11.3.6</t>
  </si>
  <si>
    <t>11.4</t>
  </si>
  <si>
    <t>11.4.1</t>
  </si>
  <si>
    <t>11.4.2</t>
  </si>
  <si>
    <t>11.4.3</t>
  </si>
  <si>
    <t>11.4.4</t>
  </si>
  <si>
    <t>11.4.5</t>
  </si>
  <si>
    <t>11.4.6</t>
  </si>
  <si>
    <t>11.5</t>
  </si>
  <si>
    <t>11.5.1</t>
  </si>
  <si>
    <t>11.5.2</t>
  </si>
  <si>
    <t>11.5.3</t>
  </si>
  <si>
    <t>11.6</t>
  </si>
  <si>
    <t>11.6.1</t>
  </si>
  <si>
    <t>11.6.2</t>
  </si>
  <si>
    <t>12.1</t>
  </si>
  <si>
    <t>12.1.1</t>
  </si>
  <si>
    <t>12.1.2</t>
  </si>
  <si>
    <t>12.2</t>
  </si>
  <si>
    <t>12.2.1</t>
  </si>
  <si>
    <t>12.3</t>
  </si>
  <si>
    <t>12.3.1</t>
  </si>
  <si>
    <t>12.3.2</t>
  </si>
  <si>
    <t>12.3.3</t>
  </si>
  <si>
    <t>12.3.4</t>
  </si>
  <si>
    <t>12.3.5</t>
  </si>
  <si>
    <t>12.3.6</t>
  </si>
  <si>
    <t>12.4</t>
  </si>
  <si>
    <t>12.4.1</t>
  </si>
  <si>
    <t>12.4.2</t>
  </si>
  <si>
    <t>12.4.3</t>
  </si>
  <si>
    <t>12.4.4</t>
  </si>
  <si>
    <t>12.4.5</t>
  </si>
  <si>
    <t>12.4.6</t>
  </si>
  <si>
    <t>12.5</t>
  </si>
  <si>
    <t>12.5.1</t>
  </si>
  <si>
    <t>12.5.2</t>
  </si>
  <si>
    <t>12.5.3</t>
  </si>
  <si>
    <t>12.6</t>
  </si>
  <si>
    <t>12.6.1</t>
  </si>
  <si>
    <t>12.6.2</t>
  </si>
  <si>
    <t>13.1</t>
  </si>
  <si>
    <t>13.1.1</t>
  </si>
  <si>
    <t>13.1.2</t>
  </si>
  <si>
    <t>13.2</t>
  </si>
  <si>
    <t>13.2.1</t>
  </si>
  <si>
    <t>13.4</t>
  </si>
  <si>
    <t>13.4.1</t>
  </si>
  <si>
    <t>13.4.2</t>
  </si>
  <si>
    <t>13.4.3</t>
  </si>
  <si>
    <t>13.4.4</t>
  </si>
  <si>
    <t>13.4.5</t>
  </si>
  <si>
    <t>13.4.6</t>
  </si>
  <si>
    <t>13.5</t>
  </si>
  <si>
    <t>13.5.1</t>
  </si>
  <si>
    <t>13.5.2</t>
  </si>
  <si>
    <t>13.5.3</t>
  </si>
  <si>
    <t>13.6</t>
  </si>
  <si>
    <t>13.6.1</t>
  </si>
  <si>
    <t>13.6.2</t>
  </si>
  <si>
    <t>14.1</t>
  </si>
  <si>
    <t>14.1.1</t>
  </si>
  <si>
    <t>14.1.2</t>
  </si>
  <si>
    <t>14.2</t>
  </si>
  <si>
    <t>14.2.1</t>
  </si>
  <si>
    <t>14.3</t>
  </si>
  <si>
    <t>14.3.1</t>
  </si>
  <si>
    <t>14.3.2</t>
  </si>
  <si>
    <t>14.3.3</t>
  </si>
  <si>
    <t>14.3.4</t>
  </si>
  <si>
    <t>14.3.5</t>
  </si>
  <si>
    <t>14.3.6</t>
  </si>
  <si>
    <t>14.4</t>
  </si>
  <si>
    <t>14.4.1</t>
  </si>
  <si>
    <t>14.4.2</t>
  </si>
  <si>
    <t>14.4.3</t>
  </si>
  <si>
    <t>14.4.4</t>
  </si>
  <si>
    <t>14.4.5</t>
  </si>
  <si>
    <t>14.4.6</t>
  </si>
  <si>
    <t>14.5</t>
  </si>
  <si>
    <t>14.5.1</t>
  </si>
  <si>
    <t>14.5.2</t>
  </si>
  <si>
    <t>14.5.3</t>
  </si>
  <si>
    <t>14.6</t>
  </si>
  <si>
    <t>14.6.1</t>
  </si>
  <si>
    <t>14.6.2</t>
  </si>
  <si>
    <t>15.1</t>
  </si>
  <si>
    <t>15.1.1</t>
  </si>
  <si>
    <t>15.1.2</t>
  </si>
  <si>
    <t>15.2</t>
  </si>
  <si>
    <t>15.2.1</t>
  </si>
  <si>
    <t>15.3</t>
  </si>
  <si>
    <t>15.3.1</t>
  </si>
  <si>
    <t>15.3.2</t>
  </si>
  <si>
    <t>15.3.3</t>
  </si>
  <si>
    <t>15.3.4</t>
  </si>
  <si>
    <t>15.3.5</t>
  </si>
  <si>
    <t>15.3.6</t>
  </si>
  <si>
    <t>15.4</t>
  </si>
  <si>
    <t>15.4.1</t>
  </si>
  <si>
    <t>15.4.2</t>
  </si>
  <si>
    <t>15.4.3</t>
  </si>
  <si>
    <t>15.4.4</t>
  </si>
  <si>
    <t>15.4.5</t>
  </si>
  <si>
    <t>15.4.6</t>
  </si>
  <si>
    <t>15.5</t>
  </si>
  <si>
    <t>15.5.1</t>
  </si>
  <si>
    <t>15.5.2</t>
  </si>
  <si>
    <t>15.5.3</t>
  </si>
  <si>
    <t>15.6</t>
  </si>
  <si>
    <t>15.6.1</t>
  </si>
  <si>
    <t>15.6.2</t>
  </si>
  <si>
    <t>16.1</t>
  </si>
  <si>
    <t>16.1.1</t>
  </si>
  <si>
    <t>16.1.2</t>
  </si>
  <si>
    <t>16.2</t>
  </si>
  <si>
    <t>16.2.1</t>
  </si>
  <si>
    <t>16.3</t>
  </si>
  <si>
    <t>16.3.1</t>
  </si>
  <si>
    <t>16.3.2</t>
  </si>
  <si>
    <t>16.3.3</t>
  </si>
  <si>
    <t>16.3.4</t>
  </si>
  <si>
    <t>16.3.5</t>
  </si>
  <si>
    <t>16.3.6</t>
  </si>
  <si>
    <t>16.4</t>
  </si>
  <si>
    <t>16.4.1</t>
  </si>
  <si>
    <t>16.4.2</t>
  </si>
  <si>
    <t>16.4.3</t>
  </si>
  <si>
    <t>16.4.4</t>
  </si>
  <si>
    <t>16.4.5</t>
  </si>
  <si>
    <t>16.4.6</t>
  </si>
  <si>
    <t>16.5</t>
  </si>
  <si>
    <t>16.5.1</t>
  </si>
  <si>
    <t>16.5.2</t>
  </si>
  <si>
    <t>16.5.3</t>
  </si>
  <si>
    <t>16.6</t>
  </si>
  <si>
    <t>16.6.1</t>
  </si>
  <si>
    <t>16.6.2</t>
  </si>
  <si>
    <t>17.1</t>
  </si>
  <si>
    <t>17.1.1</t>
  </si>
  <si>
    <t>17.1.2</t>
  </si>
  <si>
    <t>17.2</t>
  </si>
  <si>
    <t>17.2.1</t>
  </si>
  <si>
    <t>17.3</t>
  </si>
  <si>
    <t>17.3.1</t>
  </si>
  <si>
    <t>17.3.2</t>
  </si>
  <si>
    <t>17.3.3</t>
  </si>
  <si>
    <t>17.3.4</t>
  </si>
  <si>
    <t>17.3.5</t>
  </si>
  <si>
    <t>17.3.6</t>
  </si>
  <si>
    <t>17.4</t>
  </si>
  <si>
    <t>17.4.1</t>
  </si>
  <si>
    <t>17.4.2</t>
  </si>
  <si>
    <t>17.4.3</t>
  </si>
  <si>
    <t>17.4.4</t>
  </si>
  <si>
    <t>17.4.5</t>
  </si>
  <si>
    <t>17.4.6</t>
  </si>
  <si>
    <t>17.5</t>
  </si>
  <si>
    <t>17.5.1</t>
  </si>
  <si>
    <t>17.5.2</t>
  </si>
  <si>
    <t>17.5.3</t>
  </si>
  <si>
    <t>17.6.1</t>
  </si>
  <si>
    <t>17.6</t>
  </si>
  <si>
    <t>17.6.2</t>
  </si>
  <si>
    <t>18.1</t>
  </si>
  <si>
    <t>18.1.1</t>
  </si>
  <si>
    <t>18.1.2</t>
  </si>
  <si>
    <t>18.2</t>
  </si>
  <si>
    <t>18.2.1</t>
  </si>
  <si>
    <t>18.3</t>
  </si>
  <si>
    <t>18.3.1</t>
  </si>
  <si>
    <t>18.3.2</t>
  </si>
  <si>
    <t>18.3.3</t>
  </si>
  <si>
    <t>18.3.4</t>
  </si>
  <si>
    <t>18.3.5</t>
  </si>
  <si>
    <t>18.3.6</t>
  </si>
  <si>
    <t>18.4</t>
  </si>
  <si>
    <t>18.4.1</t>
  </si>
  <si>
    <t>18.4.2</t>
  </si>
  <si>
    <t>18.4.3</t>
  </si>
  <si>
    <t>18.4.4</t>
  </si>
  <si>
    <t>18.4.5</t>
  </si>
  <si>
    <t>18.4.6</t>
  </si>
  <si>
    <t>18.5</t>
  </si>
  <si>
    <t>18.5.1</t>
  </si>
  <si>
    <t>18.5.2</t>
  </si>
  <si>
    <t>18.5.3</t>
  </si>
  <si>
    <t>18.6</t>
  </si>
  <si>
    <t>18.6.1</t>
  </si>
  <si>
    <t>18.6.2</t>
  </si>
  <si>
    <t>19.1</t>
  </si>
  <si>
    <t>19.1.1</t>
  </si>
  <si>
    <t>19.1.2</t>
  </si>
  <si>
    <t>19.2</t>
  </si>
  <si>
    <t>19.2.1</t>
  </si>
  <si>
    <t>19.3</t>
  </si>
  <si>
    <t>19.3.1</t>
  </si>
  <si>
    <t>19.3.2</t>
  </si>
  <si>
    <t>19.3.3</t>
  </si>
  <si>
    <t>19.3.4</t>
  </si>
  <si>
    <t>19.3.5</t>
  </si>
  <si>
    <t>19.3.6</t>
  </si>
  <si>
    <t>19.4</t>
  </si>
  <si>
    <t>19.4.1</t>
  </si>
  <si>
    <t>19.4.2</t>
  </si>
  <si>
    <t>19.4.3</t>
  </si>
  <si>
    <t>19.4.4</t>
  </si>
  <si>
    <t>19.4.5</t>
  </si>
  <si>
    <t>19.4.6</t>
  </si>
  <si>
    <t>19.5</t>
  </si>
  <si>
    <t>19.5.1</t>
  </si>
  <si>
    <t>19.5.2</t>
  </si>
  <si>
    <t>19.5.3</t>
  </si>
  <si>
    <t>19.6</t>
  </si>
  <si>
    <t>19.6.1</t>
  </si>
  <si>
    <t>19.6.2</t>
  </si>
  <si>
    <t>20.1</t>
  </si>
  <si>
    <t>20.1.1</t>
  </si>
  <si>
    <t>20.1.2</t>
  </si>
  <si>
    <t>20.2</t>
  </si>
  <si>
    <t>20.2.1</t>
  </si>
  <si>
    <t>20.3</t>
  </si>
  <si>
    <t>20.3.1</t>
  </si>
  <si>
    <t>20.3.2</t>
  </si>
  <si>
    <t>20.3.3</t>
  </si>
  <si>
    <t>20.3.4</t>
  </si>
  <si>
    <t>20.3.5</t>
  </si>
  <si>
    <t>20.3.6</t>
  </si>
  <si>
    <t>20.4</t>
  </si>
  <si>
    <t>20.4.1</t>
  </si>
  <si>
    <t>20.4.2</t>
  </si>
  <si>
    <t>20.4.3</t>
  </si>
  <si>
    <t>20.4.4</t>
  </si>
  <si>
    <t>20.4.5</t>
  </si>
  <si>
    <t>20.4.6</t>
  </si>
  <si>
    <t>20.5</t>
  </si>
  <si>
    <t>20.5.1</t>
  </si>
  <si>
    <t>20.5.2</t>
  </si>
  <si>
    <t>20.5.3</t>
  </si>
  <si>
    <t>20.6</t>
  </si>
  <si>
    <t>20.6.1</t>
  </si>
  <si>
    <t>20.6.2</t>
  </si>
  <si>
    <t>21.1</t>
  </si>
  <si>
    <t>21.1.1</t>
  </si>
  <si>
    <t>21.1.2</t>
  </si>
  <si>
    <t>21.2</t>
  </si>
  <si>
    <t>21.2.1</t>
  </si>
  <si>
    <t>21.3</t>
  </si>
  <si>
    <t>21.3.1</t>
  </si>
  <si>
    <t>21.3.2</t>
  </si>
  <si>
    <t>21.3.3</t>
  </si>
  <si>
    <t>21.3.4</t>
  </si>
  <si>
    <t>21.3.5</t>
  </si>
  <si>
    <t>21.3.6</t>
  </si>
  <si>
    <t>21.4</t>
  </si>
  <si>
    <t>21.4.1</t>
  </si>
  <si>
    <t>21.4.2</t>
  </si>
  <si>
    <t>21.4.3</t>
  </si>
  <si>
    <t>21.4.4</t>
  </si>
  <si>
    <t>21.4.5</t>
  </si>
  <si>
    <t>21.4.6</t>
  </si>
  <si>
    <t>21.5</t>
  </si>
  <si>
    <t>21.5.1</t>
  </si>
  <si>
    <t>21.5.2</t>
  </si>
  <si>
    <t>21.5.3</t>
  </si>
  <si>
    <t>21.6</t>
  </si>
  <si>
    <t>21.6.1</t>
  </si>
  <si>
    <t>21.6.2</t>
  </si>
  <si>
    <t>22.1</t>
  </si>
  <si>
    <t>22.1.1</t>
  </si>
  <si>
    <t>22.1.2</t>
  </si>
  <si>
    <t>22.2</t>
  </si>
  <si>
    <t>22.2.1</t>
  </si>
  <si>
    <t>22.3</t>
  </si>
  <si>
    <t>22.3.1</t>
  </si>
  <si>
    <t>22.3.2</t>
  </si>
  <si>
    <t>22.3.3</t>
  </si>
  <si>
    <t>22.3.4</t>
  </si>
  <si>
    <t>22.3.5</t>
  </si>
  <si>
    <t>22.3.6</t>
  </si>
  <si>
    <t>22.4</t>
  </si>
  <si>
    <t>22.4.1</t>
  </si>
  <si>
    <t>22.4.2</t>
  </si>
  <si>
    <t>22.4.3</t>
  </si>
  <si>
    <t>22.4.4</t>
  </si>
  <si>
    <t>22.4.5</t>
  </si>
  <si>
    <t>22.4.6</t>
  </si>
  <si>
    <t>22.5</t>
  </si>
  <si>
    <t>22.5.1</t>
  </si>
  <si>
    <t>22.5.2</t>
  </si>
  <si>
    <t>22.5.3</t>
  </si>
  <si>
    <t>22.6</t>
  </si>
  <si>
    <t>22.6.1</t>
  </si>
  <si>
    <t>22.6.2</t>
  </si>
  <si>
    <t>23.1</t>
  </si>
  <si>
    <t>23.1.1</t>
  </si>
  <si>
    <t>23.1.2</t>
  </si>
  <si>
    <t>23.2</t>
  </si>
  <si>
    <t>23.2.1</t>
  </si>
  <si>
    <t>23.3</t>
  </si>
  <si>
    <t>23.3.1</t>
  </si>
  <si>
    <t>23.3.2</t>
  </si>
  <si>
    <t>23.3.3</t>
  </si>
  <si>
    <t>23.3.4</t>
  </si>
  <si>
    <t>23.3.5</t>
  </si>
  <si>
    <t>23.3.6</t>
  </si>
  <si>
    <t>23.4</t>
  </si>
  <si>
    <t>23.4.1</t>
  </si>
  <si>
    <t>23.4.2</t>
  </si>
  <si>
    <t>23.4.3</t>
  </si>
  <si>
    <t>23.4.4</t>
  </si>
  <si>
    <t>23.4.5</t>
  </si>
  <si>
    <t>23.4.6</t>
  </si>
  <si>
    <t>23.5</t>
  </si>
  <si>
    <t>23.5.1</t>
  </si>
  <si>
    <t>23.5.2</t>
  </si>
  <si>
    <t>23.5.3</t>
  </si>
  <si>
    <t>23.6</t>
  </si>
  <si>
    <t>23.6.1</t>
  </si>
  <si>
    <t>23.6.2</t>
  </si>
  <si>
    <t>24.1</t>
  </si>
  <si>
    <t>24.1.1</t>
  </si>
  <si>
    <t>24.1.2</t>
  </si>
  <si>
    <t>24.2</t>
  </si>
  <si>
    <t>24.2.1</t>
  </si>
  <si>
    <t>24.3</t>
  </si>
  <si>
    <t>24.3.1</t>
  </si>
  <si>
    <t>24.3.2</t>
  </si>
  <si>
    <t>24.3.3</t>
  </si>
  <si>
    <t>24.3.4</t>
  </si>
  <si>
    <t>24.3.5</t>
  </si>
  <si>
    <t>24.3.6</t>
  </si>
  <si>
    <t>24.4</t>
  </si>
  <si>
    <t>24.4.1</t>
  </si>
  <si>
    <t>24.4.2</t>
  </si>
  <si>
    <t>24.4.3</t>
  </si>
  <si>
    <t>24.4.4</t>
  </si>
  <si>
    <t>24.4.5</t>
  </si>
  <si>
    <t>24.4.6</t>
  </si>
  <si>
    <t>24.5</t>
  </si>
  <si>
    <t>24.5.1</t>
  </si>
  <si>
    <t>24.5.2</t>
  </si>
  <si>
    <t>24.5.3</t>
  </si>
  <si>
    <t>24.6</t>
  </si>
  <si>
    <t>24.6.1</t>
  </si>
  <si>
    <t>24.6.2</t>
  </si>
  <si>
    <t>25.1</t>
  </si>
  <si>
    <t>25.1.1</t>
  </si>
  <si>
    <t>25.1.2</t>
  </si>
  <si>
    <t>25.2</t>
  </si>
  <si>
    <t>25.2.1</t>
  </si>
  <si>
    <t>25.3</t>
  </si>
  <si>
    <t>25.3.1</t>
  </si>
  <si>
    <t>25.3.2</t>
  </si>
  <si>
    <t>25.3.3</t>
  </si>
  <si>
    <t>25.3.4</t>
  </si>
  <si>
    <t>25.3.5</t>
  </si>
  <si>
    <t>25.3.6</t>
  </si>
  <si>
    <t>25.4</t>
  </si>
  <si>
    <t>25.4.1</t>
  </si>
  <si>
    <t>25.4.2</t>
  </si>
  <si>
    <t>25.4.3</t>
  </si>
  <si>
    <t>25.4.4</t>
  </si>
  <si>
    <t>25.4.5</t>
  </si>
  <si>
    <t>25.4.6</t>
  </si>
  <si>
    <t>25.5</t>
  </si>
  <si>
    <t>25.5.1</t>
  </si>
  <si>
    <t>25.5.2</t>
  </si>
  <si>
    <t>25.5.3</t>
  </si>
  <si>
    <t>25.6</t>
  </si>
  <si>
    <t>25.6.1</t>
  </si>
  <si>
    <t>25.6.2</t>
  </si>
  <si>
    <t>26.1</t>
  </si>
  <si>
    <t>26.1.1</t>
  </si>
  <si>
    <t>26.1.2</t>
  </si>
  <si>
    <t>26.2</t>
  </si>
  <si>
    <t>26.2.1</t>
  </si>
  <si>
    <t>26.3</t>
  </si>
  <si>
    <t>26.3.1</t>
  </si>
  <si>
    <t>26.3.2</t>
  </si>
  <si>
    <t>26.3.3</t>
  </si>
  <si>
    <t>26.3.4</t>
  </si>
  <si>
    <t>26.3.5</t>
  </si>
  <si>
    <t>26.3.6</t>
  </si>
  <si>
    <t>26.4</t>
  </si>
  <si>
    <t>26.4.1</t>
  </si>
  <si>
    <t>26.4.2</t>
  </si>
  <si>
    <t>26.4.3</t>
  </si>
  <si>
    <t>26.4.4</t>
  </si>
  <si>
    <t>26.4.5</t>
  </si>
  <si>
    <t>26.4.6</t>
  </si>
  <si>
    <t>26.5</t>
  </si>
  <si>
    <t>26.5.1</t>
  </si>
  <si>
    <t>26.5.2</t>
  </si>
  <si>
    <t>26.5.3</t>
  </si>
  <si>
    <t>26.6</t>
  </si>
  <si>
    <t>26.6.1</t>
  </si>
  <si>
    <t>26.6.2</t>
  </si>
  <si>
    <t>27.1</t>
  </si>
  <si>
    <t>27.1.1</t>
  </si>
  <si>
    <t>27.1.2</t>
  </si>
  <si>
    <t>27.2</t>
  </si>
  <si>
    <t>27.2.1</t>
  </si>
  <si>
    <t>27.3</t>
  </si>
  <si>
    <t>27.3.1</t>
  </si>
  <si>
    <t>27.3.2</t>
  </si>
  <si>
    <t>27.3.3</t>
  </si>
  <si>
    <t>27.3.4</t>
  </si>
  <si>
    <t>27.3.5</t>
  </si>
  <si>
    <t>27.3.6</t>
  </si>
  <si>
    <t>27.4</t>
  </si>
  <si>
    <t>27.4.1</t>
  </si>
  <si>
    <t>27.4.2</t>
  </si>
  <si>
    <t>27.4.3</t>
  </si>
  <si>
    <t>27.4.4</t>
  </si>
  <si>
    <t>27.4.5</t>
  </si>
  <si>
    <t>27.4.6</t>
  </si>
  <si>
    <t>27.5</t>
  </si>
  <si>
    <t>27.5.1</t>
  </si>
  <si>
    <t>27.5.2</t>
  </si>
  <si>
    <t>27.5.3</t>
  </si>
  <si>
    <t>27.6</t>
  </si>
  <si>
    <t>27.6.1</t>
  </si>
  <si>
    <t>27.6.2</t>
  </si>
  <si>
    <t>28.1</t>
  </si>
  <si>
    <t>28.1.1</t>
  </si>
  <si>
    <t>28.1.2</t>
  </si>
  <si>
    <t>28.2</t>
  </si>
  <si>
    <t>28.2.1</t>
  </si>
  <si>
    <t>28.3</t>
  </si>
  <si>
    <t>28.3.1</t>
  </si>
  <si>
    <t>28.3.2</t>
  </si>
  <si>
    <t>28.3.3</t>
  </si>
  <si>
    <t>28.3.4</t>
  </si>
  <si>
    <t>28.3.5</t>
  </si>
  <si>
    <t>28.3.6</t>
  </si>
  <si>
    <t>28.4</t>
  </si>
  <si>
    <t>28.4.1</t>
  </si>
  <si>
    <t>28.4.2</t>
  </si>
  <si>
    <t>28.4.3</t>
  </si>
  <si>
    <t>28.4.4</t>
  </si>
  <si>
    <t>28.4.5</t>
  </si>
  <si>
    <t>28.4.6</t>
  </si>
  <si>
    <t>28.5</t>
  </si>
  <si>
    <t>28.5.1</t>
  </si>
  <si>
    <t>28.5.2</t>
  </si>
  <si>
    <t>28.5.3</t>
  </si>
  <si>
    <t>28.6</t>
  </si>
  <si>
    <t>28.6.1</t>
  </si>
  <si>
    <t>28.6.2</t>
  </si>
  <si>
    <t>29.1</t>
  </si>
  <si>
    <t>29.1.1</t>
  </si>
  <si>
    <t>29.2</t>
  </si>
  <si>
    <t>29.1.2</t>
  </si>
  <si>
    <t>29.2.1</t>
  </si>
  <si>
    <t>29.3</t>
  </si>
  <si>
    <t>29.3.1</t>
  </si>
  <si>
    <t>29.3.2</t>
  </si>
  <si>
    <t>29.3.3</t>
  </si>
  <si>
    <t>29.3.4</t>
  </si>
  <si>
    <t>29.3.5</t>
  </si>
  <si>
    <t>29.3.6</t>
  </si>
  <si>
    <t>29.4</t>
  </si>
  <si>
    <t>29.4.1</t>
  </si>
  <si>
    <t>29.4.2</t>
  </si>
  <si>
    <t>29.4.3</t>
  </si>
  <si>
    <t>29.4.4</t>
  </si>
  <si>
    <t>29.4.5</t>
  </si>
  <si>
    <t>29.4.6</t>
  </si>
  <si>
    <t>29.5</t>
  </si>
  <si>
    <t>29.5.1</t>
  </si>
  <si>
    <t>29.5.2</t>
  </si>
  <si>
    <t>29.5.3</t>
  </si>
  <si>
    <t>29.6</t>
  </si>
  <si>
    <t>29.6.1</t>
  </si>
  <si>
    <t>29.6.2</t>
  </si>
  <si>
    <t>30.1</t>
  </si>
  <si>
    <t>30.1.1</t>
  </si>
  <si>
    <t>30.1.2</t>
  </si>
  <si>
    <t>30.2</t>
  </si>
  <si>
    <t>30.2.1</t>
  </si>
  <si>
    <t>30.3</t>
  </si>
  <si>
    <t>30.3.1</t>
  </si>
  <si>
    <t>30.3.2</t>
  </si>
  <si>
    <t>30.3.3</t>
  </si>
  <si>
    <t>30.3.4</t>
  </si>
  <si>
    <t>30.3.5</t>
  </si>
  <si>
    <t>30.3.6</t>
  </si>
  <si>
    <t>30.4</t>
  </si>
  <si>
    <t>30.4.1</t>
  </si>
  <si>
    <t>30.4.2</t>
  </si>
  <si>
    <t>30.4.3</t>
  </si>
  <si>
    <t>30.4.4</t>
  </si>
  <si>
    <t>30.4.5</t>
  </si>
  <si>
    <t>30.4.6</t>
  </si>
  <si>
    <t>30.5</t>
  </si>
  <si>
    <t>30.5.1</t>
  </si>
  <si>
    <t>30.5.2</t>
  </si>
  <si>
    <t>30.5.3</t>
  </si>
  <si>
    <t>30.6</t>
  </si>
  <si>
    <t>30.6.1</t>
  </si>
  <si>
    <t>30.6.2</t>
  </si>
  <si>
    <t>31.1</t>
  </si>
  <si>
    <t>31.1.1</t>
  </si>
  <si>
    <t>31.1.2</t>
  </si>
  <si>
    <t>31.2</t>
  </si>
  <si>
    <t>31.2.1</t>
  </si>
  <si>
    <t>31.3</t>
  </si>
  <si>
    <t>31.3.1</t>
  </si>
  <si>
    <t>31.3.2</t>
  </si>
  <si>
    <t>31.3.3</t>
  </si>
  <si>
    <t>31.3.4</t>
  </si>
  <si>
    <t>31.3.5</t>
  </si>
  <si>
    <t>31.3.6</t>
  </si>
  <si>
    <t>31.4</t>
  </si>
  <si>
    <t>31.4.1</t>
  </si>
  <si>
    <t>31.4.2</t>
  </si>
  <si>
    <t>31.4.3</t>
  </si>
  <si>
    <t>31.4.4</t>
  </si>
  <si>
    <t>31.4.5</t>
  </si>
  <si>
    <t>31.4.6</t>
  </si>
  <si>
    <t>31.5</t>
  </si>
  <si>
    <t>31.5.1</t>
  </si>
  <si>
    <t>31.5.2</t>
  </si>
  <si>
    <t>31.5.3</t>
  </si>
  <si>
    <t>31.6</t>
  </si>
  <si>
    <t>31.6.1</t>
  </si>
  <si>
    <t>31.6.2</t>
  </si>
  <si>
    <t>32.1</t>
  </si>
  <si>
    <t>32.1.1</t>
  </si>
  <si>
    <t>32.1.2</t>
  </si>
  <si>
    <t>32.2</t>
  </si>
  <si>
    <t>32.2.1</t>
  </si>
  <si>
    <t>32.3</t>
  </si>
  <si>
    <t>32.3.1</t>
  </si>
  <si>
    <t>32.3.2</t>
  </si>
  <si>
    <t>32.3.3</t>
  </si>
  <si>
    <t>32.3.4</t>
  </si>
  <si>
    <t>32.3.5</t>
  </si>
  <si>
    <t>32.3.6</t>
  </si>
  <si>
    <t>32.4</t>
  </si>
  <si>
    <t>32.4.1</t>
  </si>
  <si>
    <t>32.4.2</t>
  </si>
  <si>
    <t>32.4.3</t>
  </si>
  <si>
    <t>32.4.4</t>
  </si>
  <si>
    <t>32.4.5</t>
  </si>
  <si>
    <t>32.4.6</t>
  </si>
  <si>
    <t>32.5</t>
  </si>
  <si>
    <t>32.5.1</t>
  </si>
  <si>
    <t>32.5.2</t>
  </si>
  <si>
    <t>32.5.3</t>
  </si>
  <si>
    <t>32.6</t>
  </si>
  <si>
    <t>32.6.1</t>
  </si>
  <si>
    <t>32.6.2</t>
  </si>
  <si>
    <t>RUA ANTÔNIO PORFÍRIO OLIVEIRA</t>
  </si>
  <si>
    <t>RUA ANTÔNIO TRIBUTINO</t>
  </si>
  <si>
    <t>RUA BENILDO FAUSTINO DA SILVA</t>
  </si>
  <si>
    <t>RUA EDGAR ALVES CABRAL</t>
  </si>
  <si>
    <t>RUA ESTEVAN MARINHO</t>
  </si>
  <si>
    <t>RUA ESTUDANTE KIMARA FERREIRA</t>
  </si>
  <si>
    <t>RUA FRANCISCO CÂNDIDO BOMFIM</t>
  </si>
  <si>
    <t>RUA FRANCISCO SEVERINO SOUSA</t>
  </si>
  <si>
    <t>RUA GENÉZIO ALEXANDRINO VALE</t>
  </si>
  <si>
    <t>RUA GLEIDSONALDO GARRIDO GOMES</t>
  </si>
  <si>
    <t>RUA JARBAS ALEXANDRINO DA SILVA</t>
  </si>
  <si>
    <t>RUA JOANA SOARES DE ARAÚJO</t>
  </si>
  <si>
    <t>RUA JOÃO LACERDA MOREIRA</t>
  </si>
  <si>
    <t>RUA JOSÉ AMÉRICO DE ALMEIDA</t>
  </si>
  <si>
    <t>RUA JOSÉ AVELINO SOBRINHO</t>
  </si>
  <si>
    <t>RUA JOSÉ GARRIDO DE LACERDA</t>
  </si>
  <si>
    <t>RUA JOSELINA FARIAS ALMEIDA</t>
  </si>
  <si>
    <t>RUA MANOEL FERREIRA CAVALCANTE</t>
  </si>
  <si>
    <t>RUA MARIA ALVES BARBOSA</t>
  </si>
  <si>
    <t>RUA MARIA LUCINDA BOMFIM</t>
  </si>
  <si>
    <t>RUA MARIA RIBEIRO DA SILVA</t>
  </si>
  <si>
    <t>RUA MAXIMO ALGUSTO FERNANDES</t>
  </si>
  <si>
    <t>RUA MÔNICA MARIA PIRES</t>
  </si>
  <si>
    <t>RUA NELSON PEREIRA DE OLIVEIRA</t>
  </si>
  <si>
    <t>RUA PADRE GUILERME TOWN</t>
  </si>
  <si>
    <t>RUA RAIMUNDO LUIZ</t>
  </si>
  <si>
    <t>RUA SÃO PEDRO</t>
  </si>
  <si>
    <t>RUA VICENTE GREGÓRIO DE ANDRADE</t>
  </si>
  <si>
    <t>RUA ZILDA NITÃO DINIZ</t>
  </si>
  <si>
    <t>TRAVESSA CAPITÃO ANTÔNIO LEITE</t>
  </si>
  <si>
    <t>M3XKM</t>
  </si>
  <si>
    <t>Unid.</t>
  </si>
  <si>
    <t>13.3</t>
  </si>
  <si>
    <t>13.3.1</t>
  </si>
  <si>
    <t>13.3.2</t>
  </si>
  <si>
    <t>13.3.3</t>
  </si>
  <si>
    <t>13.3.4</t>
  </si>
  <si>
    <t>13.3.5</t>
  </si>
  <si>
    <t>13.3.6</t>
  </si>
  <si>
    <t>SOMA</t>
  </si>
  <si>
    <t>R$</t>
  </si>
  <si>
    <t>VALOR DA MEDIÇÃO - (PI)</t>
  </si>
  <si>
    <t>PRAZO DECORRIDO: 42 DIAS CORRIDOS</t>
  </si>
  <si>
    <t>PERÍODO: 01/07/2024 A 31/07/2024</t>
  </si>
  <si>
    <t>-</t>
  </si>
  <si>
    <t>MEDIÇÃO: 2ª. MEDIÇÃO PARCIAL</t>
  </si>
  <si>
    <t>MEDIÇÃO Nº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</si>
</sst>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R\$\ #,##0.00"/>
    <numFmt numFmtId="165" formatCode="#,##0.00000000"/>
    <numFmt numFmtId="166" formatCode="#,##0.00%"/>
    <numFmt numFmtId="167" formatCode="###,###,##0.00"/>
    <numFmt numFmtId="168" formatCode="&quot;R$&quot;\ #,##0.00"/>
  </numFmts>
  <fonts count="4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sz val="9"/>
      <name val="Calibri"/>
      <family val="2"/>
      <scheme val="minor"/>
    </font>
    <font>
      <b/>
      <sz val="11"/>
      <name val="Times New Roman"/>
      <family val="1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5" fillId="0" borderId="6"/>
  </cellStyleXfs>
  <cellXfs count="302">
    <xf numFmtId="0" fontId="0" fillId="0" borderId="0" xfId="0"/>
    <xf numFmtId="0" fontId="6" fillId="0" borderId="0" xfId="0" applyFont="1" applyAlignment="1">
      <alignment wrapText="1"/>
    </xf>
    <xf numFmtId="164" fontId="8" fillId="0" borderId="1" xfId="0" applyNumberFormat="1" applyFont="1" applyBorder="1" applyAlignment="1">
      <alignment horizontal="right" vertical="center" wrapText="1"/>
    </xf>
    <xf numFmtId="0" fontId="12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4" fontId="11" fillId="5" borderId="1" xfId="0" applyNumberFormat="1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center" wrapText="1"/>
    </xf>
    <xf numFmtId="2" fontId="11" fillId="0" borderId="1" xfId="0" applyNumberFormat="1" applyFont="1" applyBorder="1" applyAlignment="1">
      <alignment horizontal="center" vertical="center" shrinkToFit="1"/>
    </xf>
    <xf numFmtId="4" fontId="11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/>
    <xf numFmtId="0" fontId="13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5" borderId="1" xfId="0" applyFont="1" applyFill="1" applyBorder="1" applyAlignment="1">
      <alignment horizontal="left" vertical="center" wrapText="1"/>
    </xf>
    <xf numFmtId="2" fontId="11" fillId="5" borderId="1" xfId="0" applyNumberFormat="1" applyFont="1" applyFill="1" applyBorder="1" applyAlignment="1">
      <alignment horizontal="center" vertical="center" shrinkToFit="1"/>
    </xf>
    <xf numFmtId="2" fontId="11" fillId="5" borderId="1" xfId="0" applyNumberFormat="1" applyFont="1" applyFill="1" applyBorder="1" applyAlignment="1">
      <alignment horizontal="left" vertical="center" shrinkToFit="1"/>
    </xf>
    <xf numFmtId="0" fontId="12" fillId="6" borderId="0" xfId="0" applyFont="1" applyFill="1"/>
    <xf numFmtId="2" fontId="11" fillId="0" borderId="1" xfId="0" applyNumberFormat="1" applyFont="1" applyBorder="1" applyAlignment="1">
      <alignment horizontal="left" vertical="center" shrinkToFit="1"/>
    </xf>
    <xf numFmtId="0" fontId="11" fillId="5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3" fillId="5" borderId="1" xfId="0" applyFont="1" applyFill="1" applyBorder="1"/>
    <xf numFmtId="0" fontId="13" fillId="5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4" fontId="15" fillId="3" borderId="17" xfId="0" applyNumberFormat="1" applyFont="1" applyFill="1" applyBorder="1" applyAlignment="1">
      <alignment horizontal="center" vertical="top" wrapText="1"/>
    </xf>
    <xf numFmtId="4" fontId="16" fillId="3" borderId="17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17" fillId="0" borderId="0" xfId="0" applyFont="1"/>
    <xf numFmtId="0" fontId="18" fillId="0" borderId="0" xfId="0" applyFont="1"/>
    <xf numFmtId="4" fontId="13" fillId="0" borderId="16" xfId="0" applyNumberFormat="1" applyFont="1" applyBorder="1" applyAlignment="1">
      <alignment horizontal="center" wrapText="1"/>
    </xf>
    <xf numFmtId="4" fontId="18" fillId="0" borderId="16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5" fillId="7" borderId="27" xfId="0" applyFont="1" applyFill="1" applyBorder="1" applyAlignment="1">
      <alignment horizontal="center" vertical="center" wrapText="1"/>
    </xf>
    <xf numFmtId="0" fontId="15" fillId="7" borderId="28" xfId="0" applyFont="1" applyFill="1" applyBorder="1" applyAlignment="1">
      <alignment horizontal="center" vertical="center" wrapText="1"/>
    </xf>
    <xf numFmtId="4" fontId="15" fillId="7" borderId="29" xfId="0" applyNumberFormat="1" applyFont="1" applyFill="1" applyBorder="1" applyAlignment="1">
      <alignment horizontal="center" vertical="center" wrapText="1"/>
    </xf>
    <xf numFmtId="4" fontId="16" fillId="7" borderId="29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wrapText="1"/>
    </xf>
    <xf numFmtId="0" fontId="13" fillId="8" borderId="1" xfId="0" applyFont="1" applyFill="1" applyBorder="1" applyAlignment="1">
      <alignment horizontal="left" wrapText="1"/>
    </xf>
    <xf numFmtId="0" fontId="15" fillId="8" borderId="1" xfId="0" applyFont="1" applyFill="1" applyBorder="1" applyAlignment="1">
      <alignment horizontal="center" vertical="top" wrapText="1"/>
    </xf>
    <xf numFmtId="0" fontId="15" fillId="8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center" vertical="center" wrapText="1"/>
    </xf>
    <xf numFmtId="4" fontId="20" fillId="8" borderId="1" xfId="0" applyNumberFormat="1" applyFont="1" applyFill="1" applyBorder="1" applyAlignment="1">
      <alignment horizontal="center" vertical="center" shrinkToFit="1"/>
    </xf>
    <xf numFmtId="4" fontId="20" fillId="8" borderId="1" xfId="0" applyNumberFormat="1" applyFont="1" applyFill="1" applyBorder="1" applyAlignment="1">
      <alignment horizontal="center" vertical="top" shrinkToFit="1"/>
    </xf>
    <xf numFmtId="4" fontId="21" fillId="8" borderId="1" xfId="0" applyNumberFormat="1" applyFont="1" applyFill="1" applyBorder="1" applyAlignment="1">
      <alignment horizontal="center" vertical="center" shrinkToFit="1"/>
    </xf>
    <xf numFmtId="10" fontId="17" fillId="0" borderId="0" xfId="0" applyNumberFormat="1" applyFont="1"/>
    <xf numFmtId="9" fontId="17" fillId="0" borderId="0" xfId="0" applyNumberFormat="1" applyFont="1"/>
    <xf numFmtId="0" fontId="12" fillId="5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left" wrapText="1"/>
    </xf>
    <xf numFmtId="0" fontId="15" fillId="5" borderId="1" xfId="0" applyFont="1" applyFill="1" applyBorder="1" applyAlignment="1">
      <alignment horizontal="center" vertical="top" wrapText="1"/>
    </xf>
    <xf numFmtId="0" fontId="15" fillId="5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center" vertical="center" wrapText="1"/>
    </xf>
    <xf numFmtId="4" fontId="20" fillId="5" borderId="1" xfId="0" applyNumberFormat="1" applyFont="1" applyFill="1" applyBorder="1" applyAlignment="1">
      <alignment horizontal="center" vertical="center" shrinkToFit="1"/>
    </xf>
    <xf numFmtId="4" fontId="20" fillId="5" borderId="1" xfId="0" applyNumberFormat="1" applyFont="1" applyFill="1" applyBorder="1" applyAlignment="1">
      <alignment horizontal="center" vertical="top" shrinkToFit="1"/>
    </xf>
    <xf numFmtId="4" fontId="21" fillId="5" borderId="1" xfId="0" applyNumberFormat="1" applyFont="1" applyFill="1" applyBorder="1" applyAlignment="1">
      <alignment horizontal="center" vertical="center" shrinkToFit="1"/>
    </xf>
    <xf numFmtId="4" fontId="17" fillId="0" borderId="0" xfId="0" applyNumberFormat="1" applyFont="1"/>
    <xf numFmtId="0" fontId="14" fillId="0" borderId="1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2" fontId="20" fillId="0" borderId="1" xfId="0" applyNumberFormat="1" applyFont="1" applyBorder="1" applyAlignment="1">
      <alignment horizontal="center" vertical="center" shrinkToFit="1"/>
    </xf>
    <xf numFmtId="4" fontId="20" fillId="0" borderId="1" xfId="0" applyNumberFormat="1" applyFont="1" applyBorder="1" applyAlignment="1">
      <alignment horizontal="center" vertical="center" shrinkToFit="1"/>
    </xf>
    <xf numFmtId="4" fontId="21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165" fontId="24" fillId="0" borderId="1" xfId="0" applyNumberFormat="1" applyFont="1" applyBorder="1" applyAlignment="1">
      <alignment horizontal="right" vertical="top" wrapText="1"/>
    </xf>
    <xf numFmtId="164" fontId="24" fillId="0" borderId="1" xfId="0" applyNumberFormat="1" applyFont="1" applyBorder="1" applyAlignment="1">
      <alignment horizontal="right" vertical="top" wrapText="1"/>
    </xf>
    <xf numFmtId="164" fontId="23" fillId="0" borderId="1" xfId="0" applyNumberFormat="1" applyFont="1" applyBorder="1" applyAlignment="1">
      <alignment horizontal="right" vertical="top" wrapText="1"/>
    </xf>
    <xf numFmtId="0" fontId="22" fillId="9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166" fontId="27" fillId="0" borderId="9" xfId="0" applyNumberFormat="1" applyFont="1" applyBorder="1" applyAlignment="1">
      <alignment horizontal="right" vertical="center" wrapText="1"/>
    </xf>
    <xf numFmtId="0" fontId="6" fillId="0" borderId="9" xfId="0" applyFont="1" applyBorder="1" applyAlignment="1">
      <alignment wrapText="1"/>
    </xf>
    <xf numFmtId="166" fontId="10" fillId="0" borderId="9" xfId="0" applyNumberFormat="1" applyFont="1" applyBorder="1" applyAlignment="1">
      <alignment horizontal="right" vertical="center" wrapText="1"/>
    </xf>
    <xf numFmtId="164" fontId="26" fillId="9" borderId="1" xfId="0" applyNumberFormat="1" applyFont="1" applyFill="1" applyBorder="1" applyAlignment="1">
      <alignment horizontal="right" vertical="center" wrapText="1"/>
    </xf>
    <xf numFmtId="0" fontId="6" fillId="0" borderId="10" xfId="0" applyFont="1" applyBorder="1" applyAlignment="1">
      <alignment wrapText="1"/>
    </xf>
    <xf numFmtId="164" fontId="7" fillId="0" borderId="1" xfId="0" applyNumberFormat="1" applyFont="1" applyBorder="1" applyAlignment="1">
      <alignment horizontal="right" vertical="center" wrapText="1"/>
    </xf>
    <xf numFmtId="0" fontId="6" fillId="9" borderId="30" xfId="0" applyFont="1" applyFill="1" applyBorder="1" applyAlignment="1">
      <alignment wrapText="1"/>
    </xf>
    <xf numFmtId="0" fontId="6" fillId="9" borderId="31" xfId="0" applyFont="1" applyFill="1" applyBorder="1" applyAlignment="1">
      <alignment wrapText="1"/>
    </xf>
    <xf numFmtId="164" fontId="26" fillId="9" borderId="33" xfId="0" applyNumberFormat="1" applyFont="1" applyFill="1" applyBorder="1" applyAlignment="1">
      <alignment horizontal="right" vertical="center" wrapText="1"/>
    </xf>
    <xf numFmtId="0" fontId="6" fillId="9" borderId="34" xfId="0" applyFont="1" applyFill="1" applyBorder="1" applyAlignment="1">
      <alignment wrapText="1"/>
    </xf>
    <xf numFmtId="0" fontId="6" fillId="9" borderId="35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left" vertical="top" wrapText="1"/>
    </xf>
    <xf numFmtId="4" fontId="26" fillId="0" borderId="1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horizontal="right" vertical="center" wrapText="1"/>
    </xf>
    <xf numFmtId="4" fontId="7" fillId="0" borderId="1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right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5" fillId="11" borderId="1" xfId="0" applyFont="1" applyFill="1" applyBorder="1"/>
    <xf numFmtId="0" fontId="36" fillId="5" borderId="1" xfId="0" applyFont="1" applyFill="1" applyBorder="1" applyAlignment="1">
      <alignment horizontal="left"/>
    </xf>
    <xf numFmtId="0" fontId="37" fillId="0" borderId="2" xfId="0" applyFont="1" applyBorder="1" applyAlignment="1">
      <alignment horizontal="right" vertical="center" wrapText="1"/>
    </xf>
    <xf numFmtId="2" fontId="11" fillId="0" borderId="4" xfId="0" applyNumberFormat="1" applyFont="1" applyBorder="1" applyAlignment="1">
      <alignment horizontal="left" vertical="center" shrinkToFit="1"/>
    </xf>
    <xf numFmtId="2" fontId="11" fillId="5" borderId="33" xfId="0" applyNumberFormat="1" applyFont="1" applyFill="1" applyBorder="1" applyAlignment="1">
      <alignment horizontal="center" vertical="center" shrinkToFit="1"/>
    </xf>
    <xf numFmtId="2" fontId="11" fillId="0" borderId="37" xfId="0" applyNumberFormat="1" applyFont="1" applyBorder="1" applyAlignment="1">
      <alignment horizontal="center" vertical="center" shrinkToFit="1"/>
    </xf>
    <xf numFmtId="0" fontId="36" fillId="5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right" vertical="center" wrapText="1"/>
    </xf>
    <xf numFmtId="2" fontId="11" fillId="0" borderId="38" xfId="0" applyNumberFormat="1" applyFont="1" applyBorder="1" applyAlignment="1">
      <alignment horizontal="center" vertical="center" shrinkToFit="1"/>
    </xf>
    <xf numFmtId="2" fontId="11" fillId="0" borderId="32" xfId="0" applyNumberFormat="1" applyFont="1" applyBorder="1" applyAlignment="1">
      <alignment horizontal="left" vertical="center" shrinkToFit="1"/>
    </xf>
    <xf numFmtId="2" fontId="11" fillId="5" borderId="10" xfId="0" applyNumberFormat="1" applyFont="1" applyFill="1" applyBorder="1" applyAlignment="1">
      <alignment horizontal="left" vertical="center" shrinkToFit="1"/>
    </xf>
    <xf numFmtId="0" fontId="37" fillId="0" borderId="37" xfId="0" applyFont="1" applyBorder="1" applyAlignment="1">
      <alignment horizontal="right" vertical="center" wrapText="1"/>
    </xf>
    <xf numFmtId="2" fontId="11" fillId="0" borderId="37" xfId="0" applyNumberFormat="1" applyFont="1" applyBorder="1" applyAlignment="1">
      <alignment horizontal="left" vertical="center" shrinkToFit="1"/>
    </xf>
    <xf numFmtId="0" fontId="11" fillId="5" borderId="33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33" xfId="0" applyFont="1" applyFill="1" applyBorder="1" applyAlignment="1">
      <alignment horizontal="center" vertical="center" wrapText="1"/>
    </xf>
    <xf numFmtId="0" fontId="12" fillId="13" borderId="0" xfId="0" applyFont="1" applyFill="1"/>
    <xf numFmtId="0" fontId="0" fillId="13" borderId="0" xfId="0" applyFill="1"/>
    <xf numFmtId="0" fontId="37" fillId="5" borderId="1" xfId="0" applyFont="1" applyFill="1" applyBorder="1" applyAlignment="1">
      <alignment horizontal="left" vertical="center" wrapText="1"/>
    </xf>
    <xf numFmtId="0" fontId="11" fillId="12" borderId="2" xfId="0" applyFont="1" applyFill="1" applyBorder="1" applyAlignment="1">
      <alignment horizontal="left" vertical="center" wrapText="1"/>
    </xf>
    <xf numFmtId="2" fontId="11" fillId="5" borderId="33" xfId="0" applyNumberFormat="1" applyFont="1" applyFill="1" applyBorder="1" applyAlignment="1">
      <alignment horizontal="left" vertical="center" shrinkToFit="1"/>
    </xf>
    <xf numFmtId="2" fontId="11" fillId="5" borderId="39" xfId="0" applyNumberFormat="1" applyFont="1" applyFill="1" applyBorder="1" applyAlignment="1">
      <alignment horizontal="center" vertical="center" shrinkToFit="1"/>
    </xf>
    <xf numFmtId="0" fontId="11" fillId="12" borderId="37" xfId="0" applyFont="1" applyFill="1" applyBorder="1" applyAlignment="1">
      <alignment horizontal="center" vertical="center" wrapText="1"/>
    </xf>
    <xf numFmtId="0" fontId="36" fillId="12" borderId="37" xfId="0" applyFont="1" applyFill="1" applyBorder="1" applyAlignment="1">
      <alignment horizontal="center" vertical="center" wrapText="1"/>
    </xf>
    <xf numFmtId="0" fontId="11" fillId="12" borderId="37" xfId="0" applyFont="1" applyFill="1" applyBorder="1" applyAlignment="1">
      <alignment horizontal="left" vertical="center" wrapText="1"/>
    </xf>
    <xf numFmtId="0" fontId="38" fillId="0" borderId="2" xfId="0" applyFont="1" applyBorder="1" applyAlignment="1">
      <alignment horizontal="right" vertical="center" wrapText="1"/>
    </xf>
    <xf numFmtId="0" fontId="38" fillId="0" borderId="37" xfId="0" applyFont="1" applyBorder="1" applyAlignment="1">
      <alignment horizontal="right" vertical="center" wrapText="1"/>
    </xf>
    <xf numFmtId="0" fontId="40" fillId="0" borderId="37" xfId="0" applyFont="1" applyBorder="1" applyAlignment="1">
      <alignment horizontal="center" vertical="center" wrapText="1"/>
    </xf>
    <xf numFmtId="0" fontId="36" fillId="12" borderId="2" xfId="0" applyFont="1" applyFill="1" applyBorder="1" applyAlignment="1">
      <alignment horizontal="right" vertical="center" wrapText="1"/>
    </xf>
    <xf numFmtId="4" fontId="11" fillId="12" borderId="37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right" vertical="center" wrapText="1"/>
    </xf>
    <xf numFmtId="0" fontId="36" fillId="5" borderId="2" xfId="0" applyFont="1" applyFill="1" applyBorder="1" applyAlignment="1">
      <alignment horizontal="center" vertical="center" wrapText="1"/>
    </xf>
    <xf numFmtId="0" fontId="37" fillId="5" borderId="37" xfId="0" applyFont="1" applyFill="1" applyBorder="1" applyAlignment="1">
      <alignment horizontal="left" vertical="center" wrapText="1"/>
    </xf>
    <xf numFmtId="2" fontId="11" fillId="5" borderId="37" xfId="0" applyNumberFormat="1" applyFont="1" applyFill="1" applyBorder="1" applyAlignment="1">
      <alignment horizontal="center" vertical="center" shrinkToFit="1"/>
    </xf>
    <xf numFmtId="0" fontId="38" fillId="0" borderId="30" xfId="0" applyFont="1" applyBorder="1" applyAlignment="1">
      <alignment horizontal="right" vertical="center" wrapText="1"/>
    </xf>
    <xf numFmtId="0" fontId="40" fillId="0" borderId="38" xfId="0" applyFont="1" applyBorder="1" applyAlignment="1">
      <alignment horizontal="center" vertical="center" wrapText="1"/>
    </xf>
    <xf numFmtId="0" fontId="39" fillId="0" borderId="30" xfId="0" applyFont="1" applyBorder="1" applyAlignment="1">
      <alignment horizontal="right" vertical="center" wrapText="1"/>
    </xf>
    <xf numFmtId="0" fontId="39" fillId="0" borderId="37" xfId="0" applyFont="1" applyBorder="1" applyAlignment="1">
      <alignment horizontal="right" vertical="center" wrapText="1"/>
    </xf>
    <xf numFmtId="2" fontId="11" fillId="5" borderId="36" xfId="0" applyNumberFormat="1" applyFont="1" applyFill="1" applyBorder="1" applyAlignment="1">
      <alignment horizontal="center" vertical="center" shrinkToFit="1"/>
    </xf>
    <xf numFmtId="2" fontId="11" fillId="12" borderId="37" xfId="0" applyNumberFormat="1" applyFont="1" applyFill="1" applyBorder="1" applyAlignment="1">
      <alignment horizontal="center" vertical="center" wrapText="1"/>
    </xf>
    <xf numFmtId="0" fontId="39" fillId="0" borderId="2" xfId="0" applyFont="1" applyBorder="1" applyAlignment="1">
      <alignment horizontal="right" vertical="center" wrapText="1"/>
    </xf>
    <xf numFmtId="2" fontId="11" fillId="12" borderId="1" xfId="0" applyNumberFormat="1" applyFont="1" applyFill="1" applyBorder="1" applyAlignment="1">
      <alignment horizontal="left" vertical="center" shrinkToFit="1"/>
    </xf>
    <xf numFmtId="0" fontId="13" fillId="5" borderId="33" xfId="0" applyFont="1" applyFill="1" applyBorder="1" applyAlignment="1">
      <alignment horizontal="left" vertical="center" wrapText="1"/>
    </xf>
    <xf numFmtId="0" fontId="13" fillId="12" borderId="37" xfId="0" applyFont="1" applyFill="1" applyBorder="1" applyAlignment="1">
      <alignment horizontal="left" vertical="center" wrapText="1"/>
    </xf>
    <xf numFmtId="2" fontId="11" fillId="12" borderId="37" xfId="0" applyNumberFormat="1" applyFont="1" applyFill="1" applyBorder="1" applyAlignment="1">
      <alignment horizontal="center" vertical="center" shrinkToFit="1"/>
    </xf>
    <xf numFmtId="0" fontId="9" fillId="13" borderId="37" xfId="0" applyFont="1" applyFill="1" applyBorder="1"/>
    <xf numFmtId="2" fontId="11" fillId="12" borderId="37" xfId="0" applyNumberFormat="1" applyFont="1" applyFill="1" applyBorder="1" applyAlignment="1">
      <alignment horizontal="left" vertical="center" shrinkToFit="1"/>
    </xf>
    <xf numFmtId="0" fontId="41" fillId="0" borderId="30" xfId="0" applyFont="1" applyBorder="1" applyAlignment="1">
      <alignment horizontal="right" vertical="center" wrapText="1"/>
    </xf>
    <xf numFmtId="0" fontId="41" fillId="0" borderId="37" xfId="0" applyFont="1" applyBorder="1" applyAlignment="1">
      <alignment horizontal="right" vertical="center" wrapText="1"/>
    </xf>
    <xf numFmtId="0" fontId="42" fillId="13" borderId="37" xfId="0" applyFont="1" applyFill="1" applyBorder="1"/>
    <xf numFmtId="0" fontId="9" fillId="13" borderId="37" xfId="0" applyFont="1" applyFill="1" applyBorder="1" applyAlignment="1">
      <alignment horizontal="center"/>
    </xf>
    <xf numFmtId="2" fontId="36" fillId="12" borderId="37" xfId="0" applyNumberFormat="1" applyFont="1" applyFill="1" applyBorder="1" applyAlignment="1">
      <alignment horizontal="center" vertical="center" shrinkToFit="1"/>
    </xf>
    <xf numFmtId="0" fontId="13" fillId="12" borderId="2" xfId="0" applyFont="1" applyFill="1" applyBorder="1" applyAlignment="1">
      <alignment horizontal="left" vertical="center" wrapText="1"/>
    </xf>
    <xf numFmtId="0" fontId="43" fillId="0" borderId="37" xfId="0" applyFont="1" applyBorder="1" applyAlignment="1">
      <alignment horizontal="right" vertical="center" wrapText="1"/>
    </xf>
    <xf numFmtId="2" fontId="37" fillId="12" borderId="37" xfId="0" applyNumberFormat="1" applyFont="1" applyFill="1" applyBorder="1" applyAlignment="1">
      <alignment horizontal="center" vertical="center" shrinkToFit="1"/>
    </xf>
    <xf numFmtId="2" fontId="11" fillId="5" borderId="39" xfId="0" applyNumberFormat="1" applyFont="1" applyFill="1" applyBorder="1" applyAlignment="1">
      <alignment horizontal="left" vertical="center" shrinkToFi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left" vertical="center" wrapText="1"/>
    </xf>
    <xf numFmtId="0" fontId="13" fillId="12" borderId="38" xfId="0" applyFont="1" applyFill="1" applyBorder="1" applyAlignment="1">
      <alignment horizontal="left" vertical="center" wrapText="1"/>
    </xf>
    <xf numFmtId="2" fontId="11" fillId="12" borderId="38" xfId="0" applyNumberFormat="1" applyFont="1" applyFill="1" applyBorder="1" applyAlignment="1">
      <alignment horizontal="center" vertical="center" shrinkToFit="1"/>
    </xf>
    <xf numFmtId="2" fontId="11" fillId="12" borderId="33" xfId="0" applyNumberFormat="1" applyFont="1" applyFill="1" applyBorder="1" applyAlignment="1">
      <alignment horizontal="left" vertical="center" shrinkToFit="1"/>
    </xf>
    <xf numFmtId="0" fontId="11" fillId="5" borderId="34" xfId="0" applyFont="1" applyFill="1" applyBorder="1" applyAlignment="1">
      <alignment horizontal="left" vertical="center" wrapText="1"/>
    </xf>
    <xf numFmtId="0" fontId="11" fillId="5" borderId="35" xfId="0" applyFont="1" applyFill="1" applyBorder="1" applyAlignment="1">
      <alignment horizontal="left" vertical="center" wrapText="1"/>
    </xf>
    <xf numFmtId="0" fontId="11" fillId="5" borderId="36" xfId="0" applyFont="1" applyFill="1" applyBorder="1" applyAlignment="1">
      <alignment horizontal="left" vertical="center" wrapText="1"/>
    </xf>
    <xf numFmtId="0" fontId="37" fillId="12" borderId="37" xfId="0" applyFont="1" applyFill="1" applyBorder="1" applyAlignment="1">
      <alignment horizontal="right" vertical="center" wrapText="1"/>
    </xf>
    <xf numFmtId="0" fontId="11" fillId="4" borderId="10" xfId="0" applyFont="1" applyFill="1" applyBorder="1" applyAlignment="1">
      <alignment horizontal="center" vertical="center" wrapText="1"/>
    </xf>
    <xf numFmtId="4" fontId="11" fillId="4" borderId="10" xfId="0" applyNumberFormat="1" applyFont="1" applyFill="1" applyBorder="1" applyAlignment="1">
      <alignment horizontal="center" vertical="center" shrinkToFit="1"/>
    </xf>
    <xf numFmtId="0" fontId="0" fillId="13" borderId="47" xfId="0" applyFill="1" applyBorder="1"/>
    <xf numFmtId="0" fontId="5" fillId="13" borderId="0" xfId="0" applyFont="1" applyFill="1"/>
    <xf numFmtId="4" fontId="0" fillId="13" borderId="51" xfId="0" applyNumberFormat="1" applyFill="1" applyBorder="1" applyAlignment="1">
      <alignment horizontal="right"/>
    </xf>
    <xf numFmtId="4" fontId="0" fillId="13" borderId="53" xfId="0" applyNumberFormat="1" applyFill="1" applyBorder="1" applyAlignment="1">
      <alignment horizontal="right"/>
    </xf>
    <xf numFmtId="0" fontId="0" fillId="13" borderId="6" xfId="0" applyFill="1" applyBorder="1"/>
    <xf numFmtId="0" fontId="11" fillId="4" borderId="10" xfId="0" applyFont="1" applyFill="1" applyBorder="1" applyAlignment="1">
      <alignment horizontal="left" vertical="center" wrapText="1"/>
    </xf>
    <xf numFmtId="4" fontId="11" fillId="0" borderId="1" xfId="0" applyNumberFormat="1" applyFont="1" applyBorder="1" applyAlignment="1">
      <alignment horizontal="center" vertical="center" wrapText="1" shrinkToFit="1"/>
    </xf>
    <xf numFmtId="2" fontId="11" fillId="0" borderId="1" xfId="0" applyNumberFormat="1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left" vertical="center"/>
    </xf>
    <xf numFmtId="168" fontId="11" fillId="5" borderId="1" xfId="0" applyNumberFormat="1" applyFont="1" applyFill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 vertical="center" shrinkToFit="1"/>
    </xf>
    <xf numFmtId="168" fontId="11" fillId="0" borderId="1" xfId="0" applyNumberFormat="1" applyFont="1" applyBorder="1" applyAlignment="1">
      <alignment horizontal="center" vertical="center" wrapText="1" shrinkToFit="1"/>
    </xf>
    <xf numFmtId="168" fontId="11" fillId="4" borderId="10" xfId="0" applyNumberFormat="1" applyFont="1" applyFill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/>
    </xf>
    <xf numFmtId="4" fontId="0" fillId="13" borderId="0" xfId="0" applyNumberFormat="1" applyFill="1"/>
    <xf numFmtId="4" fontId="0" fillId="13" borderId="6" xfId="0" applyNumberFormat="1" applyFill="1" applyBorder="1"/>
    <xf numFmtId="4" fontId="11" fillId="4" borderId="10" xfId="0" applyNumberFormat="1" applyFont="1" applyFill="1" applyBorder="1" applyAlignment="1">
      <alignment horizontal="center"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0" fontId="11" fillId="4" borderId="55" xfId="0" applyFont="1" applyFill="1" applyBorder="1" applyAlignment="1">
      <alignment horizontal="center" vertical="center" wrapText="1"/>
    </xf>
    <xf numFmtId="0" fontId="11" fillId="4" borderId="54" xfId="0" applyFont="1" applyFill="1" applyBorder="1" applyAlignment="1">
      <alignment horizontal="center" vertical="center" wrapText="1"/>
    </xf>
    <xf numFmtId="4" fontId="11" fillId="0" borderId="33" xfId="0" applyNumberFormat="1" applyFont="1" applyBorder="1" applyAlignment="1">
      <alignment horizontal="center" vertical="center" shrinkToFit="1"/>
    </xf>
    <xf numFmtId="4" fontId="11" fillId="0" borderId="2" xfId="0" applyNumberFormat="1" applyFont="1" applyBorder="1" applyAlignment="1">
      <alignment horizontal="center" vertical="center" shrinkToFit="1"/>
    </xf>
    <xf numFmtId="4" fontId="11" fillId="0" borderId="37" xfId="0" applyNumberFormat="1" applyFont="1" applyBorder="1" applyAlignment="1">
      <alignment horizontal="center" vertical="center" shrinkToFit="1"/>
    </xf>
    <xf numFmtId="0" fontId="11" fillId="5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left" vertical="center"/>
    </xf>
    <xf numFmtId="4" fontId="11" fillId="5" borderId="6" xfId="0" applyNumberFormat="1" applyFont="1" applyFill="1" applyBorder="1" applyAlignment="1">
      <alignment horizontal="center" vertical="center"/>
    </xf>
    <xf numFmtId="168" fontId="11" fillId="5" borderId="6" xfId="0" applyNumberFormat="1" applyFont="1" applyFill="1" applyBorder="1" applyAlignment="1">
      <alignment horizontal="center" vertical="center"/>
    </xf>
    <xf numFmtId="0" fontId="3" fillId="13" borderId="0" xfId="0" applyFont="1" applyFill="1"/>
    <xf numFmtId="0" fontId="3" fillId="13" borderId="0" xfId="0" quotePrefix="1" applyFont="1" applyFill="1"/>
    <xf numFmtId="4" fontId="11" fillId="0" borderId="1" xfId="0" quotePrefix="1" applyNumberFormat="1" applyFont="1" applyBorder="1" applyAlignment="1">
      <alignment horizontal="center" vertical="center" shrinkToFit="1"/>
    </xf>
    <xf numFmtId="0" fontId="5" fillId="13" borderId="52" xfId="0" applyFont="1" applyFill="1" applyBorder="1" applyAlignment="1">
      <alignment horizontal="right"/>
    </xf>
    <xf numFmtId="0" fontId="5" fillId="13" borderId="6" xfId="0" applyFont="1" applyFill="1" applyBorder="1" applyAlignment="1">
      <alignment horizontal="right"/>
    </xf>
    <xf numFmtId="0" fontId="11" fillId="4" borderId="55" xfId="0" applyFont="1" applyFill="1" applyBorder="1" applyAlignment="1">
      <alignment horizontal="center" vertical="center" wrapText="1"/>
    </xf>
    <xf numFmtId="0" fontId="11" fillId="4" borderId="54" xfId="0" applyFont="1" applyFill="1" applyBorder="1" applyAlignment="1">
      <alignment horizontal="center" vertical="center" wrapText="1"/>
    </xf>
    <xf numFmtId="0" fontId="5" fillId="13" borderId="46" xfId="0" applyFont="1" applyFill="1" applyBorder="1" applyAlignment="1">
      <alignment horizontal="left" vertical="center"/>
    </xf>
    <xf numFmtId="0" fontId="5" fillId="13" borderId="47" xfId="0" applyFont="1" applyFill="1" applyBorder="1" applyAlignment="1">
      <alignment horizontal="left" vertical="center"/>
    </xf>
    <xf numFmtId="0" fontId="5" fillId="13" borderId="47" xfId="0" applyFont="1" applyFill="1" applyBorder="1" applyAlignment="1">
      <alignment horizontal="right"/>
    </xf>
    <xf numFmtId="0" fontId="5" fillId="13" borderId="48" xfId="0" applyFont="1" applyFill="1" applyBorder="1" applyAlignment="1">
      <alignment horizontal="right"/>
    </xf>
    <xf numFmtId="0" fontId="9" fillId="0" borderId="54" xfId="0" applyFont="1" applyBorder="1"/>
    <xf numFmtId="0" fontId="11" fillId="4" borderId="55" xfId="0" applyFont="1" applyFill="1" applyBorder="1" applyAlignment="1">
      <alignment horizontal="left" vertical="center" wrapText="1"/>
    </xf>
    <xf numFmtId="0" fontId="5" fillId="13" borderId="47" xfId="0" applyFont="1" applyFill="1" applyBorder="1" applyAlignment="1">
      <alignment horizontal="center"/>
    </xf>
    <xf numFmtId="0" fontId="5" fillId="13" borderId="0" xfId="0" applyFont="1" applyFill="1"/>
    <xf numFmtId="0" fontId="2" fillId="13" borderId="0" xfId="0" applyFont="1" applyFill="1" applyAlignment="1">
      <alignment horizontal="left"/>
    </xf>
    <xf numFmtId="0" fontId="0" fillId="13" borderId="0" xfId="0" applyFill="1" applyAlignment="1">
      <alignment horizontal="left"/>
    </xf>
    <xf numFmtId="0" fontId="0" fillId="13" borderId="0" xfId="0" applyFill="1"/>
    <xf numFmtId="0" fontId="4" fillId="13" borderId="0" xfId="0" applyFont="1" applyFill="1"/>
    <xf numFmtId="0" fontId="5" fillId="13" borderId="49" xfId="0" applyFont="1" applyFill="1" applyBorder="1" applyAlignment="1">
      <alignment horizontal="right"/>
    </xf>
    <xf numFmtId="0" fontId="5" fillId="13" borderId="50" xfId="0" applyFont="1" applyFill="1" applyBorder="1" applyAlignment="1">
      <alignment horizontal="right"/>
    </xf>
    <xf numFmtId="2" fontId="36" fillId="12" borderId="40" xfId="0" applyNumberFormat="1" applyFont="1" applyFill="1" applyBorder="1" applyAlignment="1">
      <alignment horizontal="center" vertical="center" shrinkToFit="1"/>
    </xf>
    <xf numFmtId="2" fontId="36" fillId="12" borderId="41" xfId="0" applyNumberFormat="1" applyFont="1" applyFill="1" applyBorder="1" applyAlignment="1">
      <alignment horizontal="center" vertical="center" shrinkToFit="1"/>
    </xf>
    <xf numFmtId="2" fontId="36" fillId="12" borderId="42" xfId="0" applyNumberFormat="1" applyFont="1" applyFill="1" applyBorder="1" applyAlignment="1">
      <alignment horizontal="center" vertical="center" shrinkToFit="1"/>
    </xf>
    <xf numFmtId="2" fontId="11" fillId="12" borderId="41" xfId="0" applyNumberFormat="1" applyFont="1" applyFill="1" applyBorder="1" applyAlignment="1">
      <alignment horizontal="center" vertical="center" shrinkToFit="1"/>
    </xf>
    <xf numFmtId="2" fontId="11" fillId="12" borderId="42" xfId="0" applyNumberFormat="1" applyFont="1" applyFill="1" applyBorder="1" applyAlignment="1">
      <alignment horizontal="center" vertical="center" shrinkToFit="1"/>
    </xf>
    <xf numFmtId="2" fontId="36" fillId="12" borderId="43" xfId="0" applyNumberFormat="1" applyFont="1" applyFill="1" applyBorder="1" applyAlignment="1">
      <alignment horizontal="center" vertical="center" shrinkToFit="1"/>
    </xf>
    <xf numFmtId="2" fontId="36" fillId="12" borderId="44" xfId="0" applyNumberFormat="1" applyFont="1" applyFill="1" applyBorder="1" applyAlignment="1">
      <alignment horizontal="center" vertical="center" shrinkToFit="1"/>
    </xf>
    <xf numFmtId="2" fontId="36" fillId="12" borderId="45" xfId="0" applyNumberFormat="1" applyFont="1" applyFill="1" applyBorder="1" applyAlignment="1">
      <alignment horizontal="center" vertical="center" shrinkToFit="1"/>
    </xf>
    <xf numFmtId="2" fontId="11" fillId="5" borderId="8" xfId="0" applyNumberFormat="1" applyFont="1" applyFill="1" applyBorder="1" applyAlignment="1">
      <alignment horizontal="center" vertical="center" shrinkToFit="1"/>
    </xf>
    <xf numFmtId="0" fontId="9" fillId="0" borderId="6" xfId="0" applyFont="1" applyBorder="1"/>
    <xf numFmtId="0" fontId="9" fillId="0" borderId="17" xfId="0" applyFont="1" applyBorder="1"/>
    <xf numFmtId="2" fontId="11" fillId="5" borderId="2" xfId="0" applyNumberFormat="1" applyFont="1" applyFill="1" applyBorder="1" applyAlignment="1">
      <alignment horizontal="center" vertical="center" shrinkToFit="1"/>
    </xf>
    <xf numFmtId="0" fontId="9" fillId="0" borderId="3" xfId="0" applyFont="1" applyBorder="1"/>
    <xf numFmtId="0" fontId="9" fillId="0" borderId="4" xfId="0" applyFont="1" applyBorder="1"/>
    <xf numFmtId="0" fontId="36" fillId="12" borderId="40" xfId="0" applyFont="1" applyFill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wrapText="1"/>
    </xf>
    <xf numFmtId="0" fontId="11" fillId="12" borderId="42" xfId="0" applyFont="1" applyFill="1" applyBorder="1" applyAlignment="1">
      <alignment horizontal="center" vertical="center" wrapText="1"/>
    </xf>
    <xf numFmtId="2" fontId="36" fillId="5" borderId="37" xfId="0" applyNumberFormat="1" applyFont="1" applyFill="1" applyBorder="1" applyAlignment="1">
      <alignment horizontal="center" vertical="center" shrinkToFit="1"/>
    </xf>
    <xf numFmtId="0" fontId="9" fillId="0" borderId="37" xfId="0" applyFont="1" applyBorder="1"/>
    <xf numFmtId="2" fontId="36" fillId="5" borderId="2" xfId="0" applyNumberFormat="1" applyFont="1" applyFill="1" applyBorder="1" applyAlignment="1">
      <alignment horizontal="center" vertical="center" shrinkToFit="1"/>
    </xf>
    <xf numFmtId="2" fontId="36" fillId="5" borderId="30" xfId="0" applyNumberFormat="1" applyFont="1" applyFill="1" applyBorder="1" applyAlignment="1">
      <alignment horizontal="center" vertical="center" shrinkToFit="1"/>
    </xf>
    <xf numFmtId="0" fontId="9" fillId="0" borderId="31" xfId="0" applyFont="1" applyBorder="1"/>
    <xf numFmtId="0" fontId="9" fillId="0" borderId="32" xfId="0" applyFont="1" applyBorder="1"/>
    <xf numFmtId="0" fontId="11" fillId="4" borderId="11" xfId="0" applyFont="1" applyFill="1" applyBorder="1" applyAlignment="1">
      <alignment horizontal="center" vertical="center" wrapText="1"/>
    </xf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19" fillId="7" borderId="20" xfId="0" applyFont="1" applyFill="1" applyBorder="1" applyAlignment="1">
      <alignment horizontal="center" vertical="center" wrapText="1"/>
    </xf>
    <xf numFmtId="0" fontId="9" fillId="0" borderId="21" xfId="0" applyFont="1" applyBorder="1"/>
    <xf numFmtId="0" fontId="15" fillId="7" borderId="22" xfId="0" applyFont="1" applyFill="1" applyBorder="1" applyAlignment="1">
      <alignment horizontal="center" vertical="center" wrapText="1"/>
    </xf>
    <xf numFmtId="0" fontId="9" fillId="0" borderId="23" xfId="0" applyFont="1" applyBorder="1"/>
    <xf numFmtId="0" fontId="9" fillId="0" borderId="24" xfId="0" applyFont="1" applyBorder="1"/>
    <xf numFmtId="0" fontId="14" fillId="3" borderId="5" xfId="0" applyFont="1" applyFill="1" applyBorder="1" applyAlignment="1">
      <alignment horizontal="center" vertical="top" wrapText="1"/>
    </xf>
    <xf numFmtId="0" fontId="9" fillId="0" borderId="7" xfId="0" applyFont="1" applyBorder="1"/>
    <xf numFmtId="0" fontId="18" fillId="0" borderId="14" xfId="0" applyFont="1" applyBorder="1"/>
    <xf numFmtId="0" fontId="14" fillId="7" borderId="18" xfId="0" applyFont="1" applyFill="1" applyBorder="1" applyAlignment="1">
      <alignment horizontal="center" vertical="center" wrapText="1"/>
    </xf>
    <xf numFmtId="0" fontId="9" fillId="0" borderId="25" xfId="0" applyFont="1" applyBorder="1"/>
    <xf numFmtId="0" fontId="15" fillId="7" borderId="19" xfId="0" applyFont="1" applyFill="1" applyBorder="1" applyAlignment="1">
      <alignment horizontal="center" vertical="center" wrapText="1"/>
    </xf>
    <xf numFmtId="0" fontId="9" fillId="0" borderId="26" xfId="0" applyFont="1" applyBorder="1"/>
    <xf numFmtId="0" fontId="15" fillId="7" borderId="19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right" vertical="center" wrapText="1"/>
    </xf>
    <xf numFmtId="0" fontId="22" fillId="0" borderId="0" xfId="0" applyFont="1" applyAlignment="1">
      <alignment horizontal="left" vertical="top" wrapText="1"/>
    </xf>
    <xf numFmtId="0" fontId="0" fillId="0" borderId="0" xfId="0"/>
    <xf numFmtId="0" fontId="7" fillId="0" borderId="2" xfId="0" applyFont="1" applyBorder="1" applyAlignment="1">
      <alignment horizontal="left" vertical="center" wrapText="1"/>
    </xf>
    <xf numFmtId="0" fontId="23" fillId="2" borderId="2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right" vertical="top" wrapText="1"/>
    </xf>
    <xf numFmtId="0" fontId="6" fillId="0" borderId="0" xfId="0" applyFont="1" applyAlignment="1">
      <alignment wrapText="1"/>
    </xf>
    <xf numFmtId="0" fontId="6" fillId="0" borderId="15" xfId="0" applyFont="1" applyBorder="1" applyAlignment="1">
      <alignment horizontal="center" wrapText="1"/>
    </xf>
    <xf numFmtId="0" fontId="25" fillId="0" borderId="9" xfId="0" applyFont="1" applyBorder="1" applyAlignment="1">
      <alignment horizontal="left" vertical="center" wrapText="1"/>
    </xf>
    <xf numFmtId="0" fontId="9" fillId="0" borderId="10" xfId="0" applyFont="1" applyBorder="1"/>
    <xf numFmtId="0" fontId="26" fillId="0" borderId="9" xfId="0" applyFont="1" applyBorder="1" applyAlignment="1">
      <alignment horizontal="left" vertical="center" wrapText="1"/>
    </xf>
    <xf numFmtId="164" fontId="26" fillId="0" borderId="9" xfId="0" applyNumberFormat="1" applyFont="1" applyBorder="1" applyAlignment="1">
      <alignment horizontal="right" vertical="center" wrapText="1"/>
    </xf>
    <xf numFmtId="164" fontId="24" fillId="9" borderId="32" xfId="0" applyNumberFormat="1" applyFont="1" applyFill="1" applyBorder="1" applyAlignment="1">
      <alignment horizontal="right" vertical="center" wrapText="1"/>
    </xf>
    <xf numFmtId="0" fontId="9" fillId="0" borderId="36" xfId="0" applyFont="1" applyBorder="1"/>
    <xf numFmtId="164" fontId="26" fillId="9" borderId="9" xfId="0" applyNumberFormat="1" applyFont="1" applyFill="1" applyBorder="1" applyAlignment="1">
      <alignment horizontal="right"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wrapText="1"/>
    </xf>
    <xf numFmtId="167" fontId="26" fillId="0" borderId="2" xfId="0" applyNumberFormat="1" applyFont="1" applyBorder="1" applyAlignment="1">
      <alignment horizontal="right" vertical="top" wrapText="1"/>
    </xf>
    <xf numFmtId="4" fontId="7" fillId="0" borderId="2" xfId="0" applyNumberFormat="1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center" wrapText="1"/>
    </xf>
    <xf numFmtId="4" fontId="29" fillId="0" borderId="2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4" fontId="26" fillId="0" borderId="2" xfId="0" applyNumberFormat="1" applyFont="1" applyBorder="1" applyAlignment="1">
      <alignment horizontal="right" vertical="top" wrapText="1"/>
    </xf>
    <xf numFmtId="0" fontId="1" fillId="13" borderId="47" xfId="0" applyFont="1" applyFill="1" applyBorder="1" applyAlignment="1">
      <alignment horizontal="right"/>
    </xf>
  </cellXfs>
  <cellStyles count="2">
    <cellStyle name="Normal" xfId="0" builtinId="0"/>
    <cellStyle name="Normal 2" xfId="1" xr:uid="{DE1CE9AC-98C6-4D11-B9A7-D24D9E176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691244</xdr:colOff>
      <xdr:row>1</xdr:row>
      <xdr:rowOff>50022</xdr:rowOff>
    </xdr:from>
    <xdr:to>
      <xdr:col>10</xdr:col>
      <xdr:colOff>427652</xdr:colOff>
      <xdr:row>5</xdr:row>
      <xdr:rowOff>120300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7F5642-588F-8CE2-E174-1EB0AD30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5836" y="244410"/>
          <a:ext cx="3390898" cy="9515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879"/>
  <sheetViews>
    <sheetView tabSelected="1" zoomScale="49" workbookViewId="0">
      <selection activeCell="O11" sqref="O11"/>
    </sheetView>
  </sheetViews>
  <sheetFormatPr defaultColWidth="14.453125" defaultRowHeight="14.5"/>
  <cols>
    <col min="1" max="1" width="13.26953125" style="136" customWidth="1"/>
    <col min="2" max="2" width="80" style="136" customWidth="1"/>
    <col min="3" max="3" width="9.1796875" style="136" hidden="1" customWidth="1"/>
    <col min="4" max="4" width="8.7265625" style="136" customWidth="1"/>
    <col min="5" max="5" width="11" style="136" customWidth="1"/>
    <col min="6" max="6" width="11.453125" style="200" customWidth="1"/>
    <col min="7" max="7" width="13.81640625" style="200" customWidth="1"/>
    <col min="8" max="8" width="18.26953125" style="136" customWidth="1"/>
    <col min="9" max="9" width="18.6328125" style="136" bestFit="1" customWidth="1"/>
    <col min="10" max="10" width="33.81640625" style="136" bestFit="1" customWidth="1"/>
    <col min="11" max="11" width="18.453125" style="136" customWidth="1"/>
    <col min="12" max="16384" width="14.453125" style="136"/>
  </cols>
  <sheetData>
    <row r="1" spans="1:13" ht="15" thickBot="1">
      <c r="A1" s="221" t="s">
        <v>638</v>
      </c>
      <c r="B1" s="222"/>
      <c r="C1" s="186"/>
      <c r="D1" s="227" t="s">
        <v>639</v>
      </c>
      <c r="E1" s="227"/>
      <c r="F1" s="227"/>
      <c r="G1" s="227"/>
      <c r="H1" s="227"/>
      <c r="I1" s="301" t="s">
        <v>1502</v>
      </c>
      <c r="J1" s="223"/>
      <c r="K1" s="224"/>
    </row>
    <row r="3" spans="1:13" ht="14" customHeight="1">
      <c r="A3" s="228" t="s">
        <v>640</v>
      </c>
      <c r="B3" s="228"/>
      <c r="C3" s="228"/>
      <c r="D3" s="228"/>
      <c r="E3" s="228"/>
      <c r="F3" s="228"/>
    </row>
    <row r="4" spans="1:13" ht="20" customHeight="1">
      <c r="A4" s="229" t="s">
        <v>1501</v>
      </c>
      <c r="B4" s="230"/>
      <c r="D4" s="187" t="s">
        <v>643</v>
      </c>
      <c r="G4" s="136"/>
      <c r="I4" s="232"/>
      <c r="J4" s="231"/>
    </row>
    <row r="5" spans="1:13" ht="20" customHeight="1">
      <c r="A5" s="231" t="s">
        <v>641</v>
      </c>
      <c r="B5" s="231"/>
      <c r="D5" s="214" t="s">
        <v>1499</v>
      </c>
      <c r="I5" s="232"/>
      <c r="J5" s="228"/>
    </row>
    <row r="6" spans="1:13" ht="20" customHeight="1" thickBot="1">
      <c r="A6" s="231" t="s">
        <v>642</v>
      </c>
      <c r="B6" s="231"/>
    </row>
    <row r="7" spans="1:13">
      <c r="D7" s="214" t="s">
        <v>644</v>
      </c>
      <c r="I7" s="233" t="s">
        <v>646</v>
      </c>
      <c r="J7" s="234"/>
      <c r="K7" s="188">
        <v>5487662.5</v>
      </c>
    </row>
    <row r="8" spans="1:13">
      <c r="D8" s="214" t="s">
        <v>1498</v>
      </c>
      <c r="I8" s="217" t="s">
        <v>645</v>
      </c>
      <c r="J8" s="218"/>
      <c r="K8" s="189">
        <v>4126987.77</v>
      </c>
    </row>
    <row r="9" spans="1:13" ht="15" thickBot="1">
      <c r="A9" s="190"/>
      <c r="B9" s="190"/>
      <c r="C9" s="190"/>
      <c r="D9" s="190"/>
      <c r="E9" s="190"/>
      <c r="F9" s="201"/>
      <c r="G9" s="201"/>
      <c r="H9" s="190"/>
      <c r="I9" s="217" t="s">
        <v>647</v>
      </c>
      <c r="J9" s="218"/>
      <c r="K9" s="189">
        <f>K7-K8</f>
        <v>1360674.73</v>
      </c>
      <c r="M9" s="215" t="s">
        <v>1500</v>
      </c>
    </row>
    <row r="10" spans="1:13" ht="26" customHeight="1" thickTop="1" thickBot="1">
      <c r="A10" s="219" t="s">
        <v>2</v>
      </c>
      <c r="B10" s="226" t="s">
        <v>628</v>
      </c>
      <c r="C10" s="219" t="s">
        <v>64</v>
      </c>
      <c r="D10" s="219" t="s">
        <v>633</v>
      </c>
      <c r="E10" s="219" t="s">
        <v>629</v>
      </c>
      <c r="F10" s="219"/>
      <c r="G10" s="219" t="s">
        <v>632</v>
      </c>
      <c r="H10" s="205" t="s">
        <v>634</v>
      </c>
      <c r="I10" s="219" t="s">
        <v>636</v>
      </c>
      <c r="J10" s="219"/>
      <c r="K10" s="219" t="s">
        <v>637</v>
      </c>
      <c r="M10" s="215" t="s">
        <v>1500</v>
      </c>
    </row>
    <row r="11" spans="1:13" ht="27" thickTop="1" thickBot="1">
      <c r="A11" s="225"/>
      <c r="B11" s="225"/>
      <c r="C11" s="225"/>
      <c r="D11" s="220"/>
      <c r="E11" s="206" t="s">
        <v>630</v>
      </c>
      <c r="F11" s="206" t="s">
        <v>631</v>
      </c>
      <c r="G11" s="220"/>
      <c r="H11" s="206" t="s">
        <v>635</v>
      </c>
      <c r="I11" s="206" t="s">
        <v>630</v>
      </c>
      <c r="J11" s="206" t="s">
        <v>631</v>
      </c>
      <c r="K11" s="220"/>
      <c r="M11" s="215" t="s">
        <v>1500</v>
      </c>
    </row>
    <row r="12" spans="1:13">
      <c r="A12" s="184">
        <v>1</v>
      </c>
      <c r="B12" s="191" t="s">
        <v>654</v>
      </c>
      <c r="C12" s="184"/>
      <c r="D12" s="184"/>
      <c r="E12" s="184"/>
      <c r="F12" s="202"/>
      <c r="G12" s="202"/>
      <c r="H12" s="184"/>
      <c r="I12" s="185">
        <f>J12</f>
        <v>67676.830199999997</v>
      </c>
      <c r="J12" s="185">
        <f>SUM(J13,J17,J19,J26,J33,J37)</f>
        <v>67676.830199999997</v>
      </c>
      <c r="K12" s="185">
        <f>SUM(K13,K17,K19,K26,K33,K37)</f>
        <v>0</v>
      </c>
      <c r="M12" s="215" t="s">
        <v>1500</v>
      </c>
    </row>
    <row r="13" spans="1:13">
      <c r="A13" s="8" t="s">
        <v>9</v>
      </c>
      <c r="B13" s="9" t="s">
        <v>8</v>
      </c>
      <c r="C13" s="8"/>
      <c r="D13" s="8"/>
      <c r="E13" s="8"/>
      <c r="F13" s="203"/>
      <c r="G13" s="203"/>
      <c r="H13" s="195"/>
      <c r="I13" s="10">
        <f>SUM(I14:I16)</f>
        <v>5813.0454</v>
      </c>
      <c r="J13" s="10">
        <f>SUM(J14:J16)</f>
        <v>5813.0454</v>
      </c>
      <c r="K13" s="185">
        <f>SUM(K14,K17,K19,K26,K33,K37)</f>
        <v>0</v>
      </c>
      <c r="M13" s="215" t="s">
        <v>1500</v>
      </c>
    </row>
    <row r="14" spans="1:13">
      <c r="A14" s="12" t="s">
        <v>648</v>
      </c>
      <c r="B14" s="13" t="s">
        <v>649</v>
      </c>
      <c r="C14" s="11" t="s">
        <v>11</v>
      </c>
      <c r="D14" s="14" t="s">
        <v>124</v>
      </c>
      <c r="E14" s="14"/>
      <c r="F14" s="15"/>
      <c r="G14" s="15">
        <f>F14-E14</f>
        <v>0</v>
      </c>
      <c r="H14" s="196">
        <v>385.69</v>
      </c>
      <c r="I14" s="15">
        <f>H14*E14</f>
        <v>0</v>
      </c>
      <c r="J14" s="15">
        <f>H14*F14</f>
        <v>0</v>
      </c>
      <c r="K14" s="15">
        <f>J13-I13</f>
        <v>0</v>
      </c>
      <c r="M14" s="215" t="s">
        <v>1500</v>
      </c>
    </row>
    <row r="15" spans="1:13" ht="26">
      <c r="A15" s="12" t="s">
        <v>651</v>
      </c>
      <c r="B15" s="13" t="s">
        <v>653</v>
      </c>
      <c r="C15" s="11" t="s">
        <v>13</v>
      </c>
      <c r="D15" s="14" t="s">
        <v>124</v>
      </c>
      <c r="E15" s="14">
        <f>F15</f>
        <v>657.9</v>
      </c>
      <c r="F15" s="15">
        <v>657.9</v>
      </c>
      <c r="G15" s="15">
        <f t="shared" ref="G15:G16" si="0">F15-E15</f>
        <v>0</v>
      </c>
      <c r="H15" s="196">
        <v>0.36</v>
      </c>
      <c r="I15" s="15">
        <f t="shared" ref="I15:I16" si="1">H15*E15</f>
        <v>236.84399999999999</v>
      </c>
      <c r="J15" s="15">
        <f t="shared" ref="J15:J16" si="2">H15*F15</f>
        <v>236.84399999999999</v>
      </c>
      <c r="K15" s="15">
        <f t="shared" ref="K15:K16" si="3">J14-I14</f>
        <v>0</v>
      </c>
      <c r="M15" s="215" t="s">
        <v>1500</v>
      </c>
    </row>
    <row r="16" spans="1:13" ht="52">
      <c r="A16" s="12" t="s">
        <v>652</v>
      </c>
      <c r="B16" s="13" t="s">
        <v>650</v>
      </c>
      <c r="C16" s="11" t="s">
        <v>11</v>
      </c>
      <c r="D16" s="14" t="s">
        <v>124</v>
      </c>
      <c r="E16" s="14">
        <f>F16</f>
        <v>90.42</v>
      </c>
      <c r="F16" s="15">
        <v>90.42</v>
      </c>
      <c r="G16" s="15">
        <f t="shared" si="0"/>
        <v>0</v>
      </c>
      <c r="H16" s="196">
        <v>61.67</v>
      </c>
      <c r="I16" s="15">
        <f t="shared" si="1"/>
        <v>5576.2013999999999</v>
      </c>
      <c r="J16" s="15">
        <f t="shared" si="2"/>
        <v>5576.2013999999999</v>
      </c>
      <c r="K16" s="15">
        <f t="shared" si="3"/>
        <v>0</v>
      </c>
      <c r="M16" s="215" t="s">
        <v>1500</v>
      </c>
    </row>
    <row r="17" spans="1:13">
      <c r="A17" s="8" t="s">
        <v>12</v>
      </c>
      <c r="B17" s="9" t="s">
        <v>655</v>
      </c>
      <c r="C17" s="8"/>
      <c r="D17" s="8"/>
      <c r="E17" s="8"/>
      <c r="F17" s="203"/>
      <c r="G17" s="203"/>
      <c r="H17" s="195"/>
      <c r="I17" s="10">
        <f>SUM(I18:I18)</f>
        <v>250.00199999999998</v>
      </c>
      <c r="J17" s="10">
        <f>SUM(J18:J18)</f>
        <v>250.00199999999998</v>
      </c>
      <c r="K17" s="10">
        <f>K18</f>
        <v>0</v>
      </c>
      <c r="M17" s="215" t="s">
        <v>1500</v>
      </c>
    </row>
    <row r="18" spans="1:13" ht="26">
      <c r="A18" s="12" t="s">
        <v>657</v>
      </c>
      <c r="B18" s="13" t="s">
        <v>656</v>
      </c>
      <c r="C18" s="11"/>
      <c r="D18" s="14" t="s">
        <v>124</v>
      </c>
      <c r="E18" s="14">
        <f>F18</f>
        <v>657.9</v>
      </c>
      <c r="F18" s="15">
        <v>657.9</v>
      </c>
      <c r="G18" s="15">
        <f>F18-E18</f>
        <v>0</v>
      </c>
      <c r="H18" s="196">
        <v>0.38</v>
      </c>
      <c r="I18" s="15">
        <f>H18*E18</f>
        <v>250.00199999999998</v>
      </c>
      <c r="J18" s="15">
        <f>H18*F18</f>
        <v>250.00199999999998</v>
      </c>
      <c r="K18" s="15">
        <f>J18-I18</f>
        <v>0</v>
      </c>
      <c r="M18" s="215" t="s">
        <v>1500</v>
      </c>
    </row>
    <row r="19" spans="1:13">
      <c r="A19" s="8" t="s">
        <v>14</v>
      </c>
      <c r="B19" s="9" t="s">
        <v>658</v>
      </c>
      <c r="C19" s="8"/>
      <c r="D19" s="8"/>
      <c r="E19" s="8"/>
      <c r="F19" s="203"/>
      <c r="G19" s="203"/>
      <c r="H19" s="195"/>
      <c r="I19" s="10">
        <f>SUM(I20:I25)</f>
        <v>30231.228899999998</v>
      </c>
      <c r="J19" s="10">
        <f>SUM(J20:J25)</f>
        <v>30231.228899999998</v>
      </c>
      <c r="K19" s="10">
        <f>SUM(K20:K25)</f>
        <v>0</v>
      </c>
      <c r="M19" s="215" t="s">
        <v>1500</v>
      </c>
    </row>
    <row r="20" spans="1:13">
      <c r="A20" s="12" t="s">
        <v>664</v>
      </c>
      <c r="B20" s="13" t="s">
        <v>659</v>
      </c>
      <c r="C20" s="11"/>
      <c r="D20" s="14" t="s">
        <v>124</v>
      </c>
      <c r="E20" s="14">
        <f>F20</f>
        <v>657.9</v>
      </c>
      <c r="F20" s="15">
        <v>657.9</v>
      </c>
      <c r="G20" s="15">
        <f>F20-E20</f>
        <v>0</v>
      </c>
      <c r="H20" s="196">
        <v>1.75</v>
      </c>
      <c r="I20" s="15">
        <f>H20*E20</f>
        <v>1151.325</v>
      </c>
      <c r="J20" s="15">
        <f>H20*F20</f>
        <v>1151.325</v>
      </c>
      <c r="K20" s="15">
        <f>J20-I20</f>
        <v>0</v>
      </c>
      <c r="M20" s="215" t="s">
        <v>1500</v>
      </c>
    </row>
    <row r="21" spans="1:13" ht="26">
      <c r="A21" s="12" t="s">
        <v>665</v>
      </c>
      <c r="B21" s="13" t="s">
        <v>660</v>
      </c>
      <c r="C21" s="11"/>
      <c r="D21" s="14" t="s">
        <v>87</v>
      </c>
      <c r="E21" s="14">
        <f t="shared" ref="E21:E25" si="4">F21</f>
        <v>19.739999999999998</v>
      </c>
      <c r="F21" s="15">
        <v>19.739999999999998</v>
      </c>
      <c r="G21" s="15">
        <f t="shared" ref="G21:G25" si="5">F21-E21</f>
        <v>0</v>
      </c>
      <c r="H21" s="196">
        <v>10.32</v>
      </c>
      <c r="I21" s="15">
        <f t="shared" ref="I21:I25" si="6">H21*E21</f>
        <v>203.71679999999998</v>
      </c>
      <c r="J21" s="15">
        <f t="shared" ref="J21:J25" si="7">H21*F21</f>
        <v>203.71679999999998</v>
      </c>
      <c r="K21" s="15">
        <f t="shared" ref="K21:K25" si="8">J21-I21</f>
        <v>0</v>
      </c>
      <c r="M21" s="215" t="s">
        <v>1500</v>
      </c>
    </row>
    <row r="22" spans="1:13" ht="28.5" customHeight="1">
      <c r="A22" s="12" t="s">
        <v>666</v>
      </c>
      <c r="B22" s="13" t="s">
        <v>661</v>
      </c>
      <c r="C22" s="11"/>
      <c r="D22" s="14" t="s">
        <v>1486</v>
      </c>
      <c r="E22" s="14">
        <f t="shared" si="4"/>
        <v>592.11</v>
      </c>
      <c r="F22" s="15">
        <v>592.11</v>
      </c>
      <c r="G22" s="15">
        <f t="shared" si="5"/>
        <v>0</v>
      </c>
      <c r="H22" s="196">
        <v>2.14</v>
      </c>
      <c r="I22" s="15">
        <f t="shared" si="6"/>
        <v>1267.1154000000001</v>
      </c>
      <c r="J22" s="15">
        <f t="shared" si="7"/>
        <v>1267.1154000000001</v>
      </c>
      <c r="K22" s="15">
        <f t="shared" si="8"/>
        <v>0</v>
      </c>
      <c r="M22" s="215" t="s">
        <v>1500</v>
      </c>
    </row>
    <row r="23" spans="1:13" ht="29" customHeight="1">
      <c r="A23" s="12" t="s">
        <v>667</v>
      </c>
      <c r="B23" s="13" t="s">
        <v>669</v>
      </c>
      <c r="C23" s="11"/>
      <c r="D23" s="14" t="s">
        <v>1486</v>
      </c>
      <c r="E23" s="14">
        <f t="shared" si="4"/>
        <v>1271.23</v>
      </c>
      <c r="F23" s="15">
        <v>1271.23</v>
      </c>
      <c r="G23" s="15">
        <f t="shared" si="5"/>
        <v>0</v>
      </c>
      <c r="H23" s="196">
        <v>0.87</v>
      </c>
      <c r="I23" s="15">
        <f t="shared" si="6"/>
        <v>1105.9701</v>
      </c>
      <c r="J23" s="15">
        <f t="shared" si="7"/>
        <v>1105.9701</v>
      </c>
      <c r="K23" s="15">
        <f t="shared" si="8"/>
        <v>0</v>
      </c>
      <c r="M23" s="215" t="s">
        <v>1500</v>
      </c>
    </row>
    <row r="24" spans="1:13" ht="28" customHeight="1">
      <c r="A24" s="12" t="s">
        <v>668</v>
      </c>
      <c r="B24" s="13" t="s">
        <v>662</v>
      </c>
      <c r="C24" s="11"/>
      <c r="D24" s="14" t="s">
        <v>87</v>
      </c>
      <c r="E24" s="14">
        <f t="shared" si="4"/>
        <v>19.739999999999998</v>
      </c>
      <c r="F24" s="15">
        <v>19.739999999999998</v>
      </c>
      <c r="G24" s="15">
        <f t="shared" si="5"/>
        <v>0</v>
      </c>
      <c r="H24" s="196">
        <v>1248.29</v>
      </c>
      <c r="I24" s="15">
        <f t="shared" si="6"/>
        <v>24641.244599999998</v>
      </c>
      <c r="J24" s="15">
        <f t="shared" si="7"/>
        <v>24641.244599999998</v>
      </c>
      <c r="K24" s="15">
        <f t="shared" si="8"/>
        <v>0</v>
      </c>
      <c r="M24" s="215" t="s">
        <v>1500</v>
      </c>
    </row>
    <row r="25" spans="1:13" ht="17.5" customHeight="1">
      <c r="A25" s="12" t="s">
        <v>76</v>
      </c>
      <c r="B25" s="13" t="s">
        <v>663</v>
      </c>
      <c r="C25" s="11"/>
      <c r="D25" s="14" t="s">
        <v>124</v>
      </c>
      <c r="E25" s="14">
        <f t="shared" si="4"/>
        <v>657.9</v>
      </c>
      <c r="F25" s="15">
        <v>657.9</v>
      </c>
      <c r="G25" s="15">
        <f t="shared" si="5"/>
        <v>0</v>
      </c>
      <c r="H25" s="196">
        <v>2.83</v>
      </c>
      <c r="I25" s="15">
        <f t="shared" si="6"/>
        <v>1861.857</v>
      </c>
      <c r="J25" s="15">
        <f t="shared" si="7"/>
        <v>1861.857</v>
      </c>
      <c r="K25" s="15">
        <f t="shared" si="8"/>
        <v>0</v>
      </c>
      <c r="M25" s="215" t="s">
        <v>1500</v>
      </c>
    </row>
    <row r="26" spans="1:13">
      <c r="A26" s="8" t="s">
        <v>16</v>
      </c>
      <c r="B26" s="9" t="s">
        <v>670</v>
      </c>
      <c r="C26" s="8"/>
      <c r="D26" s="8"/>
      <c r="E26" s="8"/>
      <c r="F26" s="203"/>
      <c r="G26" s="203"/>
      <c r="H26" s="195"/>
      <c r="I26" s="10">
        <f>SUM(I27:I32)</f>
        <v>30231.228899999998</v>
      </c>
      <c r="J26" s="10">
        <f>SUM(J27:J32)</f>
        <v>30231.228899999998</v>
      </c>
      <c r="K26" s="10">
        <f>SUM(K27:K32)</f>
        <v>0</v>
      </c>
      <c r="M26" s="215" t="s">
        <v>1500</v>
      </c>
    </row>
    <row r="27" spans="1:13">
      <c r="A27" s="12" t="s">
        <v>78</v>
      </c>
      <c r="B27" s="13" t="s">
        <v>659</v>
      </c>
      <c r="C27" s="11"/>
      <c r="D27" s="15" t="s">
        <v>124</v>
      </c>
      <c r="E27" s="14">
        <f>F27</f>
        <v>657.9</v>
      </c>
      <c r="F27" s="15">
        <v>657.9</v>
      </c>
      <c r="G27" s="15">
        <f>F27-E27</f>
        <v>0</v>
      </c>
      <c r="H27" s="196">
        <v>1.75</v>
      </c>
      <c r="I27" s="15">
        <f>H27*E27</f>
        <v>1151.325</v>
      </c>
      <c r="J27" s="15">
        <f>H27*F27</f>
        <v>1151.325</v>
      </c>
      <c r="K27" s="15">
        <f>J27-I27</f>
        <v>0</v>
      </c>
      <c r="M27" s="215" t="s">
        <v>1500</v>
      </c>
    </row>
    <row r="28" spans="1:13" ht="26">
      <c r="A28" s="12" t="s">
        <v>79</v>
      </c>
      <c r="B28" s="13" t="s">
        <v>660</v>
      </c>
      <c r="C28" s="11"/>
      <c r="D28" s="15" t="s">
        <v>87</v>
      </c>
      <c r="E28" s="14">
        <f t="shared" ref="E28:E32" si="9">F28</f>
        <v>19.739999999999998</v>
      </c>
      <c r="F28" s="199">
        <v>19.739999999999998</v>
      </c>
      <c r="G28" s="15">
        <f t="shared" ref="G28:G32" si="10">F28-E28</f>
        <v>0</v>
      </c>
      <c r="H28" s="196">
        <v>10.32</v>
      </c>
      <c r="I28" s="15">
        <f t="shared" ref="I28:I32" si="11">H28*E28</f>
        <v>203.71679999999998</v>
      </c>
      <c r="J28" s="15">
        <f t="shared" ref="J28:J32" si="12">H28*F28</f>
        <v>203.71679999999998</v>
      </c>
      <c r="K28" s="15">
        <f t="shared" ref="K28:K32" si="13">J28-I28</f>
        <v>0</v>
      </c>
      <c r="M28" s="215" t="s">
        <v>1500</v>
      </c>
    </row>
    <row r="29" spans="1:13" ht="28.5" customHeight="1">
      <c r="A29" s="12" t="s">
        <v>80</v>
      </c>
      <c r="B29" s="13" t="s">
        <v>661</v>
      </c>
      <c r="C29" s="11"/>
      <c r="D29" s="15" t="s">
        <v>1486</v>
      </c>
      <c r="E29" s="14">
        <f t="shared" si="9"/>
        <v>592.11</v>
      </c>
      <c r="F29" s="199">
        <v>592.11</v>
      </c>
      <c r="G29" s="15">
        <f t="shared" si="10"/>
        <v>0</v>
      </c>
      <c r="H29" s="196">
        <v>2.14</v>
      </c>
      <c r="I29" s="15">
        <f t="shared" si="11"/>
        <v>1267.1154000000001</v>
      </c>
      <c r="J29" s="15">
        <f t="shared" si="12"/>
        <v>1267.1154000000001</v>
      </c>
      <c r="K29" s="15">
        <f t="shared" si="13"/>
        <v>0</v>
      </c>
      <c r="M29" s="215" t="s">
        <v>1500</v>
      </c>
    </row>
    <row r="30" spans="1:13" ht="32.5" customHeight="1">
      <c r="A30" s="12" t="s">
        <v>82</v>
      </c>
      <c r="B30" s="19" t="s">
        <v>669</v>
      </c>
      <c r="C30" s="11"/>
      <c r="D30" s="192" t="s">
        <v>1486</v>
      </c>
      <c r="E30" s="14">
        <f t="shared" si="9"/>
        <v>1271.23</v>
      </c>
      <c r="F30" s="199">
        <v>1271.23</v>
      </c>
      <c r="G30" s="15">
        <f t="shared" si="10"/>
        <v>0</v>
      </c>
      <c r="H30" s="197">
        <v>0.87</v>
      </c>
      <c r="I30" s="15">
        <f t="shared" si="11"/>
        <v>1105.9701</v>
      </c>
      <c r="J30" s="15">
        <f t="shared" si="12"/>
        <v>1105.9701</v>
      </c>
      <c r="K30" s="15">
        <f t="shared" si="13"/>
        <v>0</v>
      </c>
      <c r="M30" s="215" t="s">
        <v>1500</v>
      </c>
    </row>
    <row r="31" spans="1:13" ht="26.5">
      <c r="A31" s="12" t="s">
        <v>84</v>
      </c>
      <c r="B31" s="19" t="s">
        <v>671</v>
      </c>
      <c r="C31" s="11"/>
      <c r="D31" s="15" t="s">
        <v>87</v>
      </c>
      <c r="E31" s="14">
        <f t="shared" si="9"/>
        <v>19.739999999999998</v>
      </c>
      <c r="F31" s="199">
        <v>19.739999999999998</v>
      </c>
      <c r="G31" s="15">
        <f t="shared" si="10"/>
        <v>0</v>
      </c>
      <c r="H31" s="196">
        <v>1248.29</v>
      </c>
      <c r="I31" s="15">
        <f t="shared" si="11"/>
        <v>24641.244599999998</v>
      </c>
      <c r="J31" s="15">
        <f t="shared" si="12"/>
        <v>24641.244599999998</v>
      </c>
      <c r="K31" s="15">
        <f t="shared" si="13"/>
        <v>0</v>
      </c>
      <c r="M31" s="215" t="s">
        <v>1500</v>
      </c>
    </row>
    <row r="32" spans="1:13" ht="16.5" customHeight="1">
      <c r="A32" s="12" t="s">
        <v>673</v>
      </c>
      <c r="B32" s="17" t="s">
        <v>672</v>
      </c>
      <c r="C32" s="11" t="s">
        <v>87</v>
      </c>
      <c r="D32" s="15" t="s">
        <v>124</v>
      </c>
      <c r="E32" s="14">
        <f t="shared" si="9"/>
        <v>657.9</v>
      </c>
      <c r="F32" s="199">
        <v>657.9</v>
      </c>
      <c r="G32" s="15">
        <f t="shared" si="10"/>
        <v>0</v>
      </c>
      <c r="H32" s="196">
        <v>2.83</v>
      </c>
      <c r="I32" s="15">
        <f t="shared" si="11"/>
        <v>1861.857</v>
      </c>
      <c r="J32" s="15">
        <f t="shared" si="12"/>
        <v>1861.857</v>
      </c>
      <c r="K32" s="15">
        <f t="shared" si="13"/>
        <v>0</v>
      </c>
    </row>
    <row r="33" spans="1:11">
      <c r="A33" s="8" t="s">
        <v>17</v>
      </c>
      <c r="B33" s="9" t="s">
        <v>107</v>
      </c>
      <c r="C33" s="8"/>
      <c r="D33" s="8"/>
      <c r="E33" s="8"/>
      <c r="F33" s="203"/>
      <c r="G33" s="203"/>
      <c r="H33" s="195"/>
      <c r="I33" s="10">
        <f>SUM(I34:I36)</f>
        <v>0</v>
      </c>
      <c r="J33" s="10">
        <f>SUM(J34:J36)</f>
        <v>0</v>
      </c>
      <c r="K33" s="10">
        <f>SUM(K34:K36)</f>
        <v>0</v>
      </c>
    </row>
    <row r="34" spans="1:11" ht="39">
      <c r="A34" s="12" t="s">
        <v>676</v>
      </c>
      <c r="B34" s="13" t="s">
        <v>674</v>
      </c>
      <c r="C34" s="11" t="s">
        <v>33</v>
      </c>
      <c r="D34" s="14" t="s">
        <v>1487</v>
      </c>
      <c r="E34" s="14"/>
      <c r="F34" s="15"/>
      <c r="G34" s="15">
        <f>F34-E34</f>
        <v>0</v>
      </c>
      <c r="H34" s="196">
        <v>625.09</v>
      </c>
      <c r="I34" s="15">
        <f>H34*E34</f>
        <v>0</v>
      </c>
      <c r="J34" s="15">
        <f>H34*F34</f>
        <v>0</v>
      </c>
      <c r="K34" s="15">
        <f>J34-I34</f>
        <v>0</v>
      </c>
    </row>
    <row r="35" spans="1:11" ht="17" customHeight="1">
      <c r="A35" s="12" t="s">
        <v>677</v>
      </c>
      <c r="B35" s="194" t="s">
        <v>680</v>
      </c>
      <c r="C35" s="11" t="s">
        <v>33</v>
      </c>
      <c r="D35" s="14" t="s">
        <v>124</v>
      </c>
      <c r="E35" s="14"/>
      <c r="F35" s="15"/>
      <c r="G35" s="15">
        <f t="shared" ref="G35:G36" si="14">F35-E35</f>
        <v>0</v>
      </c>
      <c r="H35" s="196">
        <v>16.260000000000002</v>
      </c>
      <c r="I35" s="15">
        <f t="shared" ref="I35:I36" si="15">H35*E35</f>
        <v>0</v>
      </c>
      <c r="J35" s="15">
        <f t="shared" ref="J35:J36" si="16">H35*F35</f>
        <v>0</v>
      </c>
      <c r="K35" s="15">
        <f t="shared" ref="K35:K36" si="17">J35-I35</f>
        <v>0</v>
      </c>
    </row>
    <row r="36" spans="1:11" ht="16.5" customHeight="1">
      <c r="A36" s="12" t="s">
        <v>88</v>
      </c>
      <c r="B36" s="13" t="s">
        <v>675</v>
      </c>
      <c r="C36" s="11" t="s">
        <v>33</v>
      </c>
      <c r="D36" s="14" t="s">
        <v>124</v>
      </c>
      <c r="E36" s="14"/>
      <c r="F36" s="15"/>
      <c r="G36" s="15">
        <f t="shared" si="14"/>
        <v>0</v>
      </c>
      <c r="H36" s="196">
        <v>4.5599999999999996</v>
      </c>
      <c r="I36" s="15">
        <f t="shared" si="15"/>
        <v>0</v>
      </c>
      <c r="J36" s="15">
        <f t="shared" si="16"/>
        <v>0</v>
      </c>
      <c r="K36" s="15">
        <f t="shared" si="17"/>
        <v>0</v>
      </c>
    </row>
    <row r="37" spans="1:11">
      <c r="A37" s="8" t="s">
        <v>91</v>
      </c>
      <c r="B37" s="9" t="s">
        <v>678</v>
      </c>
      <c r="C37" s="8"/>
      <c r="D37" s="8"/>
      <c r="E37" s="8"/>
      <c r="F37" s="203"/>
      <c r="G37" s="203"/>
      <c r="H37" s="195"/>
      <c r="I37" s="10">
        <f>SUM(I38:I39)</f>
        <v>1151.325</v>
      </c>
      <c r="J37" s="10">
        <f>SUM(J38:J39)</f>
        <v>1151.325</v>
      </c>
      <c r="K37" s="10">
        <f>SUM(K38:K39)</f>
        <v>0</v>
      </c>
    </row>
    <row r="38" spans="1:11">
      <c r="A38" s="12" t="s">
        <v>92</v>
      </c>
      <c r="B38" s="13" t="s">
        <v>659</v>
      </c>
      <c r="C38" s="11" t="s">
        <v>11</v>
      </c>
      <c r="D38" s="14" t="s">
        <v>124</v>
      </c>
      <c r="E38" s="14">
        <f>F38</f>
        <v>657.9</v>
      </c>
      <c r="F38" s="15">
        <v>657.9</v>
      </c>
      <c r="G38" s="15">
        <f>F38-E38</f>
        <v>0</v>
      </c>
      <c r="H38" s="196">
        <v>1.75</v>
      </c>
      <c r="I38" s="15">
        <f>H38*E38</f>
        <v>1151.325</v>
      </c>
      <c r="J38" s="15">
        <f>H38*F38</f>
        <v>1151.325</v>
      </c>
      <c r="K38" s="15">
        <f>J38-I38</f>
        <v>0</v>
      </c>
    </row>
    <row r="39" spans="1:11">
      <c r="A39" s="12" t="s">
        <v>93</v>
      </c>
      <c r="B39" s="13" t="s">
        <v>679</v>
      </c>
      <c r="C39" s="11" t="s">
        <v>11</v>
      </c>
      <c r="D39" s="14" t="s">
        <v>1487</v>
      </c>
      <c r="E39" s="14"/>
      <c r="F39" s="15"/>
      <c r="G39" s="15">
        <f>F39-E39</f>
        <v>0</v>
      </c>
      <c r="H39" s="196">
        <v>92.34</v>
      </c>
      <c r="I39" s="15">
        <f>H39*E39</f>
        <v>0</v>
      </c>
      <c r="J39" s="15">
        <f>H39*F39</f>
        <v>0</v>
      </c>
      <c r="K39" s="15">
        <f>J39-I39</f>
        <v>0</v>
      </c>
    </row>
    <row r="40" spans="1:11">
      <c r="A40" s="184">
        <v>2</v>
      </c>
      <c r="B40" s="191" t="s">
        <v>681</v>
      </c>
      <c r="C40" s="184"/>
      <c r="D40" s="184"/>
      <c r="E40" s="184"/>
      <c r="F40" s="202"/>
      <c r="G40" s="202"/>
      <c r="H40" s="198"/>
      <c r="I40" s="185">
        <f>SUM(I41,I44,I46,I53,I60,I64)</f>
        <v>39659.551299999999</v>
      </c>
      <c r="J40" s="185">
        <f>SUM(J41,J44,J46,J53,J60,J64)</f>
        <v>39659.551299999999</v>
      </c>
      <c r="K40" s="185">
        <f>SUM(K41,K44,K46,K53,K60,K64)</f>
        <v>0</v>
      </c>
    </row>
    <row r="41" spans="1:11">
      <c r="A41" s="8" t="s">
        <v>20</v>
      </c>
      <c r="B41" s="9" t="s">
        <v>8</v>
      </c>
      <c r="C41" s="8"/>
      <c r="D41" s="8"/>
      <c r="E41" s="8"/>
      <c r="F41" s="203"/>
      <c r="G41" s="203"/>
      <c r="H41" s="195"/>
      <c r="I41" s="10">
        <f>SUM(I42:I43)</f>
        <v>2907.9494</v>
      </c>
      <c r="J41" s="10">
        <f>SUM(J42:J43)</f>
        <v>2907.9494</v>
      </c>
      <c r="K41" s="10">
        <f>SUM(K42:K43)</f>
        <v>0</v>
      </c>
    </row>
    <row r="42" spans="1:11" ht="26">
      <c r="A42" s="12" t="s">
        <v>682</v>
      </c>
      <c r="B42" s="13" t="s">
        <v>653</v>
      </c>
      <c r="C42" s="11" t="s">
        <v>13</v>
      </c>
      <c r="D42" s="14" t="s">
        <v>124</v>
      </c>
      <c r="E42" s="14">
        <f>F42</f>
        <v>392.87</v>
      </c>
      <c r="F42" s="15">
        <v>392.87</v>
      </c>
      <c r="G42" s="15">
        <f>F42-E42</f>
        <v>0</v>
      </c>
      <c r="H42" s="196">
        <v>0.36</v>
      </c>
      <c r="I42" s="15">
        <f>H42*E42</f>
        <v>141.4332</v>
      </c>
      <c r="J42" s="15">
        <f>H42*F42</f>
        <v>141.4332</v>
      </c>
      <c r="K42" s="15">
        <f>J42-I42</f>
        <v>0</v>
      </c>
    </row>
    <row r="43" spans="1:11" ht="52">
      <c r="A43" s="12" t="s">
        <v>683</v>
      </c>
      <c r="B43" s="13" t="s">
        <v>650</v>
      </c>
      <c r="C43" s="11" t="s">
        <v>11</v>
      </c>
      <c r="D43" s="14" t="s">
        <v>124</v>
      </c>
      <c r="E43" s="14">
        <f>F43</f>
        <v>44.86</v>
      </c>
      <c r="F43" s="15">
        <v>44.86</v>
      </c>
      <c r="G43" s="15">
        <f>F43-E43</f>
        <v>0</v>
      </c>
      <c r="H43" s="196">
        <v>61.67</v>
      </c>
      <c r="I43" s="15">
        <f>H43*E43</f>
        <v>2766.5162</v>
      </c>
      <c r="J43" s="15">
        <f>H43*F43</f>
        <v>2766.5162</v>
      </c>
      <c r="K43" s="15">
        <f>J43-I43</f>
        <v>0</v>
      </c>
    </row>
    <row r="44" spans="1:11">
      <c r="A44" s="8" t="s">
        <v>21</v>
      </c>
      <c r="B44" s="9" t="s">
        <v>655</v>
      </c>
      <c r="C44" s="8"/>
      <c r="D44" s="8"/>
      <c r="E44" s="8"/>
      <c r="F44" s="203"/>
      <c r="G44" s="203"/>
      <c r="H44" s="195"/>
      <c r="I44" s="10">
        <f>SUM(I45:I45)</f>
        <v>149.29060000000001</v>
      </c>
      <c r="J44" s="10">
        <f>SUM(J45:J45)</f>
        <v>149.29060000000001</v>
      </c>
      <c r="K44" s="10">
        <f>SUM(K45:K45)</f>
        <v>0</v>
      </c>
    </row>
    <row r="45" spans="1:11" ht="26">
      <c r="A45" s="12" t="s">
        <v>684</v>
      </c>
      <c r="B45" s="13" t="s">
        <v>656</v>
      </c>
      <c r="C45" s="11"/>
      <c r="D45" s="14" t="s">
        <v>124</v>
      </c>
      <c r="E45" s="14">
        <f>F45</f>
        <v>392.87</v>
      </c>
      <c r="F45" s="15">
        <v>392.87</v>
      </c>
      <c r="G45" s="15">
        <f>F45-E45</f>
        <v>0</v>
      </c>
      <c r="H45" s="196">
        <v>0.38</v>
      </c>
      <c r="I45" s="15">
        <f t="shared" ref="I45:I66" si="18">H45*E45</f>
        <v>149.29060000000001</v>
      </c>
      <c r="J45" s="15">
        <f>H45*F45</f>
        <v>149.29060000000001</v>
      </c>
      <c r="K45" s="15">
        <f>J45-I45</f>
        <v>0</v>
      </c>
    </row>
    <row r="46" spans="1:11">
      <c r="A46" s="8" t="s">
        <v>22</v>
      </c>
      <c r="B46" s="9" t="s">
        <v>658</v>
      </c>
      <c r="C46" s="8"/>
      <c r="D46" s="8"/>
      <c r="E46" s="8"/>
      <c r="F46" s="203"/>
      <c r="G46" s="203"/>
      <c r="H46" s="195"/>
      <c r="I46" s="10">
        <f>SUM(I47:I52)</f>
        <v>17957.394400000001</v>
      </c>
      <c r="J46" s="10">
        <f>SUM(J47:J52)</f>
        <v>17957.394400000001</v>
      </c>
      <c r="K46" s="10">
        <f>SUM(K47:K52)</f>
        <v>0</v>
      </c>
    </row>
    <row r="47" spans="1:11">
      <c r="A47" s="12" t="s">
        <v>685</v>
      </c>
      <c r="B47" s="13" t="s">
        <v>659</v>
      </c>
      <c r="C47" s="11"/>
      <c r="D47" s="14" t="s">
        <v>124</v>
      </c>
      <c r="E47" s="14">
        <f>F47</f>
        <v>392.87</v>
      </c>
      <c r="F47" s="15">
        <v>392.87</v>
      </c>
      <c r="G47" s="15">
        <f t="shared" ref="G47:G52" si="19">F47-E47</f>
        <v>0</v>
      </c>
      <c r="H47" s="196">
        <v>1.75</v>
      </c>
      <c r="I47" s="15">
        <f t="shared" si="18"/>
        <v>687.52250000000004</v>
      </c>
      <c r="J47" s="15">
        <f>H47*F47</f>
        <v>687.52250000000004</v>
      </c>
      <c r="K47" s="15">
        <f>J47-I47</f>
        <v>0</v>
      </c>
    </row>
    <row r="48" spans="1:11" ht="26">
      <c r="A48" s="12" t="s">
        <v>686</v>
      </c>
      <c r="B48" s="13" t="s">
        <v>660</v>
      </c>
      <c r="C48" s="11"/>
      <c r="D48" s="14" t="s">
        <v>87</v>
      </c>
      <c r="E48" s="14">
        <f t="shared" ref="E48:E52" si="20">F48</f>
        <v>11.79</v>
      </c>
      <c r="F48" s="15">
        <v>11.79</v>
      </c>
      <c r="G48" s="15">
        <f t="shared" si="19"/>
        <v>0</v>
      </c>
      <c r="H48" s="196">
        <v>10.32</v>
      </c>
      <c r="I48" s="15">
        <f t="shared" si="18"/>
        <v>121.6728</v>
      </c>
      <c r="J48" s="15">
        <f t="shared" ref="J48:J52" si="21">H48*F48</f>
        <v>121.6728</v>
      </c>
      <c r="K48" s="15">
        <f t="shared" ref="K48:K52" si="22">J48-I48</f>
        <v>0</v>
      </c>
    </row>
    <row r="49" spans="1:11" ht="28.5" customHeight="1">
      <c r="A49" s="12" t="s">
        <v>687</v>
      </c>
      <c r="B49" s="13" t="s">
        <v>661</v>
      </c>
      <c r="C49" s="11"/>
      <c r="D49" s="14" t="s">
        <v>1486</v>
      </c>
      <c r="E49" s="14">
        <f t="shared" si="20"/>
        <v>353.58</v>
      </c>
      <c r="F49" s="15">
        <v>353.58</v>
      </c>
      <c r="G49" s="15">
        <f t="shared" si="19"/>
        <v>0</v>
      </c>
      <c r="H49" s="196">
        <v>2.14</v>
      </c>
      <c r="I49" s="15">
        <f t="shared" si="18"/>
        <v>756.66120000000001</v>
      </c>
      <c r="J49" s="15">
        <f t="shared" si="21"/>
        <v>756.66120000000001</v>
      </c>
      <c r="K49" s="15">
        <f t="shared" si="22"/>
        <v>0</v>
      </c>
    </row>
    <row r="50" spans="1:11" ht="29" customHeight="1">
      <c r="A50" s="12" t="s">
        <v>688</v>
      </c>
      <c r="B50" s="13" t="s">
        <v>669</v>
      </c>
      <c r="C50" s="11"/>
      <c r="D50" s="14" t="s">
        <v>1486</v>
      </c>
      <c r="E50" s="14">
        <f t="shared" si="20"/>
        <v>646.41</v>
      </c>
      <c r="F50" s="15">
        <v>646.41</v>
      </c>
      <c r="G50" s="15">
        <f t="shared" si="19"/>
        <v>0</v>
      </c>
      <c r="H50" s="196">
        <v>0.87</v>
      </c>
      <c r="I50" s="15">
        <f t="shared" si="18"/>
        <v>562.37669999999991</v>
      </c>
      <c r="J50" s="15">
        <f t="shared" si="21"/>
        <v>562.37669999999991</v>
      </c>
      <c r="K50" s="15">
        <f t="shared" si="22"/>
        <v>0</v>
      </c>
    </row>
    <row r="51" spans="1:11" ht="28" customHeight="1">
      <c r="A51" s="12" t="s">
        <v>689</v>
      </c>
      <c r="B51" s="13" t="s">
        <v>662</v>
      </c>
      <c r="C51" s="11"/>
      <c r="D51" s="14" t="s">
        <v>87</v>
      </c>
      <c r="E51" s="14">
        <f t="shared" si="20"/>
        <v>11.79</v>
      </c>
      <c r="F51" s="15">
        <v>11.79</v>
      </c>
      <c r="G51" s="15">
        <f t="shared" si="19"/>
        <v>0</v>
      </c>
      <c r="H51" s="196">
        <v>1248.29</v>
      </c>
      <c r="I51" s="15">
        <f t="shared" si="18"/>
        <v>14717.339099999999</v>
      </c>
      <c r="J51" s="15">
        <f t="shared" si="21"/>
        <v>14717.339099999999</v>
      </c>
      <c r="K51" s="15">
        <f t="shared" si="22"/>
        <v>0</v>
      </c>
    </row>
    <row r="52" spans="1:11" ht="17.5" customHeight="1">
      <c r="A52" s="12" t="s">
        <v>690</v>
      </c>
      <c r="B52" s="13" t="s">
        <v>663</v>
      </c>
      <c r="C52" s="11"/>
      <c r="D52" s="14" t="s">
        <v>124</v>
      </c>
      <c r="E52" s="14">
        <f t="shared" si="20"/>
        <v>392.87</v>
      </c>
      <c r="F52" s="15">
        <v>392.87</v>
      </c>
      <c r="G52" s="15">
        <f t="shared" si="19"/>
        <v>0</v>
      </c>
      <c r="H52" s="196">
        <v>2.83</v>
      </c>
      <c r="I52" s="15">
        <f t="shared" si="18"/>
        <v>1111.8221000000001</v>
      </c>
      <c r="J52" s="15">
        <f t="shared" si="21"/>
        <v>1111.8221000000001</v>
      </c>
      <c r="K52" s="15">
        <f t="shared" si="22"/>
        <v>0</v>
      </c>
    </row>
    <row r="53" spans="1:11">
      <c r="A53" s="8" t="s">
        <v>691</v>
      </c>
      <c r="B53" s="9" t="s">
        <v>670</v>
      </c>
      <c r="C53" s="8"/>
      <c r="D53" s="8"/>
      <c r="E53" s="8"/>
      <c r="F53" s="203"/>
      <c r="G53" s="203"/>
      <c r="H53" s="195"/>
      <c r="I53" s="10">
        <f>SUM(I54:I59)</f>
        <v>17957.394400000001</v>
      </c>
      <c r="J53" s="10">
        <f>SUM(J54:J59)</f>
        <v>17957.394400000001</v>
      </c>
      <c r="K53" s="10">
        <f>SUM(K54:K59)</f>
        <v>0</v>
      </c>
    </row>
    <row r="54" spans="1:11">
      <c r="A54" s="12" t="s">
        <v>692</v>
      </c>
      <c r="B54" s="13" t="s">
        <v>659</v>
      </c>
      <c r="C54" s="11"/>
      <c r="D54" s="15" t="s">
        <v>124</v>
      </c>
      <c r="E54" s="14">
        <f>F54</f>
        <v>392.87</v>
      </c>
      <c r="F54" s="15">
        <v>392.87</v>
      </c>
      <c r="G54" s="15">
        <f t="shared" ref="G54:G59" si="23">F54-E54</f>
        <v>0</v>
      </c>
      <c r="H54" s="196">
        <v>1.75</v>
      </c>
      <c r="I54" s="15">
        <f t="shared" si="18"/>
        <v>687.52250000000004</v>
      </c>
      <c r="J54" s="15">
        <f>H54*F54</f>
        <v>687.52250000000004</v>
      </c>
      <c r="K54" s="15">
        <f>J54-I54</f>
        <v>0</v>
      </c>
    </row>
    <row r="55" spans="1:11" ht="26">
      <c r="A55" s="12" t="s">
        <v>693</v>
      </c>
      <c r="B55" s="13" t="s">
        <v>660</v>
      </c>
      <c r="C55" s="11"/>
      <c r="D55" s="15" t="s">
        <v>87</v>
      </c>
      <c r="E55" s="14">
        <f t="shared" ref="E55:E59" si="24">F55</f>
        <v>11.79</v>
      </c>
      <c r="F55" s="199">
        <v>11.79</v>
      </c>
      <c r="G55" s="15">
        <f t="shared" si="23"/>
        <v>0</v>
      </c>
      <c r="H55" s="196">
        <v>10.32</v>
      </c>
      <c r="I55" s="15">
        <f t="shared" si="18"/>
        <v>121.6728</v>
      </c>
      <c r="J55" s="15">
        <f t="shared" ref="J55:J59" si="25">H55*F55</f>
        <v>121.6728</v>
      </c>
      <c r="K55" s="15">
        <f t="shared" ref="K55:K59" si="26">J55-I55</f>
        <v>0</v>
      </c>
    </row>
    <row r="56" spans="1:11" ht="28.5" customHeight="1">
      <c r="A56" s="12" t="s">
        <v>694</v>
      </c>
      <c r="B56" s="13" t="s">
        <v>661</v>
      </c>
      <c r="C56" s="11"/>
      <c r="D56" s="15" t="s">
        <v>1486</v>
      </c>
      <c r="E56" s="14">
        <f t="shared" si="24"/>
        <v>353.58</v>
      </c>
      <c r="F56" s="199">
        <v>353.58</v>
      </c>
      <c r="G56" s="15">
        <f t="shared" si="23"/>
        <v>0</v>
      </c>
      <c r="H56" s="196">
        <v>2.14</v>
      </c>
      <c r="I56" s="15">
        <f t="shared" si="18"/>
        <v>756.66120000000001</v>
      </c>
      <c r="J56" s="15">
        <f t="shared" si="25"/>
        <v>756.66120000000001</v>
      </c>
      <c r="K56" s="15">
        <f t="shared" si="26"/>
        <v>0</v>
      </c>
    </row>
    <row r="57" spans="1:11" ht="32.5" customHeight="1">
      <c r="A57" s="12" t="s">
        <v>695</v>
      </c>
      <c r="B57" s="19" t="s">
        <v>669</v>
      </c>
      <c r="C57" s="11"/>
      <c r="D57" s="192" t="s">
        <v>1486</v>
      </c>
      <c r="E57" s="14">
        <f t="shared" si="24"/>
        <v>646.41</v>
      </c>
      <c r="F57" s="204">
        <v>646.41</v>
      </c>
      <c r="G57" s="15">
        <f t="shared" si="23"/>
        <v>0</v>
      </c>
      <c r="H57" s="197">
        <v>0.87</v>
      </c>
      <c r="I57" s="15">
        <f t="shared" si="18"/>
        <v>562.37669999999991</v>
      </c>
      <c r="J57" s="15">
        <f t="shared" si="25"/>
        <v>562.37669999999991</v>
      </c>
      <c r="K57" s="15">
        <f t="shared" si="26"/>
        <v>0</v>
      </c>
    </row>
    <row r="58" spans="1:11" ht="26.5">
      <c r="A58" s="12" t="s">
        <v>696</v>
      </c>
      <c r="B58" s="19" t="s">
        <v>671</v>
      </c>
      <c r="C58" s="11"/>
      <c r="D58" s="15" t="s">
        <v>87</v>
      </c>
      <c r="E58" s="14">
        <f t="shared" si="24"/>
        <v>11.79</v>
      </c>
      <c r="F58" s="199">
        <v>11.79</v>
      </c>
      <c r="G58" s="15">
        <f t="shared" si="23"/>
        <v>0</v>
      </c>
      <c r="H58" s="196">
        <v>1248.29</v>
      </c>
      <c r="I58" s="15">
        <f t="shared" si="18"/>
        <v>14717.339099999999</v>
      </c>
      <c r="J58" s="15">
        <f t="shared" si="25"/>
        <v>14717.339099999999</v>
      </c>
      <c r="K58" s="15">
        <f t="shared" si="26"/>
        <v>0</v>
      </c>
    </row>
    <row r="59" spans="1:11" ht="16.5" customHeight="1">
      <c r="A59" s="12" t="s">
        <v>697</v>
      </c>
      <c r="B59" s="17" t="s">
        <v>672</v>
      </c>
      <c r="C59" s="11" t="s">
        <v>87</v>
      </c>
      <c r="D59" s="15" t="s">
        <v>124</v>
      </c>
      <c r="E59" s="14">
        <f t="shared" si="24"/>
        <v>392.87</v>
      </c>
      <c r="F59" s="199">
        <v>392.87</v>
      </c>
      <c r="G59" s="15">
        <f t="shared" si="23"/>
        <v>0</v>
      </c>
      <c r="H59" s="196">
        <v>2.83</v>
      </c>
      <c r="I59" s="15">
        <f t="shared" si="18"/>
        <v>1111.8221000000001</v>
      </c>
      <c r="J59" s="15">
        <f t="shared" si="25"/>
        <v>1111.8221000000001</v>
      </c>
      <c r="K59" s="15">
        <f t="shared" si="26"/>
        <v>0</v>
      </c>
    </row>
    <row r="60" spans="1:11">
      <c r="A60" s="8" t="s">
        <v>698</v>
      </c>
      <c r="B60" s="9" t="s">
        <v>107</v>
      </c>
      <c r="C60" s="8"/>
      <c r="D60" s="8"/>
      <c r="E60" s="8"/>
      <c r="F60" s="203"/>
      <c r="G60" s="203"/>
      <c r="H60" s="195"/>
      <c r="I60" s="10">
        <f>SUM(I61:I63)</f>
        <v>0</v>
      </c>
      <c r="J60" s="10">
        <f>SUM(J61:J63)</f>
        <v>0</v>
      </c>
      <c r="K60" s="10">
        <f>SUM(K61:K63)</f>
        <v>0</v>
      </c>
    </row>
    <row r="61" spans="1:11" ht="39">
      <c r="A61" s="12" t="s">
        <v>699</v>
      </c>
      <c r="B61" s="13" t="s">
        <v>674</v>
      </c>
      <c r="C61" s="11" t="s">
        <v>33</v>
      </c>
      <c r="D61" s="14" t="s">
        <v>1487</v>
      </c>
      <c r="E61" s="14"/>
      <c r="F61" s="15"/>
      <c r="G61" s="15">
        <f>F61-E61</f>
        <v>0</v>
      </c>
      <c r="H61" s="196">
        <v>625.09</v>
      </c>
      <c r="I61" s="15">
        <f t="shared" si="18"/>
        <v>0</v>
      </c>
      <c r="J61" s="15">
        <f>H61*F61</f>
        <v>0</v>
      </c>
      <c r="K61" s="216">
        <f>J61-I61</f>
        <v>0</v>
      </c>
    </row>
    <row r="62" spans="1:11" ht="17" customHeight="1">
      <c r="A62" s="12" t="s">
        <v>700</v>
      </c>
      <c r="B62" s="194" t="s">
        <v>680</v>
      </c>
      <c r="C62" s="11" t="s">
        <v>33</v>
      </c>
      <c r="D62" s="14" t="s">
        <v>124</v>
      </c>
      <c r="E62" s="14"/>
      <c r="F62" s="15"/>
      <c r="G62" s="15">
        <f>F62-E62</f>
        <v>0</v>
      </c>
      <c r="H62" s="196">
        <v>16.260000000000002</v>
      </c>
      <c r="I62" s="15">
        <f t="shared" si="18"/>
        <v>0</v>
      </c>
      <c r="J62" s="15">
        <f t="shared" ref="J62:J63" si="27">H62*F62</f>
        <v>0</v>
      </c>
      <c r="K62" s="216">
        <f t="shared" ref="K62:K63" si="28">J62-I62</f>
        <v>0</v>
      </c>
    </row>
    <row r="63" spans="1:11" ht="16.5" customHeight="1">
      <c r="A63" s="12" t="s">
        <v>701</v>
      </c>
      <c r="B63" s="13" t="s">
        <v>675</v>
      </c>
      <c r="C63" s="11" t="s">
        <v>33</v>
      </c>
      <c r="D63" s="14" t="s">
        <v>124</v>
      </c>
      <c r="E63" s="14"/>
      <c r="F63" s="15"/>
      <c r="G63" s="15">
        <f>F63-E63</f>
        <v>0</v>
      </c>
      <c r="H63" s="196">
        <v>4.5599999999999996</v>
      </c>
      <c r="I63" s="15">
        <f t="shared" si="18"/>
        <v>0</v>
      </c>
      <c r="J63" s="15">
        <f t="shared" si="27"/>
        <v>0</v>
      </c>
      <c r="K63" s="216">
        <f t="shared" si="28"/>
        <v>0</v>
      </c>
    </row>
    <row r="64" spans="1:11">
      <c r="A64" s="8" t="s">
        <v>702</v>
      </c>
      <c r="B64" s="9" t="s">
        <v>678</v>
      </c>
      <c r="C64" s="8"/>
      <c r="D64" s="8"/>
      <c r="E64" s="8"/>
      <c r="F64" s="203"/>
      <c r="G64" s="203"/>
      <c r="H64" s="195"/>
      <c r="I64" s="10">
        <f>SUM(I65:I66)</f>
        <v>687.52250000000004</v>
      </c>
      <c r="J64" s="10">
        <f>SUM(J65:J66)</f>
        <v>687.52250000000004</v>
      </c>
      <c r="K64" s="10">
        <f>SUM(K65:K66)</f>
        <v>0</v>
      </c>
    </row>
    <row r="65" spans="1:11">
      <c r="A65" s="12" t="s">
        <v>703</v>
      </c>
      <c r="B65" s="13" t="s">
        <v>659</v>
      </c>
      <c r="C65" s="11" t="s">
        <v>11</v>
      </c>
      <c r="D65" s="14" t="s">
        <v>124</v>
      </c>
      <c r="E65" s="14">
        <f>F65</f>
        <v>392.87</v>
      </c>
      <c r="F65" s="15">
        <v>392.87</v>
      </c>
      <c r="G65" s="15">
        <f>F65-E65</f>
        <v>0</v>
      </c>
      <c r="H65" s="196">
        <v>1.75</v>
      </c>
      <c r="I65" s="15">
        <f t="shared" si="18"/>
        <v>687.52250000000004</v>
      </c>
      <c r="J65" s="15">
        <f>H65*F65</f>
        <v>687.52250000000004</v>
      </c>
      <c r="K65" s="216">
        <f>J65-I65</f>
        <v>0</v>
      </c>
    </row>
    <row r="66" spans="1:11">
      <c r="A66" s="12" t="s">
        <v>704</v>
      </c>
      <c r="B66" s="13" t="s">
        <v>679</v>
      </c>
      <c r="C66" s="11" t="s">
        <v>11</v>
      </c>
      <c r="D66" s="14" t="s">
        <v>1487</v>
      </c>
      <c r="E66" s="14"/>
      <c r="F66" s="15"/>
      <c r="G66" s="15">
        <f>F66-E66</f>
        <v>0</v>
      </c>
      <c r="H66" s="196">
        <v>92.34</v>
      </c>
      <c r="I66" s="15">
        <f t="shared" si="18"/>
        <v>0</v>
      </c>
      <c r="J66" s="15">
        <f>H66*F66</f>
        <v>0</v>
      </c>
      <c r="K66" s="216">
        <f>J66-I66</f>
        <v>0</v>
      </c>
    </row>
    <row r="67" spans="1:11">
      <c r="A67" s="184">
        <v>3</v>
      </c>
      <c r="B67" s="191" t="s">
        <v>1456</v>
      </c>
      <c r="C67" s="184"/>
      <c r="D67" s="184"/>
      <c r="E67" s="184"/>
      <c r="F67" s="202"/>
      <c r="G67" s="202"/>
      <c r="H67" s="198"/>
      <c r="I67" s="185">
        <f>SUM(I68,I71,I73,I80,I87,I91)</f>
        <v>276953.57550000004</v>
      </c>
      <c r="J67" s="185">
        <f>SUM(J68,J71,J73,J80,J87,J91)</f>
        <v>276953.57550000004</v>
      </c>
      <c r="K67" s="185">
        <f>SUM(K68,K71,K73,K80,K87,K91)</f>
        <v>0</v>
      </c>
    </row>
    <row r="68" spans="1:11">
      <c r="A68" s="8" t="s">
        <v>25</v>
      </c>
      <c r="B68" s="9" t="s">
        <v>8</v>
      </c>
      <c r="C68" s="8"/>
      <c r="D68" s="8"/>
      <c r="E68" s="8"/>
      <c r="F68" s="203"/>
      <c r="G68" s="203"/>
      <c r="H68" s="195"/>
      <c r="I68" s="10">
        <f>SUM(I69:I70)</f>
        <v>23076.007599999997</v>
      </c>
      <c r="J68" s="10">
        <f>SUM(J69:J70)</f>
        <v>23076.007599999997</v>
      </c>
      <c r="K68" s="10">
        <f>SUM(K69:K70)</f>
        <v>0</v>
      </c>
    </row>
    <row r="69" spans="1:11" ht="26">
      <c r="A69" s="12" t="s">
        <v>705</v>
      </c>
      <c r="B69" s="13" t="s">
        <v>653</v>
      </c>
      <c r="C69" s="11" t="s">
        <v>13</v>
      </c>
      <c r="D69" s="14" t="s">
        <v>124</v>
      </c>
      <c r="E69" s="14">
        <f>F69</f>
        <v>2704.11</v>
      </c>
      <c r="F69" s="15">
        <v>2704.11</v>
      </c>
      <c r="G69" s="15">
        <f>F69-E69</f>
        <v>0</v>
      </c>
      <c r="H69" s="196">
        <v>0.36</v>
      </c>
      <c r="I69" s="15">
        <f>H69*E69</f>
        <v>973.4796</v>
      </c>
      <c r="J69" s="15">
        <f>H69*F69</f>
        <v>973.4796</v>
      </c>
      <c r="K69" s="216">
        <f>J69-I69</f>
        <v>0</v>
      </c>
    </row>
    <row r="70" spans="1:11" ht="52">
      <c r="A70" s="12" t="s">
        <v>706</v>
      </c>
      <c r="B70" s="13" t="s">
        <v>650</v>
      </c>
      <c r="C70" s="11" t="s">
        <v>11</v>
      </c>
      <c r="D70" s="14" t="s">
        <v>124</v>
      </c>
      <c r="E70" s="14">
        <f>F70</f>
        <v>358.4</v>
      </c>
      <c r="F70" s="15">
        <v>358.4</v>
      </c>
      <c r="G70" s="15">
        <f>F70-E70</f>
        <v>0</v>
      </c>
      <c r="H70" s="196">
        <v>61.67</v>
      </c>
      <c r="I70" s="15">
        <f>H70*E70</f>
        <v>22102.527999999998</v>
      </c>
      <c r="J70" s="15">
        <f>H70*F70</f>
        <v>22102.527999999998</v>
      </c>
      <c r="K70" s="216">
        <f>J70-I70</f>
        <v>0</v>
      </c>
    </row>
    <row r="71" spans="1:11">
      <c r="A71" s="8" t="s">
        <v>26</v>
      </c>
      <c r="B71" s="9" t="s">
        <v>655</v>
      </c>
      <c r="C71" s="8"/>
      <c r="D71" s="8"/>
      <c r="E71" s="8"/>
      <c r="F71" s="203"/>
      <c r="G71" s="203"/>
      <c r="H71" s="195"/>
      <c r="I71" s="10">
        <f>SUM(I72:I72)</f>
        <v>1027.5617999999999</v>
      </c>
      <c r="J71" s="10">
        <f>SUM(J72:J72)</f>
        <v>1027.5617999999999</v>
      </c>
      <c r="K71" s="10">
        <f>SUM(K72:K72)</f>
        <v>0</v>
      </c>
    </row>
    <row r="72" spans="1:11" ht="26">
      <c r="A72" s="12" t="s">
        <v>707</v>
      </c>
      <c r="B72" s="13" t="s">
        <v>656</v>
      </c>
      <c r="C72" s="11"/>
      <c r="D72" s="14" t="s">
        <v>124</v>
      </c>
      <c r="E72" s="14">
        <f>F72</f>
        <v>2704.11</v>
      </c>
      <c r="F72" s="15">
        <v>2704.11</v>
      </c>
      <c r="G72" s="15">
        <f>F72-E72</f>
        <v>0</v>
      </c>
      <c r="H72" s="196">
        <v>0.38</v>
      </c>
      <c r="I72" s="15">
        <f t="shared" ref="I72:I93" si="29">H72*E72</f>
        <v>1027.5617999999999</v>
      </c>
      <c r="J72" s="15">
        <f>H72*F72</f>
        <v>1027.5617999999999</v>
      </c>
      <c r="K72" s="216">
        <f>J72-I72</f>
        <v>0</v>
      </c>
    </row>
    <row r="73" spans="1:11">
      <c r="A73" s="8" t="s">
        <v>27</v>
      </c>
      <c r="B73" s="9" t="s">
        <v>658</v>
      </c>
      <c r="C73" s="8"/>
      <c r="D73" s="8"/>
      <c r="E73" s="8"/>
      <c r="F73" s="203"/>
      <c r="G73" s="203"/>
      <c r="H73" s="195"/>
      <c r="I73" s="10">
        <f>SUM(I74:I79)</f>
        <v>124058.9068</v>
      </c>
      <c r="J73" s="10">
        <f>SUM(J74:J79)</f>
        <v>124058.9068</v>
      </c>
      <c r="K73" s="10">
        <f>SUM(K74:K79)</f>
        <v>0</v>
      </c>
    </row>
    <row r="74" spans="1:11">
      <c r="A74" s="12" t="s">
        <v>708</v>
      </c>
      <c r="B74" s="13" t="s">
        <v>659</v>
      </c>
      <c r="C74" s="11"/>
      <c r="D74" s="14" t="s">
        <v>124</v>
      </c>
      <c r="E74" s="14">
        <f>F74</f>
        <v>2704.11</v>
      </c>
      <c r="F74" s="15">
        <v>2704.11</v>
      </c>
      <c r="G74" s="15">
        <f t="shared" ref="G74:G79" si="30">F74-E74</f>
        <v>0</v>
      </c>
      <c r="H74" s="196">
        <v>1.75</v>
      </c>
      <c r="I74" s="15">
        <f t="shared" si="29"/>
        <v>4732.1925000000001</v>
      </c>
      <c r="J74" s="15">
        <f>H74*F74</f>
        <v>4732.1925000000001</v>
      </c>
      <c r="K74" s="216">
        <f>J74-I74</f>
        <v>0</v>
      </c>
    </row>
    <row r="75" spans="1:11" ht="26">
      <c r="A75" s="12" t="s">
        <v>709</v>
      </c>
      <c r="B75" s="13" t="s">
        <v>660</v>
      </c>
      <c r="C75" s="11"/>
      <c r="D75" s="14" t="s">
        <v>87</v>
      </c>
      <c r="E75" s="14">
        <f t="shared" ref="E75:E79" si="31">F75</f>
        <v>81.12</v>
      </c>
      <c r="F75" s="15">
        <v>81.12</v>
      </c>
      <c r="G75" s="15">
        <f t="shared" si="30"/>
        <v>0</v>
      </c>
      <c r="H75" s="196">
        <v>10.32</v>
      </c>
      <c r="I75" s="15">
        <f t="shared" si="29"/>
        <v>837.15840000000003</v>
      </c>
      <c r="J75" s="15">
        <f t="shared" ref="J75:J79" si="32">H75*F75</f>
        <v>837.15840000000003</v>
      </c>
      <c r="K75" s="216">
        <f t="shared" ref="K75:K79" si="33">J75-I75</f>
        <v>0</v>
      </c>
    </row>
    <row r="76" spans="1:11" ht="28.5" customHeight="1">
      <c r="A76" s="12" t="s">
        <v>710</v>
      </c>
      <c r="B76" s="13" t="s">
        <v>661</v>
      </c>
      <c r="C76" s="11"/>
      <c r="D76" s="14" t="s">
        <v>1486</v>
      </c>
      <c r="E76" s="14">
        <f t="shared" si="31"/>
        <v>2433.6999999999998</v>
      </c>
      <c r="F76" s="15">
        <v>2433.6999999999998</v>
      </c>
      <c r="G76" s="15">
        <f t="shared" si="30"/>
        <v>0</v>
      </c>
      <c r="H76" s="196">
        <v>2.14</v>
      </c>
      <c r="I76" s="15">
        <f t="shared" si="29"/>
        <v>5208.1179999999995</v>
      </c>
      <c r="J76" s="15">
        <f t="shared" si="32"/>
        <v>5208.1179999999995</v>
      </c>
      <c r="K76" s="216">
        <f t="shared" si="33"/>
        <v>0</v>
      </c>
    </row>
    <row r="77" spans="1:11" ht="29" customHeight="1">
      <c r="A77" s="12" t="s">
        <v>711</v>
      </c>
      <c r="B77" s="13" t="s">
        <v>669</v>
      </c>
      <c r="C77" s="11"/>
      <c r="D77" s="14" t="s">
        <v>1486</v>
      </c>
      <c r="E77" s="14">
        <f t="shared" si="31"/>
        <v>5020.1400000000003</v>
      </c>
      <c r="F77" s="15">
        <v>5020.1400000000003</v>
      </c>
      <c r="G77" s="15">
        <f t="shared" si="30"/>
        <v>0</v>
      </c>
      <c r="H77" s="196">
        <v>0.87</v>
      </c>
      <c r="I77" s="15">
        <f t="shared" si="29"/>
        <v>4367.5218000000004</v>
      </c>
      <c r="J77" s="15">
        <f t="shared" si="32"/>
        <v>4367.5218000000004</v>
      </c>
      <c r="K77" s="216">
        <f t="shared" si="33"/>
        <v>0</v>
      </c>
    </row>
    <row r="78" spans="1:11" ht="28" customHeight="1">
      <c r="A78" s="12" t="s">
        <v>712</v>
      </c>
      <c r="B78" s="13" t="s">
        <v>662</v>
      </c>
      <c r="C78" s="11"/>
      <c r="D78" s="14" t="s">
        <v>87</v>
      </c>
      <c r="E78" s="14">
        <f t="shared" si="31"/>
        <v>81.12</v>
      </c>
      <c r="F78" s="15">
        <v>81.12</v>
      </c>
      <c r="G78" s="15">
        <f t="shared" si="30"/>
        <v>0</v>
      </c>
      <c r="H78" s="196">
        <v>1248.29</v>
      </c>
      <c r="I78" s="15">
        <f t="shared" si="29"/>
        <v>101261.28480000001</v>
      </c>
      <c r="J78" s="15">
        <f t="shared" si="32"/>
        <v>101261.28480000001</v>
      </c>
      <c r="K78" s="216">
        <f t="shared" si="33"/>
        <v>0</v>
      </c>
    </row>
    <row r="79" spans="1:11" ht="17.5" customHeight="1">
      <c r="A79" s="12" t="s">
        <v>713</v>
      </c>
      <c r="B79" s="13" t="s">
        <v>663</v>
      </c>
      <c r="C79" s="11"/>
      <c r="D79" s="14" t="s">
        <v>124</v>
      </c>
      <c r="E79" s="14">
        <f t="shared" si="31"/>
        <v>2704.11</v>
      </c>
      <c r="F79" s="15">
        <v>2704.11</v>
      </c>
      <c r="G79" s="15">
        <f t="shared" si="30"/>
        <v>0</v>
      </c>
      <c r="H79" s="196">
        <v>2.83</v>
      </c>
      <c r="I79" s="15">
        <f t="shared" si="29"/>
        <v>7652.6313000000009</v>
      </c>
      <c r="J79" s="15">
        <f t="shared" si="32"/>
        <v>7652.6313000000009</v>
      </c>
      <c r="K79" s="216">
        <f t="shared" si="33"/>
        <v>0</v>
      </c>
    </row>
    <row r="80" spans="1:11">
      <c r="A80" s="8" t="s">
        <v>28</v>
      </c>
      <c r="B80" s="9" t="s">
        <v>670</v>
      </c>
      <c r="C80" s="8"/>
      <c r="D80" s="8"/>
      <c r="E80" s="8"/>
      <c r="F80" s="203"/>
      <c r="G80" s="203"/>
      <c r="H80" s="195"/>
      <c r="I80" s="10">
        <f>SUM(I81:I86)</f>
        <v>124058.9068</v>
      </c>
      <c r="J80" s="10">
        <f>SUM(J81:J86)</f>
        <v>124058.9068</v>
      </c>
      <c r="K80" s="10">
        <f>SUM(K81:K86)</f>
        <v>0</v>
      </c>
    </row>
    <row r="81" spans="1:11">
      <c r="A81" s="12" t="s">
        <v>714</v>
      </c>
      <c r="B81" s="13" t="s">
        <v>659</v>
      </c>
      <c r="C81" s="11"/>
      <c r="D81" s="15" t="s">
        <v>124</v>
      </c>
      <c r="E81" s="14">
        <f>F81</f>
        <v>2704.11</v>
      </c>
      <c r="F81" s="15">
        <v>2704.11</v>
      </c>
      <c r="G81" s="15">
        <f t="shared" ref="G81:G86" si="34">F81-E81</f>
        <v>0</v>
      </c>
      <c r="H81" s="196">
        <v>1.75</v>
      </c>
      <c r="I81" s="15">
        <f t="shared" si="29"/>
        <v>4732.1925000000001</v>
      </c>
      <c r="J81" s="15">
        <f>H81*F81</f>
        <v>4732.1925000000001</v>
      </c>
      <c r="K81" s="216">
        <f>J81-I81</f>
        <v>0</v>
      </c>
    </row>
    <row r="82" spans="1:11" ht="26">
      <c r="A82" s="12" t="s">
        <v>715</v>
      </c>
      <c r="B82" s="13" t="s">
        <v>660</v>
      </c>
      <c r="C82" s="11"/>
      <c r="D82" s="15" t="s">
        <v>87</v>
      </c>
      <c r="E82" s="14">
        <f t="shared" ref="E82:E86" si="35">F82</f>
        <v>81.12</v>
      </c>
      <c r="F82" s="199">
        <v>81.12</v>
      </c>
      <c r="G82" s="15">
        <f t="shared" si="34"/>
        <v>0</v>
      </c>
      <c r="H82" s="196">
        <v>10.32</v>
      </c>
      <c r="I82" s="15">
        <f t="shared" si="29"/>
        <v>837.15840000000003</v>
      </c>
      <c r="J82" s="15">
        <f t="shared" ref="J82:J86" si="36">H82*F82</f>
        <v>837.15840000000003</v>
      </c>
      <c r="K82" s="216">
        <f t="shared" ref="K82:K86" si="37">J82-I82</f>
        <v>0</v>
      </c>
    </row>
    <row r="83" spans="1:11" ht="28.5" customHeight="1">
      <c r="A83" s="12" t="s">
        <v>716</v>
      </c>
      <c r="B83" s="13" t="s">
        <v>661</v>
      </c>
      <c r="C83" s="11"/>
      <c r="D83" s="15" t="s">
        <v>1486</v>
      </c>
      <c r="E83" s="14">
        <f t="shared" si="35"/>
        <v>2433.6999999999998</v>
      </c>
      <c r="F83" s="199">
        <v>2433.6999999999998</v>
      </c>
      <c r="G83" s="15">
        <f t="shared" si="34"/>
        <v>0</v>
      </c>
      <c r="H83" s="196">
        <v>2.14</v>
      </c>
      <c r="I83" s="15">
        <f t="shared" si="29"/>
        <v>5208.1179999999995</v>
      </c>
      <c r="J83" s="15">
        <f t="shared" si="36"/>
        <v>5208.1179999999995</v>
      </c>
      <c r="K83" s="216">
        <f t="shared" si="37"/>
        <v>0</v>
      </c>
    </row>
    <row r="84" spans="1:11" ht="32.5" customHeight="1">
      <c r="A84" s="12" t="s">
        <v>717</v>
      </c>
      <c r="B84" s="19" t="s">
        <v>669</v>
      </c>
      <c r="C84" s="11"/>
      <c r="D84" s="192" t="s">
        <v>1486</v>
      </c>
      <c r="E84" s="14">
        <f t="shared" si="35"/>
        <v>5020.1400000000003</v>
      </c>
      <c r="F84" s="204">
        <v>5020.1400000000003</v>
      </c>
      <c r="G84" s="15">
        <f t="shared" si="34"/>
        <v>0</v>
      </c>
      <c r="H84" s="197">
        <v>0.87</v>
      </c>
      <c r="I84" s="15">
        <f t="shared" si="29"/>
        <v>4367.5218000000004</v>
      </c>
      <c r="J84" s="15">
        <f t="shared" si="36"/>
        <v>4367.5218000000004</v>
      </c>
      <c r="K84" s="216">
        <f t="shared" si="37"/>
        <v>0</v>
      </c>
    </row>
    <row r="85" spans="1:11" ht="26.5">
      <c r="A85" s="12" t="s">
        <v>718</v>
      </c>
      <c r="B85" s="19" t="s">
        <v>671</v>
      </c>
      <c r="C85" s="11"/>
      <c r="D85" s="15" t="s">
        <v>87</v>
      </c>
      <c r="E85" s="14">
        <f t="shared" si="35"/>
        <v>81.12</v>
      </c>
      <c r="F85" s="199">
        <v>81.12</v>
      </c>
      <c r="G85" s="15">
        <f t="shared" si="34"/>
        <v>0</v>
      </c>
      <c r="H85" s="196">
        <v>1248.29</v>
      </c>
      <c r="I85" s="15">
        <f t="shared" si="29"/>
        <v>101261.28480000001</v>
      </c>
      <c r="J85" s="15">
        <f t="shared" si="36"/>
        <v>101261.28480000001</v>
      </c>
      <c r="K85" s="216">
        <f t="shared" si="37"/>
        <v>0</v>
      </c>
    </row>
    <row r="86" spans="1:11" ht="16.5" customHeight="1">
      <c r="A86" s="12" t="s">
        <v>719</v>
      </c>
      <c r="B86" s="17" t="s">
        <v>672</v>
      </c>
      <c r="C86" s="11" t="s">
        <v>87</v>
      </c>
      <c r="D86" s="15" t="s">
        <v>124</v>
      </c>
      <c r="E86" s="14">
        <f t="shared" si="35"/>
        <v>2704.11</v>
      </c>
      <c r="F86" s="199">
        <v>2704.11</v>
      </c>
      <c r="G86" s="15">
        <f t="shared" si="34"/>
        <v>0</v>
      </c>
      <c r="H86" s="196">
        <v>2.83</v>
      </c>
      <c r="I86" s="15">
        <f t="shared" si="29"/>
        <v>7652.6313000000009</v>
      </c>
      <c r="J86" s="15">
        <f t="shared" si="36"/>
        <v>7652.6313000000009</v>
      </c>
      <c r="K86" s="216">
        <f t="shared" si="37"/>
        <v>0</v>
      </c>
    </row>
    <row r="87" spans="1:11">
      <c r="A87" s="8" t="s">
        <v>29</v>
      </c>
      <c r="B87" s="9" t="s">
        <v>107</v>
      </c>
      <c r="C87" s="8"/>
      <c r="D87" s="8"/>
      <c r="E87" s="8"/>
      <c r="F87" s="203"/>
      <c r="G87" s="203"/>
      <c r="H87" s="195"/>
      <c r="I87" s="10">
        <f>SUM(I88:I90)</f>
        <v>0</v>
      </c>
      <c r="J87" s="10">
        <f>SUM(J88:J90)</f>
        <v>0</v>
      </c>
      <c r="K87" s="10">
        <f>SUM(K88:K90)</f>
        <v>0</v>
      </c>
    </row>
    <row r="88" spans="1:11" ht="39">
      <c r="A88" s="12" t="s">
        <v>720</v>
      </c>
      <c r="B88" s="13" t="s">
        <v>674</v>
      </c>
      <c r="C88" s="11" t="s">
        <v>33</v>
      </c>
      <c r="D88" s="14" t="s">
        <v>1487</v>
      </c>
      <c r="E88" s="14"/>
      <c r="F88" s="15"/>
      <c r="G88" s="15">
        <f>F88-E88</f>
        <v>0</v>
      </c>
      <c r="H88" s="196">
        <v>625.09</v>
      </c>
      <c r="I88" s="15">
        <f t="shared" si="29"/>
        <v>0</v>
      </c>
      <c r="J88" s="15">
        <f>H88*F88</f>
        <v>0</v>
      </c>
      <c r="K88" s="216">
        <f>J88-I88</f>
        <v>0</v>
      </c>
    </row>
    <row r="89" spans="1:11" ht="17" customHeight="1">
      <c r="A89" s="12" t="s">
        <v>721</v>
      </c>
      <c r="B89" s="194" t="s">
        <v>680</v>
      </c>
      <c r="C89" s="11" t="s">
        <v>33</v>
      </c>
      <c r="D89" s="14" t="s">
        <v>124</v>
      </c>
      <c r="E89" s="14"/>
      <c r="F89" s="15"/>
      <c r="G89" s="15">
        <f>F89-E89</f>
        <v>0</v>
      </c>
      <c r="H89" s="196">
        <v>16.260000000000002</v>
      </c>
      <c r="I89" s="15">
        <f t="shared" si="29"/>
        <v>0</v>
      </c>
      <c r="J89" s="15">
        <f t="shared" ref="J89:J90" si="38">H89*F89</f>
        <v>0</v>
      </c>
      <c r="K89" s="216">
        <f t="shared" ref="K89:K90" si="39">J89-I89</f>
        <v>0</v>
      </c>
    </row>
    <row r="90" spans="1:11" ht="16.5" customHeight="1">
      <c r="A90" s="12" t="s">
        <v>722</v>
      </c>
      <c r="B90" s="13" t="s">
        <v>675</v>
      </c>
      <c r="C90" s="11" t="s">
        <v>33</v>
      </c>
      <c r="D90" s="14" t="s">
        <v>124</v>
      </c>
      <c r="E90" s="14"/>
      <c r="F90" s="15"/>
      <c r="G90" s="15">
        <f>F90-E90</f>
        <v>0</v>
      </c>
      <c r="H90" s="196">
        <v>4.5599999999999996</v>
      </c>
      <c r="I90" s="15">
        <f t="shared" si="29"/>
        <v>0</v>
      </c>
      <c r="J90" s="15">
        <f t="shared" si="38"/>
        <v>0</v>
      </c>
      <c r="K90" s="216">
        <f t="shared" si="39"/>
        <v>0</v>
      </c>
    </row>
    <row r="91" spans="1:11">
      <c r="A91" s="8" t="s">
        <v>723</v>
      </c>
      <c r="B91" s="9" t="s">
        <v>678</v>
      </c>
      <c r="C91" s="8"/>
      <c r="D91" s="8"/>
      <c r="E91" s="8"/>
      <c r="F91" s="203"/>
      <c r="G91" s="203"/>
      <c r="H91" s="195"/>
      <c r="I91" s="10">
        <f>SUM(I92:I93)</f>
        <v>4732.1925000000001</v>
      </c>
      <c r="J91" s="10">
        <f>SUM(J92:J93)</f>
        <v>4732.1925000000001</v>
      </c>
      <c r="K91" s="10">
        <f>SUM(K92:K93)</f>
        <v>0</v>
      </c>
    </row>
    <row r="92" spans="1:11">
      <c r="A92" s="12" t="s">
        <v>724</v>
      </c>
      <c r="B92" s="13" t="s">
        <v>659</v>
      </c>
      <c r="C92" s="11" t="s">
        <v>11</v>
      </c>
      <c r="D92" s="14" t="s">
        <v>124</v>
      </c>
      <c r="E92" s="14">
        <f>F92</f>
        <v>2704.11</v>
      </c>
      <c r="F92" s="15">
        <v>2704.11</v>
      </c>
      <c r="G92" s="15">
        <f>F92-E92</f>
        <v>0</v>
      </c>
      <c r="H92" s="196">
        <v>1.75</v>
      </c>
      <c r="I92" s="15">
        <f t="shared" si="29"/>
        <v>4732.1925000000001</v>
      </c>
      <c r="J92" s="15">
        <f>H92*F92</f>
        <v>4732.1925000000001</v>
      </c>
      <c r="K92" s="216">
        <f>J92-I92</f>
        <v>0</v>
      </c>
    </row>
    <row r="93" spans="1:11">
      <c r="A93" s="12" t="s">
        <v>725</v>
      </c>
      <c r="B93" s="13" t="s">
        <v>679</v>
      </c>
      <c r="C93" s="11" t="s">
        <v>11</v>
      </c>
      <c r="D93" s="14" t="s">
        <v>1487</v>
      </c>
      <c r="E93" s="14"/>
      <c r="F93" s="15"/>
      <c r="G93" s="15">
        <f>F93-E93</f>
        <v>0</v>
      </c>
      <c r="H93" s="196">
        <v>92.34</v>
      </c>
      <c r="I93" s="15">
        <f t="shared" si="29"/>
        <v>0</v>
      </c>
      <c r="J93" s="15">
        <f>H93*F93</f>
        <v>0</v>
      </c>
      <c r="K93" s="216">
        <f>J93-I93</f>
        <v>0</v>
      </c>
    </row>
    <row r="94" spans="1:11">
      <c r="A94" s="184">
        <v>4</v>
      </c>
      <c r="B94" s="191" t="s">
        <v>1457</v>
      </c>
      <c r="C94" s="184"/>
      <c r="D94" s="184"/>
      <c r="E94" s="184"/>
      <c r="F94" s="202"/>
      <c r="G94" s="202"/>
      <c r="H94" s="198"/>
      <c r="I94" s="185"/>
      <c r="J94" s="185">
        <f>SUM(J95,J98,J100,J107,J114,J118)</f>
        <v>27587.789599999996</v>
      </c>
      <c r="K94" s="185">
        <f>SUM(K95,K98,K100,K107,K114,K118)</f>
        <v>27587.789599999996</v>
      </c>
    </row>
    <row r="95" spans="1:11">
      <c r="A95" s="8" t="s">
        <v>32</v>
      </c>
      <c r="B95" s="9" t="s">
        <v>8</v>
      </c>
      <c r="C95" s="8"/>
      <c r="D95" s="8"/>
      <c r="E95" s="8"/>
      <c r="F95" s="203"/>
      <c r="G95" s="203"/>
      <c r="H95" s="195"/>
      <c r="I95" s="10"/>
      <c r="J95" s="10">
        <f>SUM(J96:J97)</f>
        <v>1852.7641000000001</v>
      </c>
      <c r="K95" s="10">
        <f>SUM(K96:K97)</f>
        <v>1852.7641000000001</v>
      </c>
    </row>
    <row r="96" spans="1:11" ht="26">
      <c r="A96" s="12" t="s">
        <v>726</v>
      </c>
      <c r="B96" s="13" t="s">
        <v>653</v>
      </c>
      <c r="C96" s="11" t="s">
        <v>13</v>
      </c>
      <c r="D96" s="14" t="s">
        <v>124</v>
      </c>
      <c r="E96" s="14"/>
      <c r="F96" s="15">
        <v>276.35000000000002</v>
      </c>
      <c r="G96" s="15">
        <f>F96-E96</f>
        <v>276.35000000000002</v>
      </c>
      <c r="H96" s="196">
        <v>0.36</v>
      </c>
      <c r="I96" s="15">
        <f>H96*E96</f>
        <v>0</v>
      </c>
      <c r="J96" s="15">
        <f>H96*F96</f>
        <v>99.486000000000004</v>
      </c>
      <c r="K96" s="15">
        <f t="shared" ref="K96:K97" si="40">G96*H96</f>
        <v>99.486000000000004</v>
      </c>
    </row>
    <row r="97" spans="1:11" ht="52">
      <c r="A97" s="12" t="s">
        <v>727</v>
      </c>
      <c r="B97" s="13" t="s">
        <v>650</v>
      </c>
      <c r="C97" s="11" t="s">
        <v>11</v>
      </c>
      <c r="D97" s="14" t="s">
        <v>124</v>
      </c>
      <c r="E97" s="14"/>
      <c r="F97" s="15">
        <v>28.43</v>
      </c>
      <c r="G97" s="15">
        <f>F97-E97</f>
        <v>28.43</v>
      </c>
      <c r="H97" s="196">
        <v>61.67</v>
      </c>
      <c r="I97" s="15">
        <f>H97*E97</f>
        <v>0</v>
      </c>
      <c r="J97" s="15">
        <f>H97*F97</f>
        <v>1753.2781</v>
      </c>
      <c r="K97" s="15">
        <f t="shared" si="40"/>
        <v>1753.2781</v>
      </c>
    </row>
    <row r="98" spans="1:11">
      <c r="A98" s="8" t="s">
        <v>728</v>
      </c>
      <c r="B98" s="9" t="s">
        <v>655</v>
      </c>
      <c r="C98" s="8"/>
      <c r="D98" s="8"/>
      <c r="E98" s="8"/>
      <c r="F98" s="203"/>
      <c r="G98" s="203"/>
      <c r="H98" s="195"/>
      <c r="I98" s="195"/>
      <c r="J98" s="10">
        <f>SUM(J99:J99)</f>
        <v>105.01300000000001</v>
      </c>
      <c r="K98" s="10">
        <f>SUM(K99:K99)</f>
        <v>105.01300000000001</v>
      </c>
    </row>
    <row r="99" spans="1:11" ht="26">
      <c r="A99" s="12" t="s">
        <v>729</v>
      </c>
      <c r="B99" s="13" t="s">
        <v>656</v>
      </c>
      <c r="C99" s="11"/>
      <c r="D99" s="14" t="s">
        <v>124</v>
      </c>
      <c r="E99" s="14"/>
      <c r="F99" s="15">
        <v>276.35000000000002</v>
      </c>
      <c r="G99" s="15">
        <f>F99-E99</f>
        <v>276.35000000000002</v>
      </c>
      <c r="H99" s="196">
        <v>0.38</v>
      </c>
      <c r="I99" s="15">
        <f t="shared" ref="I99:I120" si="41">H99*E99</f>
        <v>0</v>
      </c>
      <c r="J99" s="15">
        <f>H99*F99</f>
        <v>105.01300000000001</v>
      </c>
      <c r="K99" s="15">
        <f t="shared" ref="K99" si="42">G99*H99</f>
        <v>105.01300000000001</v>
      </c>
    </row>
    <row r="100" spans="1:11">
      <c r="A100" s="8" t="s">
        <v>730</v>
      </c>
      <c r="B100" s="9" t="s">
        <v>658</v>
      </c>
      <c r="C100" s="8"/>
      <c r="D100" s="8"/>
      <c r="E100" s="8"/>
      <c r="F100" s="203"/>
      <c r="G100" s="203"/>
      <c r="H100" s="195"/>
      <c r="I100" s="195"/>
      <c r="J100" s="10">
        <f>SUM(J101:J106)</f>
        <v>12573.199999999999</v>
      </c>
      <c r="K100" s="10">
        <f>SUM(K101:K106)</f>
        <v>12573.199999999999</v>
      </c>
    </row>
    <row r="101" spans="1:11">
      <c r="A101" s="12" t="s">
        <v>731</v>
      </c>
      <c r="B101" s="13" t="s">
        <v>659</v>
      </c>
      <c r="C101" s="11"/>
      <c r="D101" s="14" t="s">
        <v>124</v>
      </c>
      <c r="E101" s="14"/>
      <c r="F101" s="15">
        <v>276.35000000000002</v>
      </c>
      <c r="G101" s="15">
        <f t="shared" ref="G101:G106" si="43">F101-E101</f>
        <v>276.35000000000002</v>
      </c>
      <c r="H101" s="196">
        <v>1.75</v>
      </c>
      <c r="I101" s="15">
        <f t="shared" si="41"/>
        <v>0</v>
      </c>
      <c r="J101" s="15">
        <f>H101*F101</f>
        <v>483.61250000000007</v>
      </c>
      <c r="K101" s="15">
        <f t="shared" ref="K101:K106" si="44">G101*H101</f>
        <v>483.61250000000007</v>
      </c>
    </row>
    <row r="102" spans="1:11" ht="26">
      <c r="A102" s="12" t="s">
        <v>732</v>
      </c>
      <c r="B102" s="13" t="s">
        <v>660</v>
      </c>
      <c r="C102" s="11"/>
      <c r="D102" s="14" t="s">
        <v>87</v>
      </c>
      <c r="E102" s="14"/>
      <c r="F102" s="15">
        <v>8.2899999999999991</v>
      </c>
      <c r="G102" s="15">
        <f t="shared" si="43"/>
        <v>8.2899999999999991</v>
      </c>
      <c r="H102" s="196">
        <v>10.32</v>
      </c>
      <c r="I102" s="15">
        <f t="shared" si="41"/>
        <v>0</v>
      </c>
      <c r="J102" s="15">
        <f t="shared" ref="J102:J106" si="45">H102*F102</f>
        <v>85.552799999999991</v>
      </c>
      <c r="K102" s="15">
        <f t="shared" si="44"/>
        <v>85.552799999999991</v>
      </c>
    </row>
    <row r="103" spans="1:11" ht="28.5" customHeight="1">
      <c r="A103" s="12" t="s">
        <v>733</v>
      </c>
      <c r="B103" s="13" t="s">
        <v>661</v>
      </c>
      <c r="C103" s="11"/>
      <c r="D103" s="14" t="s">
        <v>1486</v>
      </c>
      <c r="E103" s="14"/>
      <c r="F103" s="15">
        <v>248.72</v>
      </c>
      <c r="G103" s="15">
        <f t="shared" si="43"/>
        <v>248.72</v>
      </c>
      <c r="H103" s="196">
        <v>2.14</v>
      </c>
      <c r="I103" s="15">
        <f t="shared" si="41"/>
        <v>0</v>
      </c>
      <c r="J103" s="15">
        <f t="shared" si="45"/>
        <v>532.26080000000002</v>
      </c>
      <c r="K103" s="15">
        <f t="shared" si="44"/>
        <v>532.26080000000002</v>
      </c>
    </row>
    <row r="104" spans="1:11" ht="29" customHeight="1">
      <c r="A104" s="12" t="s">
        <v>734</v>
      </c>
      <c r="B104" s="13" t="s">
        <v>669</v>
      </c>
      <c r="C104" s="11"/>
      <c r="D104" s="14" t="s">
        <v>1486</v>
      </c>
      <c r="E104" s="14"/>
      <c r="F104" s="15">
        <v>392.39</v>
      </c>
      <c r="G104" s="15">
        <f t="shared" si="43"/>
        <v>392.39</v>
      </c>
      <c r="H104" s="196">
        <v>0.87</v>
      </c>
      <c r="I104" s="15">
        <f t="shared" si="41"/>
        <v>0</v>
      </c>
      <c r="J104" s="15">
        <f t="shared" si="45"/>
        <v>341.3793</v>
      </c>
      <c r="K104" s="15">
        <f t="shared" si="44"/>
        <v>341.3793</v>
      </c>
    </row>
    <row r="105" spans="1:11" ht="28" customHeight="1">
      <c r="A105" s="12" t="s">
        <v>735</v>
      </c>
      <c r="B105" s="13" t="s">
        <v>662</v>
      </c>
      <c r="C105" s="11"/>
      <c r="D105" s="14" t="s">
        <v>87</v>
      </c>
      <c r="E105" s="14"/>
      <c r="F105" s="15">
        <v>8.2899999999999991</v>
      </c>
      <c r="G105" s="15">
        <f t="shared" si="43"/>
        <v>8.2899999999999991</v>
      </c>
      <c r="H105" s="196">
        <v>1248.29</v>
      </c>
      <c r="I105" s="15">
        <f t="shared" si="41"/>
        <v>0</v>
      </c>
      <c r="J105" s="15">
        <f t="shared" si="45"/>
        <v>10348.324099999998</v>
      </c>
      <c r="K105" s="15">
        <f t="shared" si="44"/>
        <v>10348.324099999998</v>
      </c>
    </row>
    <row r="106" spans="1:11" ht="17.5" customHeight="1">
      <c r="A106" s="12" t="s">
        <v>736</v>
      </c>
      <c r="B106" s="13" t="s">
        <v>663</v>
      </c>
      <c r="C106" s="11"/>
      <c r="D106" s="14" t="s">
        <v>124</v>
      </c>
      <c r="E106" s="14"/>
      <c r="F106" s="15">
        <v>276.35000000000002</v>
      </c>
      <c r="G106" s="15">
        <f t="shared" si="43"/>
        <v>276.35000000000002</v>
      </c>
      <c r="H106" s="196">
        <v>2.83</v>
      </c>
      <c r="I106" s="15">
        <f t="shared" si="41"/>
        <v>0</v>
      </c>
      <c r="J106" s="15">
        <f t="shared" si="45"/>
        <v>782.07050000000004</v>
      </c>
      <c r="K106" s="15">
        <f t="shared" si="44"/>
        <v>782.07050000000004</v>
      </c>
    </row>
    <row r="107" spans="1:11">
      <c r="A107" s="8" t="s">
        <v>737</v>
      </c>
      <c r="B107" s="9" t="s">
        <v>670</v>
      </c>
      <c r="C107" s="8"/>
      <c r="D107" s="8"/>
      <c r="E107" s="8"/>
      <c r="F107" s="203"/>
      <c r="G107" s="203"/>
      <c r="H107" s="195"/>
      <c r="I107" s="195"/>
      <c r="J107" s="10">
        <f>SUM(J108:J113)</f>
        <v>12573.199999999999</v>
      </c>
      <c r="K107" s="10">
        <f>SUM(K108:K113)</f>
        <v>12573.199999999999</v>
      </c>
    </row>
    <row r="108" spans="1:11">
      <c r="A108" s="12" t="s">
        <v>738</v>
      </c>
      <c r="B108" s="13" t="s">
        <v>659</v>
      </c>
      <c r="C108" s="11"/>
      <c r="D108" s="15" t="s">
        <v>124</v>
      </c>
      <c r="E108" s="14"/>
      <c r="F108" s="15">
        <v>276.35000000000002</v>
      </c>
      <c r="G108" s="15">
        <f t="shared" ref="G108:G113" si="46">F108-E108</f>
        <v>276.35000000000002</v>
      </c>
      <c r="H108" s="196">
        <v>1.75</v>
      </c>
      <c r="I108" s="15">
        <f t="shared" si="41"/>
        <v>0</v>
      </c>
      <c r="J108" s="15">
        <f>H108*F108</f>
        <v>483.61250000000007</v>
      </c>
      <c r="K108" s="15">
        <f t="shared" ref="K108:K113" si="47">G108*H108</f>
        <v>483.61250000000007</v>
      </c>
    </row>
    <row r="109" spans="1:11" ht="26">
      <c r="A109" s="12" t="s">
        <v>739</v>
      </c>
      <c r="B109" s="13" t="s">
        <v>660</v>
      </c>
      <c r="C109" s="11"/>
      <c r="D109" s="15" t="s">
        <v>87</v>
      </c>
      <c r="E109" s="14"/>
      <c r="F109" s="15">
        <v>8.2899999999999991</v>
      </c>
      <c r="G109" s="15">
        <f t="shared" si="46"/>
        <v>8.2899999999999991</v>
      </c>
      <c r="H109" s="196">
        <v>10.32</v>
      </c>
      <c r="I109" s="15">
        <f t="shared" si="41"/>
        <v>0</v>
      </c>
      <c r="J109" s="15">
        <f t="shared" ref="J109:J113" si="48">H109*F109</f>
        <v>85.552799999999991</v>
      </c>
      <c r="K109" s="15">
        <f t="shared" si="47"/>
        <v>85.552799999999991</v>
      </c>
    </row>
    <row r="110" spans="1:11" ht="28.5" customHeight="1">
      <c r="A110" s="12" t="s">
        <v>740</v>
      </c>
      <c r="B110" s="13" t="s">
        <v>661</v>
      </c>
      <c r="C110" s="11"/>
      <c r="D110" s="15" t="s">
        <v>1486</v>
      </c>
      <c r="E110" s="14"/>
      <c r="F110" s="15">
        <v>248.72</v>
      </c>
      <c r="G110" s="15">
        <f t="shared" si="46"/>
        <v>248.72</v>
      </c>
      <c r="H110" s="196">
        <v>2.14</v>
      </c>
      <c r="I110" s="15">
        <f t="shared" si="41"/>
        <v>0</v>
      </c>
      <c r="J110" s="15">
        <f t="shared" si="48"/>
        <v>532.26080000000002</v>
      </c>
      <c r="K110" s="15">
        <f t="shared" si="47"/>
        <v>532.26080000000002</v>
      </c>
    </row>
    <row r="111" spans="1:11" ht="32.5" customHeight="1">
      <c r="A111" s="12" t="s">
        <v>741</v>
      </c>
      <c r="B111" s="19" t="s">
        <v>669</v>
      </c>
      <c r="C111" s="11"/>
      <c r="D111" s="192" t="s">
        <v>1486</v>
      </c>
      <c r="E111" s="193"/>
      <c r="F111" s="15">
        <v>392.39</v>
      </c>
      <c r="G111" s="15">
        <f t="shared" si="46"/>
        <v>392.39</v>
      </c>
      <c r="H111" s="197">
        <v>0.87</v>
      </c>
      <c r="I111" s="15">
        <f t="shared" si="41"/>
        <v>0</v>
      </c>
      <c r="J111" s="15">
        <f t="shared" si="48"/>
        <v>341.3793</v>
      </c>
      <c r="K111" s="15">
        <f t="shared" si="47"/>
        <v>341.3793</v>
      </c>
    </row>
    <row r="112" spans="1:11" ht="26.5">
      <c r="A112" s="12" t="s">
        <v>742</v>
      </c>
      <c r="B112" s="19" t="s">
        <v>671</v>
      </c>
      <c r="C112" s="11"/>
      <c r="D112" s="15" t="s">
        <v>87</v>
      </c>
      <c r="E112" s="14"/>
      <c r="F112" s="15">
        <v>8.2899999999999991</v>
      </c>
      <c r="G112" s="15">
        <f t="shared" si="46"/>
        <v>8.2899999999999991</v>
      </c>
      <c r="H112" s="196">
        <v>1248.29</v>
      </c>
      <c r="I112" s="15">
        <f t="shared" si="41"/>
        <v>0</v>
      </c>
      <c r="J112" s="15">
        <f t="shared" si="48"/>
        <v>10348.324099999998</v>
      </c>
      <c r="K112" s="15">
        <f t="shared" si="47"/>
        <v>10348.324099999998</v>
      </c>
    </row>
    <row r="113" spans="1:11" ht="16.5" customHeight="1">
      <c r="A113" s="12" t="s">
        <v>743</v>
      </c>
      <c r="B113" s="17" t="s">
        <v>672</v>
      </c>
      <c r="C113" s="11" t="s">
        <v>87</v>
      </c>
      <c r="D113" s="15" t="s">
        <v>124</v>
      </c>
      <c r="E113" s="14"/>
      <c r="F113" s="15">
        <v>276.35000000000002</v>
      </c>
      <c r="G113" s="15">
        <f t="shared" si="46"/>
        <v>276.35000000000002</v>
      </c>
      <c r="H113" s="196">
        <v>2.83</v>
      </c>
      <c r="I113" s="15">
        <f t="shared" si="41"/>
        <v>0</v>
      </c>
      <c r="J113" s="15">
        <f t="shared" si="48"/>
        <v>782.07050000000004</v>
      </c>
      <c r="K113" s="15">
        <f t="shared" si="47"/>
        <v>782.07050000000004</v>
      </c>
    </row>
    <row r="114" spans="1:11">
      <c r="A114" s="8" t="s">
        <v>744</v>
      </c>
      <c r="B114" s="9" t="s">
        <v>107</v>
      </c>
      <c r="C114" s="8"/>
      <c r="D114" s="8"/>
      <c r="E114" s="8"/>
      <c r="F114" s="203"/>
      <c r="G114" s="203"/>
      <c r="H114" s="195"/>
      <c r="I114" s="195"/>
      <c r="J114" s="10">
        <f>SUM(J115:J117)</f>
        <v>0</v>
      </c>
      <c r="K114" s="10">
        <f>SUM(K115:K117)</f>
        <v>0</v>
      </c>
    </row>
    <row r="115" spans="1:11" ht="39">
      <c r="A115" s="12" t="s">
        <v>745</v>
      </c>
      <c r="B115" s="13" t="s">
        <v>674</v>
      </c>
      <c r="C115" s="11" t="s">
        <v>33</v>
      </c>
      <c r="D115" s="14" t="s">
        <v>1487</v>
      </c>
      <c r="E115" s="14"/>
      <c r="F115" s="15"/>
      <c r="G115" s="15">
        <f>F115-E115</f>
        <v>0</v>
      </c>
      <c r="H115" s="196">
        <v>625.09</v>
      </c>
      <c r="I115" s="15">
        <f t="shared" si="41"/>
        <v>0</v>
      </c>
      <c r="J115" s="15">
        <f>H115*F115</f>
        <v>0</v>
      </c>
      <c r="K115" s="15">
        <f t="shared" ref="K115:K117" si="49">G115*H115</f>
        <v>0</v>
      </c>
    </row>
    <row r="116" spans="1:11" ht="17" customHeight="1">
      <c r="A116" s="12" t="s">
        <v>746</v>
      </c>
      <c r="B116" s="194" t="s">
        <v>680</v>
      </c>
      <c r="C116" s="11" t="s">
        <v>33</v>
      </c>
      <c r="D116" s="14" t="s">
        <v>124</v>
      </c>
      <c r="E116" s="14"/>
      <c r="F116" s="15"/>
      <c r="G116" s="15">
        <f>F116-E116</f>
        <v>0</v>
      </c>
      <c r="H116" s="196">
        <v>16.260000000000002</v>
      </c>
      <c r="I116" s="15">
        <f t="shared" si="41"/>
        <v>0</v>
      </c>
      <c r="J116" s="15">
        <f t="shared" ref="J116:J117" si="50">H116*F116</f>
        <v>0</v>
      </c>
      <c r="K116" s="15">
        <f t="shared" si="49"/>
        <v>0</v>
      </c>
    </row>
    <row r="117" spans="1:11" ht="16.5" customHeight="1">
      <c r="A117" s="12" t="s">
        <v>747</v>
      </c>
      <c r="B117" s="13" t="s">
        <v>675</v>
      </c>
      <c r="C117" s="11" t="s">
        <v>33</v>
      </c>
      <c r="D117" s="14" t="s">
        <v>124</v>
      </c>
      <c r="E117" s="14"/>
      <c r="F117" s="15"/>
      <c r="G117" s="15">
        <f>F117-E117</f>
        <v>0</v>
      </c>
      <c r="H117" s="196">
        <v>4.5599999999999996</v>
      </c>
      <c r="I117" s="15">
        <f t="shared" si="41"/>
        <v>0</v>
      </c>
      <c r="J117" s="15">
        <f t="shared" si="50"/>
        <v>0</v>
      </c>
      <c r="K117" s="15">
        <f t="shared" si="49"/>
        <v>0</v>
      </c>
    </row>
    <row r="118" spans="1:11">
      <c r="A118" s="8" t="s">
        <v>748</v>
      </c>
      <c r="B118" s="9" t="s">
        <v>678</v>
      </c>
      <c r="C118" s="8"/>
      <c r="D118" s="8"/>
      <c r="E118" s="8"/>
      <c r="F118" s="203"/>
      <c r="G118" s="203"/>
      <c r="H118" s="195"/>
      <c r="I118" s="195"/>
      <c r="J118" s="10">
        <f>SUM(J119:J120)</f>
        <v>483.61250000000007</v>
      </c>
      <c r="K118" s="10">
        <f>SUM(K119:K120)</f>
        <v>483.61250000000007</v>
      </c>
    </row>
    <row r="119" spans="1:11">
      <c r="A119" s="12" t="s">
        <v>749</v>
      </c>
      <c r="B119" s="13" t="s">
        <v>659</v>
      </c>
      <c r="C119" s="11" t="s">
        <v>11</v>
      </c>
      <c r="D119" s="14" t="s">
        <v>124</v>
      </c>
      <c r="E119" s="14"/>
      <c r="F119" s="15">
        <v>276.35000000000002</v>
      </c>
      <c r="G119" s="15">
        <f>F119-E119</f>
        <v>276.35000000000002</v>
      </c>
      <c r="H119" s="196">
        <v>1.75</v>
      </c>
      <c r="I119" s="15">
        <f t="shared" si="41"/>
        <v>0</v>
      </c>
      <c r="J119" s="15">
        <f>H119*F119</f>
        <v>483.61250000000007</v>
      </c>
      <c r="K119" s="15">
        <f t="shared" ref="K119:K120" si="51">G119*H119</f>
        <v>483.61250000000007</v>
      </c>
    </row>
    <row r="120" spans="1:11">
      <c r="A120" s="12" t="s">
        <v>750</v>
      </c>
      <c r="B120" s="13" t="s">
        <v>679</v>
      </c>
      <c r="C120" s="11" t="s">
        <v>11</v>
      </c>
      <c r="D120" s="14" t="s">
        <v>1487</v>
      </c>
      <c r="E120" s="14"/>
      <c r="F120" s="15"/>
      <c r="G120" s="15">
        <f>F120-E120</f>
        <v>0</v>
      </c>
      <c r="H120" s="196">
        <v>92.34</v>
      </c>
      <c r="I120" s="15">
        <f t="shared" si="41"/>
        <v>0</v>
      </c>
      <c r="J120" s="15">
        <f>H120*F120</f>
        <v>0</v>
      </c>
      <c r="K120" s="15">
        <f t="shared" si="51"/>
        <v>0</v>
      </c>
    </row>
    <row r="121" spans="1:11">
      <c r="A121" s="184">
        <v>5</v>
      </c>
      <c r="B121" s="191" t="s">
        <v>1458</v>
      </c>
      <c r="C121" s="184"/>
      <c r="D121" s="184"/>
      <c r="E121" s="184"/>
      <c r="F121" s="202"/>
      <c r="G121" s="202"/>
      <c r="H121" s="198"/>
      <c r="I121" s="185">
        <f>SUM(I122,I125,I127,I134,I141,I145)</f>
        <v>62599.934899999993</v>
      </c>
      <c r="J121" s="185">
        <f>SUM(J122,J125,J127,J134,J141,J145)</f>
        <v>62599.934899999993</v>
      </c>
      <c r="K121" s="185">
        <f>SUM(K122,K125,K127,K134,K141,K145)</f>
        <v>0</v>
      </c>
    </row>
    <row r="122" spans="1:11">
      <c r="A122" s="8" t="s">
        <v>36</v>
      </c>
      <c r="B122" s="9" t="s">
        <v>8</v>
      </c>
      <c r="C122" s="8"/>
      <c r="D122" s="8"/>
      <c r="E122" s="8"/>
      <c r="F122" s="203"/>
      <c r="G122" s="203"/>
      <c r="H122" s="195"/>
      <c r="I122" s="10">
        <f>SUM(I123:I124)</f>
        <v>4506.4983000000002</v>
      </c>
      <c r="J122" s="10">
        <f>SUM(J123:J124)</f>
        <v>4506.4983000000002</v>
      </c>
      <c r="K122" s="10">
        <f>SUM(K123:K124)</f>
        <v>0</v>
      </c>
    </row>
    <row r="123" spans="1:11" ht="26">
      <c r="A123" s="12" t="s">
        <v>751</v>
      </c>
      <c r="B123" s="13" t="s">
        <v>653</v>
      </c>
      <c r="C123" s="11" t="s">
        <v>13</v>
      </c>
      <c r="D123" s="14" t="s">
        <v>124</v>
      </c>
      <c r="E123" s="14">
        <f>F123</f>
        <v>620.88</v>
      </c>
      <c r="F123" s="15">
        <v>620.88</v>
      </c>
      <c r="G123" s="15">
        <f>F123-E123</f>
        <v>0</v>
      </c>
      <c r="H123" s="196">
        <v>0.36</v>
      </c>
      <c r="I123" s="15">
        <f>H123*E123</f>
        <v>223.51679999999999</v>
      </c>
      <c r="J123" s="15">
        <f>H123*F123</f>
        <v>223.51679999999999</v>
      </c>
      <c r="K123" s="15">
        <f t="shared" ref="K123:K124" si="52">G123*H123</f>
        <v>0</v>
      </c>
    </row>
    <row r="124" spans="1:11" ht="52">
      <c r="A124" s="12" t="s">
        <v>752</v>
      </c>
      <c r="B124" s="13" t="s">
        <v>650</v>
      </c>
      <c r="C124" s="11" t="s">
        <v>11</v>
      </c>
      <c r="D124" s="14" t="s">
        <v>124</v>
      </c>
      <c r="E124" s="14">
        <f>F124</f>
        <v>69.45</v>
      </c>
      <c r="F124" s="15">
        <v>69.45</v>
      </c>
      <c r="G124" s="15">
        <f>F124-E124</f>
        <v>0</v>
      </c>
      <c r="H124" s="196">
        <v>61.67</v>
      </c>
      <c r="I124" s="15">
        <f>H124*E124</f>
        <v>4282.9814999999999</v>
      </c>
      <c r="J124" s="15">
        <f>H124*F124</f>
        <v>4282.9814999999999</v>
      </c>
      <c r="K124" s="15">
        <f t="shared" si="52"/>
        <v>0</v>
      </c>
    </row>
    <row r="125" spans="1:11">
      <c r="A125" s="8" t="s">
        <v>37</v>
      </c>
      <c r="B125" s="9" t="s">
        <v>655</v>
      </c>
      <c r="C125" s="8"/>
      <c r="D125" s="8"/>
      <c r="E125" s="8"/>
      <c r="F125" s="203"/>
      <c r="G125" s="203"/>
      <c r="H125" s="195"/>
      <c r="I125" s="10">
        <f>SUM(I126:I126)</f>
        <v>235.93440000000001</v>
      </c>
      <c r="J125" s="10">
        <f>SUM(J126:J126)</f>
        <v>235.93440000000001</v>
      </c>
      <c r="K125" s="10">
        <f>SUM(K126:K126)</f>
        <v>0</v>
      </c>
    </row>
    <row r="126" spans="1:11" ht="26">
      <c r="A126" s="12" t="s">
        <v>753</v>
      </c>
      <c r="B126" s="13" t="s">
        <v>656</v>
      </c>
      <c r="C126" s="11"/>
      <c r="D126" s="14" t="s">
        <v>124</v>
      </c>
      <c r="E126" s="14">
        <f>F126</f>
        <v>620.88</v>
      </c>
      <c r="F126" s="15">
        <v>620.88</v>
      </c>
      <c r="G126" s="15">
        <f>F126-E126</f>
        <v>0</v>
      </c>
      <c r="H126" s="196">
        <v>0.38</v>
      </c>
      <c r="I126" s="15">
        <f t="shared" ref="I126:I147" si="53">H126*E126</f>
        <v>235.93440000000001</v>
      </c>
      <c r="J126" s="15">
        <f>H126*F126</f>
        <v>235.93440000000001</v>
      </c>
      <c r="K126" s="15">
        <f t="shared" ref="K126" si="54">G126*H126</f>
        <v>0</v>
      </c>
    </row>
    <row r="127" spans="1:11">
      <c r="A127" s="8" t="s">
        <v>38</v>
      </c>
      <c r="B127" s="9" t="s">
        <v>658</v>
      </c>
      <c r="C127" s="8"/>
      <c r="D127" s="8"/>
      <c r="E127" s="8"/>
      <c r="F127" s="203"/>
      <c r="G127" s="203"/>
      <c r="H127" s="195"/>
      <c r="I127" s="10">
        <f>SUM(I128:I133)</f>
        <v>28385.481099999997</v>
      </c>
      <c r="J127" s="10">
        <f>SUM(J128:J133)</f>
        <v>28385.481099999997</v>
      </c>
      <c r="K127" s="10">
        <f>SUM(K128:K133)</f>
        <v>0</v>
      </c>
    </row>
    <row r="128" spans="1:11">
      <c r="A128" s="12" t="s">
        <v>754</v>
      </c>
      <c r="B128" s="13" t="s">
        <v>659</v>
      </c>
      <c r="C128" s="11"/>
      <c r="D128" s="14" t="s">
        <v>124</v>
      </c>
      <c r="E128" s="14">
        <f>F128</f>
        <v>620.88</v>
      </c>
      <c r="F128" s="15">
        <v>620.88</v>
      </c>
      <c r="G128" s="15">
        <f t="shared" ref="G128:G133" si="55">F128-E128</f>
        <v>0</v>
      </c>
      <c r="H128" s="196">
        <v>1.75</v>
      </c>
      <c r="I128" s="15">
        <f t="shared" si="53"/>
        <v>1086.54</v>
      </c>
      <c r="J128" s="15">
        <f>H128*F128</f>
        <v>1086.54</v>
      </c>
      <c r="K128" s="15">
        <f t="shared" ref="K128:K133" si="56">G128*H128</f>
        <v>0</v>
      </c>
    </row>
    <row r="129" spans="1:11" ht="26">
      <c r="A129" s="12" t="s">
        <v>755</v>
      </c>
      <c r="B129" s="13" t="s">
        <v>660</v>
      </c>
      <c r="C129" s="11"/>
      <c r="D129" s="14" t="s">
        <v>87</v>
      </c>
      <c r="E129" s="14">
        <f t="shared" ref="E129:E133" si="57">F129</f>
        <v>18.63</v>
      </c>
      <c r="F129" s="15">
        <v>18.63</v>
      </c>
      <c r="G129" s="15">
        <f t="shared" si="55"/>
        <v>0</v>
      </c>
      <c r="H129" s="196">
        <v>10.32</v>
      </c>
      <c r="I129" s="15">
        <f t="shared" si="53"/>
        <v>192.26159999999999</v>
      </c>
      <c r="J129" s="15">
        <f t="shared" ref="J129:J133" si="58">H129*F129</f>
        <v>192.26159999999999</v>
      </c>
      <c r="K129" s="15">
        <f t="shared" si="56"/>
        <v>0</v>
      </c>
    </row>
    <row r="130" spans="1:11" ht="28.5" customHeight="1">
      <c r="A130" s="12" t="s">
        <v>756</v>
      </c>
      <c r="B130" s="13" t="s">
        <v>661</v>
      </c>
      <c r="C130" s="11"/>
      <c r="D130" s="14" t="s">
        <v>1486</v>
      </c>
      <c r="E130" s="14">
        <f t="shared" si="57"/>
        <v>558.79</v>
      </c>
      <c r="F130" s="15">
        <v>558.79</v>
      </c>
      <c r="G130" s="15">
        <f t="shared" si="55"/>
        <v>0</v>
      </c>
      <c r="H130" s="196">
        <v>2.14</v>
      </c>
      <c r="I130" s="15">
        <f t="shared" si="53"/>
        <v>1195.8106</v>
      </c>
      <c r="J130" s="15">
        <f t="shared" si="58"/>
        <v>1195.8106</v>
      </c>
      <c r="K130" s="15">
        <f t="shared" si="56"/>
        <v>0</v>
      </c>
    </row>
    <row r="131" spans="1:11" ht="29" customHeight="1">
      <c r="A131" s="12" t="s">
        <v>757</v>
      </c>
      <c r="B131" s="13" t="s">
        <v>669</v>
      </c>
      <c r="C131" s="11"/>
      <c r="D131" s="14" t="s">
        <v>1486</v>
      </c>
      <c r="E131" s="14">
        <f t="shared" si="57"/>
        <v>1032.3399999999999</v>
      </c>
      <c r="F131" s="15">
        <v>1032.3399999999999</v>
      </c>
      <c r="G131" s="15">
        <f t="shared" si="55"/>
        <v>0</v>
      </c>
      <c r="H131" s="196">
        <v>0.87</v>
      </c>
      <c r="I131" s="15">
        <f t="shared" si="53"/>
        <v>898.1357999999999</v>
      </c>
      <c r="J131" s="15">
        <f t="shared" si="58"/>
        <v>898.1357999999999</v>
      </c>
      <c r="K131" s="15">
        <f t="shared" si="56"/>
        <v>0</v>
      </c>
    </row>
    <row r="132" spans="1:11" ht="28" customHeight="1">
      <c r="A132" s="12" t="s">
        <v>758</v>
      </c>
      <c r="B132" s="13" t="s">
        <v>662</v>
      </c>
      <c r="C132" s="11"/>
      <c r="D132" s="14" t="s">
        <v>87</v>
      </c>
      <c r="E132" s="14">
        <f t="shared" si="57"/>
        <v>18.63</v>
      </c>
      <c r="F132" s="15">
        <v>18.63</v>
      </c>
      <c r="G132" s="15">
        <f t="shared" si="55"/>
        <v>0</v>
      </c>
      <c r="H132" s="196">
        <v>1248.29</v>
      </c>
      <c r="I132" s="15">
        <f t="shared" si="53"/>
        <v>23255.642699999997</v>
      </c>
      <c r="J132" s="15">
        <f t="shared" si="58"/>
        <v>23255.642699999997</v>
      </c>
      <c r="K132" s="15">
        <f t="shared" si="56"/>
        <v>0</v>
      </c>
    </row>
    <row r="133" spans="1:11" ht="17.5" customHeight="1">
      <c r="A133" s="12" t="s">
        <v>759</v>
      </c>
      <c r="B133" s="13" t="s">
        <v>663</v>
      </c>
      <c r="C133" s="11"/>
      <c r="D133" s="14" t="s">
        <v>124</v>
      </c>
      <c r="E133" s="14">
        <f t="shared" si="57"/>
        <v>620.88</v>
      </c>
      <c r="F133" s="15">
        <v>620.88</v>
      </c>
      <c r="G133" s="15">
        <f t="shared" si="55"/>
        <v>0</v>
      </c>
      <c r="H133" s="196">
        <v>2.83</v>
      </c>
      <c r="I133" s="15">
        <f t="shared" si="53"/>
        <v>1757.0904</v>
      </c>
      <c r="J133" s="15">
        <f t="shared" si="58"/>
        <v>1757.0904</v>
      </c>
      <c r="K133" s="15">
        <f t="shared" si="56"/>
        <v>0</v>
      </c>
    </row>
    <row r="134" spans="1:11">
      <c r="A134" s="8" t="s">
        <v>760</v>
      </c>
      <c r="B134" s="9" t="s">
        <v>670</v>
      </c>
      <c r="C134" s="8"/>
      <c r="D134" s="8"/>
      <c r="E134" s="8"/>
      <c r="F134" s="203"/>
      <c r="G134" s="203"/>
      <c r="H134" s="195"/>
      <c r="I134" s="10">
        <f>SUM(I135:I140)</f>
        <v>28385.481099999997</v>
      </c>
      <c r="J134" s="10">
        <f>SUM(J135:J140)</f>
        <v>28385.481099999997</v>
      </c>
      <c r="K134" s="10">
        <f>SUM(K135:K140)</f>
        <v>0</v>
      </c>
    </row>
    <row r="135" spans="1:11">
      <c r="A135" s="12" t="s">
        <v>761</v>
      </c>
      <c r="B135" s="13" t="s">
        <v>659</v>
      </c>
      <c r="C135" s="11"/>
      <c r="D135" s="15" t="s">
        <v>124</v>
      </c>
      <c r="E135" s="14">
        <f>F135</f>
        <v>620.88</v>
      </c>
      <c r="F135" s="15">
        <v>620.88</v>
      </c>
      <c r="G135" s="15">
        <f t="shared" ref="G135:G140" si="59">F135-E135</f>
        <v>0</v>
      </c>
      <c r="H135" s="196">
        <v>1.75</v>
      </c>
      <c r="I135" s="15">
        <f t="shared" si="53"/>
        <v>1086.54</v>
      </c>
      <c r="J135" s="15">
        <f>H135*F135</f>
        <v>1086.54</v>
      </c>
      <c r="K135" s="15">
        <f t="shared" ref="K135:K140" si="60">G135*H135</f>
        <v>0</v>
      </c>
    </row>
    <row r="136" spans="1:11" ht="26">
      <c r="A136" s="12" t="s">
        <v>762</v>
      </c>
      <c r="B136" s="13" t="s">
        <v>660</v>
      </c>
      <c r="C136" s="11"/>
      <c r="D136" s="15" t="s">
        <v>87</v>
      </c>
      <c r="E136" s="14">
        <f t="shared" ref="E136:E140" si="61">F136</f>
        <v>18.63</v>
      </c>
      <c r="F136" s="199">
        <v>18.63</v>
      </c>
      <c r="G136" s="15">
        <f t="shared" si="59"/>
        <v>0</v>
      </c>
      <c r="H136" s="196">
        <v>10.32</v>
      </c>
      <c r="I136" s="15">
        <f t="shared" si="53"/>
        <v>192.26159999999999</v>
      </c>
      <c r="J136" s="15">
        <f t="shared" ref="J136:J140" si="62">H136*F136</f>
        <v>192.26159999999999</v>
      </c>
      <c r="K136" s="15">
        <f t="shared" si="60"/>
        <v>0</v>
      </c>
    </row>
    <row r="137" spans="1:11" ht="28.5" customHeight="1">
      <c r="A137" s="12" t="s">
        <v>763</v>
      </c>
      <c r="B137" s="13" t="s">
        <v>661</v>
      </c>
      <c r="C137" s="11"/>
      <c r="D137" s="15" t="s">
        <v>1486</v>
      </c>
      <c r="E137" s="14">
        <f t="shared" si="61"/>
        <v>558.79</v>
      </c>
      <c r="F137" s="199">
        <v>558.79</v>
      </c>
      <c r="G137" s="15">
        <f t="shared" si="59"/>
        <v>0</v>
      </c>
      <c r="H137" s="196">
        <v>2.14</v>
      </c>
      <c r="I137" s="15">
        <f t="shared" si="53"/>
        <v>1195.8106</v>
      </c>
      <c r="J137" s="15">
        <f t="shared" si="62"/>
        <v>1195.8106</v>
      </c>
      <c r="K137" s="15">
        <f t="shared" si="60"/>
        <v>0</v>
      </c>
    </row>
    <row r="138" spans="1:11" ht="32.5" customHeight="1">
      <c r="A138" s="12" t="s">
        <v>764</v>
      </c>
      <c r="B138" s="19" t="s">
        <v>669</v>
      </c>
      <c r="C138" s="11"/>
      <c r="D138" s="192" t="s">
        <v>1486</v>
      </c>
      <c r="E138" s="14">
        <f t="shared" si="61"/>
        <v>1032.3399999999999</v>
      </c>
      <c r="F138" s="204">
        <v>1032.3399999999999</v>
      </c>
      <c r="G138" s="15">
        <f t="shared" si="59"/>
        <v>0</v>
      </c>
      <c r="H138" s="197">
        <v>0.87</v>
      </c>
      <c r="I138" s="15">
        <f t="shared" si="53"/>
        <v>898.1357999999999</v>
      </c>
      <c r="J138" s="15">
        <f t="shared" si="62"/>
        <v>898.1357999999999</v>
      </c>
      <c r="K138" s="15">
        <f t="shared" si="60"/>
        <v>0</v>
      </c>
    </row>
    <row r="139" spans="1:11" ht="26.5">
      <c r="A139" s="12" t="s">
        <v>765</v>
      </c>
      <c r="B139" s="19" t="s">
        <v>671</v>
      </c>
      <c r="C139" s="11"/>
      <c r="D139" s="15" t="s">
        <v>87</v>
      </c>
      <c r="E139" s="14">
        <f t="shared" si="61"/>
        <v>18.63</v>
      </c>
      <c r="F139" s="199">
        <v>18.63</v>
      </c>
      <c r="G139" s="15">
        <f t="shared" si="59"/>
        <v>0</v>
      </c>
      <c r="H139" s="196">
        <v>1248.29</v>
      </c>
      <c r="I139" s="15">
        <f t="shared" si="53"/>
        <v>23255.642699999997</v>
      </c>
      <c r="J139" s="15">
        <f t="shared" si="62"/>
        <v>23255.642699999997</v>
      </c>
      <c r="K139" s="15">
        <f t="shared" si="60"/>
        <v>0</v>
      </c>
    </row>
    <row r="140" spans="1:11" ht="16.5" customHeight="1">
      <c r="A140" s="12" t="s">
        <v>766</v>
      </c>
      <c r="B140" s="17" t="s">
        <v>672</v>
      </c>
      <c r="C140" s="11" t="s">
        <v>87</v>
      </c>
      <c r="D140" s="15" t="s">
        <v>124</v>
      </c>
      <c r="E140" s="14">
        <f t="shared" si="61"/>
        <v>620.88</v>
      </c>
      <c r="F140" s="199">
        <v>620.88</v>
      </c>
      <c r="G140" s="15">
        <f t="shared" si="59"/>
        <v>0</v>
      </c>
      <c r="H140" s="196">
        <v>2.83</v>
      </c>
      <c r="I140" s="15">
        <f t="shared" si="53"/>
        <v>1757.0904</v>
      </c>
      <c r="J140" s="15">
        <f t="shared" si="62"/>
        <v>1757.0904</v>
      </c>
      <c r="K140" s="15">
        <f t="shared" si="60"/>
        <v>0</v>
      </c>
    </row>
    <row r="141" spans="1:11">
      <c r="A141" s="8" t="s">
        <v>767</v>
      </c>
      <c r="B141" s="9" t="s">
        <v>107</v>
      </c>
      <c r="C141" s="8"/>
      <c r="D141" s="8"/>
      <c r="E141" s="8"/>
      <c r="F141" s="203"/>
      <c r="G141" s="203"/>
      <c r="H141" s="195"/>
      <c r="I141" s="10">
        <f>SUM(I142:I144)</f>
        <v>0</v>
      </c>
      <c r="J141" s="10">
        <f>SUM(J142:J144)</f>
        <v>0</v>
      </c>
      <c r="K141" s="10">
        <f>SUM(K142:K144)</f>
        <v>0</v>
      </c>
    </row>
    <row r="142" spans="1:11" ht="39">
      <c r="A142" s="12" t="s">
        <v>768</v>
      </c>
      <c r="B142" s="13" t="s">
        <v>674</v>
      </c>
      <c r="C142" s="11" t="s">
        <v>33</v>
      </c>
      <c r="D142" s="14" t="s">
        <v>1487</v>
      </c>
      <c r="E142" s="14"/>
      <c r="F142" s="15"/>
      <c r="G142" s="15">
        <f>F142-E142</f>
        <v>0</v>
      </c>
      <c r="H142" s="196">
        <v>625.09</v>
      </c>
      <c r="I142" s="15">
        <f t="shared" si="53"/>
        <v>0</v>
      </c>
      <c r="J142" s="15">
        <f>H142*F142</f>
        <v>0</v>
      </c>
      <c r="K142" s="15">
        <f t="shared" ref="K142:K144" si="63">G142*H142</f>
        <v>0</v>
      </c>
    </row>
    <row r="143" spans="1:11" ht="17" customHeight="1">
      <c r="A143" s="12" t="s">
        <v>769</v>
      </c>
      <c r="B143" s="194" t="s">
        <v>680</v>
      </c>
      <c r="C143" s="11" t="s">
        <v>33</v>
      </c>
      <c r="D143" s="14" t="s">
        <v>124</v>
      </c>
      <c r="E143" s="14"/>
      <c r="F143" s="15"/>
      <c r="G143" s="15">
        <f>F143-E143</f>
        <v>0</v>
      </c>
      <c r="H143" s="196">
        <v>16.260000000000002</v>
      </c>
      <c r="I143" s="15">
        <f t="shared" si="53"/>
        <v>0</v>
      </c>
      <c r="J143" s="15">
        <f t="shared" ref="J143:J144" si="64">H143*F143</f>
        <v>0</v>
      </c>
      <c r="K143" s="15">
        <f t="shared" si="63"/>
        <v>0</v>
      </c>
    </row>
    <row r="144" spans="1:11" ht="16.5" customHeight="1">
      <c r="A144" s="12" t="s">
        <v>770</v>
      </c>
      <c r="B144" s="13" t="s">
        <v>675</v>
      </c>
      <c r="C144" s="11" t="s">
        <v>33</v>
      </c>
      <c r="D144" s="14" t="s">
        <v>124</v>
      </c>
      <c r="E144" s="14"/>
      <c r="F144" s="15"/>
      <c r="G144" s="15">
        <f>F144-E144</f>
        <v>0</v>
      </c>
      <c r="H144" s="196">
        <v>4.5599999999999996</v>
      </c>
      <c r="I144" s="15">
        <f t="shared" si="53"/>
        <v>0</v>
      </c>
      <c r="J144" s="15">
        <f t="shared" si="64"/>
        <v>0</v>
      </c>
      <c r="K144" s="15">
        <f t="shared" si="63"/>
        <v>0</v>
      </c>
    </row>
    <row r="145" spans="1:11">
      <c r="A145" s="8" t="s">
        <v>771</v>
      </c>
      <c r="B145" s="9" t="s">
        <v>678</v>
      </c>
      <c r="C145" s="8"/>
      <c r="D145" s="8"/>
      <c r="E145" s="8"/>
      <c r="F145" s="203"/>
      <c r="G145" s="203"/>
      <c r="H145" s="195"/>
      <c r="I145" s="10">
        <f>SUM(I146:I147)</f>
        <v>1086.54</v>
      </c>
      <c r="J145" s="10">
        <f>SUM(J146:J147)</f>
        <v>1086.54</v>
      </c>
      <c r="K145" s="10">
        <f>SUM(K146:K147)</f>
        <v>0</v>
      </c>
    </row>
    <row r="146" spans="1:11">
      <c r="A146" s="12" t="s">
        <v>772</v>
      </c>
      <c r="B146" s="13" t="s">
        <v>659</v>
      </c>
      <c r="C146" s="11" t="s">
        <v>11</v>
      </c>
      <c r="D146" s="14" t="s">
        <v>124</v>
      </c>
      <c r="E146" s="14">
        <f>F146</f>
        <v>620.88</v>
      </c>
      <c r="F146" s="15">
        <v>620.88</v>
      </c>
      <c r="G146" s="15">
        <f>F146-E146</f>
        <v>0</v>
      </c>
      <c r="H146" s="196">
        <v>1.75</v>
      </c>
      <c r="I146" s="15">
        <f t="shared" si="53"/>
        <v>1086.54</v>
      </c>
      <c r="J146" s="15">
        <f>H146*F146</f>
        <v>1086.54</v>
      </c>
      <c r="K146" s="15">
        <f t="shared" ref="K146:K147" si="65">G146*H146</f>
        <v>0</v>
      </c>
    </row>
    <row r="147" spans="1:11">
      <c r="A147" s="12" t="s">
        <v>773</v>
      </c>
      <c r="B147" s="13" t="s">
        <v>679</v>
      </c>
      <c r="C147" s="11" t="s">
        <v>11</v>
      </c>
      <c r="D147" s="14" t="s">
        <v>1487</v>
      </c>
      <c r="E147" s="14"/>
      <c r="F147" s="15"/>
      <c r="G147" s="15">
        <f>F147-E147</f>
        <v>0</v>
      </c>
      <c r="H147" s="196">
        <v>92.34</v>
      </c>
      <c r="I147" s="15">
        <f t="shared" si="53"/>
        <v>0</v>
      </c>
      <c r="J147" s="15">
        <f>H147*F147</f>
        <v>0</v>
      </c>
      <c r="K147" s="15">
        <f t="shared" si="65"/>
        <v>0</v>
      </c>
    </row>
    <row r="148" spans="1:11">
      <c r="A148" s="184">
        <v>6</v>
      </c>
      <c r="B148" s="191" t="s">
        <v>1459</v>
      </c>
      <c r="C148" s="184"/>
      <c r="D148" s="184"/>
      <c r="E148" s="184"/>
      <c r="F148" s="202"/>
      <c r="G148" s="202"/>
      <c r="H148" s="198"/>
      <c r="I148" s="185">
        <f>SUM(I149,I152,I154,I161,I168,I172)</f>
        <v>286870.1251</v>
      </c>
      <c r="J148" s="185">
        <f>SUM(J149,J152,J154,J161,J168,J172)</f>
        <v>286870.1251</v>
      </c>
      <c r="K148" s="185">
        <f>SUM(K149,K152,K154,K161,K168,K172)</f>
        <v>0</v>
      </c>
    </row>
    <row r="149" spans="1:11">
      <c r="A149" s="8" t="s">
        <v>42</v>
      </c>
      <c r="B149" s="9" t="s">
        <v>8</v>
      </c>
      <c r="C149" s="8"/>
      <c r="D149" s="8"/>
      <c r="E149" s="8"/>
      <c r="F149" s="203"/>
      <c r="G149" s="203"/>
      <c r="H149" s="195"/>
      <c r="I149" s="10">
        <f>SUM(I150:I151)</f>
        <v>22837.851699999999</v>
      </c>
      <c r="J149" s="10">
        <f>SUM(J150:J151)</f>
        <v>22837.851699999999</v>
      </c>
      <c r="K149" s="10">
        <f>SUM(K150:K151)</f>
        <v>0</v>
      </c>
    </row>
    <row r="150" spans="1:11" ht="26">
      <c r="A150" s="12" t="s">
        <v>774</v>
      </c>
      <c r="B150" s="13" t="s">
        <v>653</v>
      </c>
      <c r="C150" s="11" t="s">
        <v>13</v>
      </c>
      <c r="D150" s="14" t="s">
        <v>124</v>
      </c>
      <c r="E150" s="14">
        <f>F150</f>
        <v>2818.58</v>
      </c>
      <c r="F150" s="15">
        <v>2818.58</v>
      </c>
      <c r="G150" s="15">
        <f>F150-E150</f>
        <v>0</v>
      </c>
      <c r="H150" s="196">
        <v>0.36</v>
      </c>
      <c r="I150" s="15">
        <f>H150*E150</f>
        <v>1014.6887999999999</v>
      </c>
      <c r="J150" s="15">
        <f>H150*F150</f>
        <v>1014.6887999999999</v>
      </c>
      <c r="K150" s="15">
        <f t="shared" ref="K150:K151" si="66">G150*H150</f>
        <v>0</v>
      </c>
    </row>
    <row r="151" spans="1:11" ht="52">
      <c r="A151" s="12" t="s">
        <v>775</v>
      </c>
      <c r="B151" s="13" t="s">
        <v>650</v>
      </c>
      <c r="C151" s="11" t="s">
        <v>11</v>
      </c>
      <c r="D151" s="14" t="s">
        <v>124</v>
      </c>
      <c r="E151" s="14">
        <f>F151</f>
        <v>353.87</v>
      </c>
      <c r="F151" s="15">
        <v>353.87</v>
      </c>
      <c r="G151" s="15">
        <f>F151-E151</f>
        <v>0</v>
      </c>
      <c r="H151" s="196">
        <v>61.67</v>
      </c>
      <c r="I151" s="15">
        <f>H151*E151</f>
        <v>21823.162899999999</v>
      </c>
      <c r="J151" s="15">
        <f>H151*F151</f>
        <v>21823.162899999999</v>
      </c>
      <c r="K151" s="15">
        <f t="shared" si="66"/>
        <v>0</v>
      </c>
    </row>
    <row r="152" spans="1:11">
      <c r="A152" s="8" t="s">
        <v>43</v>
      </c>
      <c r="B152" s="9" t="s">
        <v>655</v>
      </c>
      <c r="C152" s="8"/>
      <c r="D152" s="8"/>
      <c r="E152" s="8"/>
      <c r="F152" s="203"/>
      <c r="G152" s="203"/>
      <c r="H152" s="195"/>
      <c r="I152" s="10">
        <f>SUM(I153:I153)</f>
        <v>1071.0604000000001</v>
      </c>
      <c r="J152" s="10">
        <f>SUM(J153:J153)</f>
        <v>1071.0604000000001</v>
      </c>
      <c r="K152" s="10">
        <f>SUM(K153:K153)</f>
        <v>0</v>
      </c>
    </row>
    <row r="153" spans="1:11" ht="26">
      <c r="A153" s="12" t="s">
        <v>776</v>
      </c>
      <c r="B153" s="13" t="s">
        <v>656</v>
      </c>
      <c r="C153" s="11"/>
      <c r="D153" s="14" t="s">
        <v>124</v>
      </c>
      <c r="E153" s="14">
        <f>F153</f>
        <v>2818.58</v>
      </c>
      <c r="F153" s="15">
        <v>2818.58</v>
      </c>
      <c r="G153" s="15">
        <f>F153-E153</f>
        <v>0</v>
      </c>
      <c r="H153" s="196">
        <v>0.38</v>
      </c>
      <c r="I153" s="15">
        <f t="shared" ref="I153:I174" si="67">H153*E153</f>
        <v>1071.0604000000001</v>
      </c>
      <c r="J153" s="15">
        <f>H153*F153</f>
        <v>1071.0604000000001</v>
      </c>
      <c r="K153" s="15">
        <f t="shared" ref="K153" si="68">G153*H153</f>
        <v>0</v>
      </c>
    </row>
    <row r="154" spans="1:11">
      <c r="A154" s="8" t="s">
        <v>44</v>
      </c>
      <c r="B154" s="9" t="s">
        <v>658</v>
      </c>
      <c r="C154" s="8"/>
      <c r="D154" s="8"/>
      <c r="E154" s="8"/>
      <c r="F154" s="203"/>
      <c r="G154" s="203"/>
      <c r="H154" s="195"/>
      <c r="I154" s="10">
        <f>SUM(I155:I160)</f>
        <v>129014.349</v>
      </c>
      <c r="J154" s="10">
        <f>SUM(J155:J160)</f>
        <v>129014.349</v>
      </c>
      <c r="K154" s="10">
        <f>SUM(K155:K160)</f>
        <v>0</v>
      </c>
    </row>
    <row r="155" spans="1:11">
      <c r="A155" s="12" t="s">
        <v>778</v>
      </c>
      <c r="B155" s="13" t="s">
        <v>659</v>
      </c>
      <c r="C155" s="11"/>
      <c r="D155" s="14" t="s">
        <v>124</v>
      </c>
      <c r="E155" s="14">
        <f>F155</f>
        <v>2818.58</v>
      </c>
      <c r="F155" s="15">
        <v>2818.58</v>
      </c>
      <c r="G155" s="15">
        <f t="shared" ref="G155:G160" si="69">F155-E155</f>
        <v>0</v>
      </c>
      <c r="H155" s="196">
        <v>1.75</v>
      </c>
      <c r="I155" s="15">
        <f t="shared" si="67"/>
        <v>4932.5149999999994</v>
      </c>
      <c r="J155" s="15">
        <f>H155*F155</f>
        <v>4932.5149999999994</v>
      </c>
      <c r="K155" s="15">
        <f t="shared" ref="K155:K160" si="70">G155*H155</f>
        <v>0</v>
      </c>
    </row>
    <row r="156" spans="1:11" ht="26">
      <c r="A156" s="12" t="s">
        <v>779</v>
      </c>
      <c r="B156" s="13" t="s">
        <v>660</v>
      </c>
      <c r="C156" s="11"/>
      <c r="D156" s="14" t="s">
        <v>87</v>
      </c>
      <c r="E156" s="14">
        <f t="shared" ref="E156:E160" si="71">F156</f>
        <v>84.56</v>
      </c>
      <c r="F156" s="15">
        <v>84.56</v>
      </c>
      <c r="G156" s="15">
        <f t="shared" si="69"/>
        <v>0</v>
      </c>
      <c r="H156" s="196">
        <v>10.32</v>
      </c>
      <c r="I156" s="15">
        <f t="shared" si="67"/>
        <v>872.65920000000006</v>
      </c>
      <c r="J156" s="15">
        <f t="shared" ref="J156:J160" si="72">H156*F156</f>
        <v>872.65920000000006</v>
      </c>
      <c r="K156" s="15">
        <f t="shared" si="70"/>
        <v>0</v>
      </c>
    </row>
    <row r="157" spans="1:11" ht="28.5" customHeight="1">
      <c r="A157" s="12" t="s">
        <v>780</v>
      </c>
      <c r="B157" s="13" t="s">
        <v>661</v>
      </c>
      <c r="C157" s="11"/>
      <c r="D157" s="14" t="s">
        <v>1486</v>
      </c>
      <c r="E157" s="14">
        <f t="shared" si="71"/>
        <v>2536.7199999999998</v>
      </c>
      <c r="F157" s="15">
        <v>2536.7199999999998</v>
      </c>
      <c r="G157" s="15">
        <f t="shared" si="69"/>
        <v>0</v>
      </c>
      <c r="H157" s="196">
        <v>2.14</v>
      </c>
      <c r="I157" s="15">
        <f t="shared" si="67"/>
        <v>5428.5807999999997</v>
      </c>
      <c r="J157" s="15">
        <f t="shared" si="72"/>
        <v>5428.5807999999997</v>
      </c>
      <c r="K157" s="15">
        <f t="shared" si="70"/>
        <v>0</v>
      </c>
    </row>
    <row r="158" spans="1:11" ht="29" customHeight="1">
      <c r="A158" s="12" t="s">
        <v>781</v>
      </c>
      <c r="B158" s="13" t="s">
        <v>669</v>
      </c>
      <c r="C158" s="11"/>
      <c r="D158" s="14" t="s">
        <v>1486</v>
      </c>
      <c r="E158" s="14">
        <f t="shared" si="71"/>
        <v>4883.46</v>
      </c>
      <c r="F158" s="15">
        <v>4883.46</v>
      </c>
      <c r="G158" s="15">
        <f t="shared" si="69"/>
        <v>0</v>
      </c>
      <c r="H158" s="196">
        <v>0.87</v>
      </c>
      <c r="I158" s="15">
        <f t="shared" si="67"/>
        <v>4248.6102000000001</v>
      </c>
      <c r="J158" s="15">
        <f t="shared" si="72"/>
        <v>4248.6102000000001</v>
      </c>
      <c r="K158" s="15">
        <f t="shared" si="70"/>
        <v>0</v>
      </c>
    </row>
    <row r="159" spans="1:11" ht="28" customHeight="1">
      <c r="A159" s="12" t="s">
        <v>782</v>
      </c>
      <c r="B159" s="13" t="s">
        <v>662</v>
      </c>
      <c r="C159" s="11"/>
      <c r="D159" s="14" t="s">
        <v>87</v>
      </c>
      <c r="E159" s="14">
        <f t="shared" si="71"/>
        <v>84.56</v>
      </c>
      <c r="F159" s="15">
        <v>84.56</v>
      </c>
      <c r="G159" s="15">
        <f t="shared" si="69"/>
        <v>0</v>
      </c>
      <c r="H159" s="196">
        <v>1248.29</v>
      </c>
      <c r="I159" s="15">
        <f t="shared" si="67"/>
        <v>105555.40240000001</v>
      </c>
      <c r="J159" s="15">
        <f t="shared" si="72"/>
        <v>105555.40240000001</v>
      </c>
      <c r="K159" s="15">
        <f t="shared" si="70"/>
        <v>0</v>
      </c>
    </row>
    <row r="160" spans="1:11" ht="17.5" customHeight="1">
      <c r="A160" s="12" t="s">
        <v>783</v>
      </c>
      <c r="B160" s="13" t="s">
        <v>663</v>
      </c>
      <c r="C160" s="11"/>
      <c r="D160" s="14" t="s">
        <v>124</v>
      </c>
      <c r="E160" s="14">
        <f t="shared" si="71"/>
        <v>2818.58</v>
      </c>
      <c r="F160" s="15">
        <v>2818.58</v>
      </c>
      <c r="G160" s="15">
        <f t="shared" si="69"/>
        <v>0</v>
      </c>
      <c r="H160" s="196">
        <v>2.83</v>
      </c>
      <c r="I160" s="15">
        <f t="shared" si="67"/>
        <v>7976.5814</v>
      </c>
      <c r="J160" s="15">
        <f t="shared" si="72"/>
        <v>7976.5814</v>
      </c>
      <c r="K160" s="15">
        <f t="shared" si="70"/>
        <v>0</v>
      </c>
    </row>
    <row r="161" spans="1:11">
      <c r="A161" s="8" t="s">
        <v>777</v>
      </c>
      <c r="B161" s="9" t="s">
        <v>670</v>
      </c>
      <c r="C161" s="8"/>
      <c r="D161" s="8"/>
      <c r="E161" s="8"/>
      <c r="F161" s="203"/>
      <c r="G161" s="203"/>
      <c r="H161" s="195"/>
      <c r="I161" s="10">
        <f>SUM(I162:I167)</f>
        <v>129014.349</v>
      </c>
      <c r="J161" s="10">
        <f>SUM(J162:J167)</f>
        <v>129014.349</v>
      </c>
      <c r="K161" s="10">
        <f>SUM(K162:K167)</f>
        <v>0</v>
      </c>
    </row>
    <row r="162" spans="1:11">
      <c r="A162" s="12" t="s">
        <v>784</v>
      </c>
      <c r="B162" s="13" t="s">
        <v>659</v>
      </c>
      <c r="C162" s="11"/>
      <c r="D162" s="15" t="s">
        <v>124</v>
      </c>
      <c r="E162" s="14">
        <f>F162</f>
        <v>2818.58</v>
      </c>
      <c r="F162" s="15">
        <v>2818.58</v>
      </c>
      <c r="G162" s="15">
        <f t="shared" ref="G162:G167" si="73">F162-E162</f>
        <v>0</v>
      </c>
      <c r="H162" s="196">
        <v>1.75</v>
      </c>
      <c r="I162" s="15">
        <f t="shared" si="67"/>
        <v>4932.5149999999994</v>
      </c>
      <c r="J162" s="15">
        <f>H162*F162</f>
        <v>4932.5149999999994</v>
      </c>
      <c r="K162" s="15">
        <f t="shared" ref="K162:K167" si="74">G162*H162</f>
        <v>0</v>
      </c>
    </row>
    <row r="163" spans="1:11" ht="26">
      <c r="A163" s="12" t="s">
        <v>785</v>
      </c>
      <c r="B163" s="13" t="s">
        <v>660</v>
      </c>
      <c r="C163" s="11"/>
      <c r="D163" s="15" t="s">
        <v>87</v>
      </c>
      <c r="E163" s="14">
        <f t="shared" ref="E163:E167" si="75">F163</f>
        <v>84.56</v>
      </c>
      <c r="F163" s="199">
        <v>84.56</v>
      </c>
      <c r="G163" s="15">
        <f t="shared" si="73"/>
        <v>0</v>
      </c>
      <c r="H163" s="196">
        <v>10.32</v>
      </c>
      <c r="I163" s="15">
        <f t="shared" si="67"/>
        <v>872.65920000000006</v>
      </c>
      <c r="J163" s="15">
        <f t="shared" ref="J163:J167" si="76">H163*F163</f>
        <v>872.65920000000006</v>
      </c>
      <c r="K163" s="15">
        <f t="shared" si="74"/>
        <v>0</v>
      </c>
    </row>
    <row r="164" spans="1:11" ht="28.5" customHeight="1">
      <c r="A164" s="12" t="s">
        <v>786</v>
      </c>
      <c r="B164" s="13" t="s">
        <v>661</v>
      </c>
      <c r="C164" s="11"/>
      <c r="D164" s="15" t="s">
        <v>1486</v>
      </c>
      <c r="E164" s="14">
        <f t="shared" si="75"/>
        <v>2536.7199999999998</v>
      </c>
      <c r="F164" s="199">
        <v>2536.7199999999998</v>
      </c>
      <c r="G164" s="15">
        <f t="shared" si="73"/>
        <v>0</v>
      </c>
      <c r="H164" s="196">
        <v>2.14</v>
      </c>
      <c r="I164" s="15">
        <f t="shared" si="67"/>
        <v>5428.5807999999997</v>
      </c>
      <c r="J164" s="15">
        <f t="shared" si="76"/>
        <v>5428.5807999999997</v>
      </c>
      <c r="K164" s="15">
        <f t="shared" si="74"/>
        <v>0</v>
      </c>
    </row>
    <row r="165" spans="1:11" ht="32.5" customHeight="1">
      <c r="A165" s="12" t="s">
        <v>787</v>
      </c>
      <c r="B165" s="19" t="s">
        <v>669</v>
      </c>
      <c r="C165" s="11"/>
      <c r="D165" s="192" t="s">
        <v>1486</v>
      </c>
      <c r="E165" s="14">
        <f t="shared" si="75"/>
        <v>4883.46</v>
      </c>
      <c r="F165" s="204">
        <v>4883.46</v>
      </c>
      <c r="G165" s="15">
        <f t="shared" si="73"/>
        <v>0</v>
      </c>
      <c r="H165" s="197">
        <v>0.87</v>
      </c>
      <c r="I165" s="15">
        <f t="shared" si="67"/>
        <v>4248.6102000000001</v>
      </c>
      <c r="J165" s="15">
        <f t="shared" si="76"/>
        <v>4248.6102000000001</v>
      </c>
      <c r="K165" s="15">
        <f t="shared" si="74"/>
        <v>0</v>
      </c>
    </row>
    <row r="166" spans="1:11" ht="26.5">
      <c r="A166" s="12" t="s">
        <v>788</v>
      </c>
      <c r="B166" s="19" t="s">
        <v>671</v>
      </c>
      <c r="C166" s="11"/>
      <c r="D166" s="15" t="s">
        <v>87</v>
      </c>
      <c r="E166" s="14">
        <f t="shared" si="75"/>
        <v>84.56</v>
      </c>
      <c r="F166" s="199">
        <v>84.56</v>
      </c>
      <c r="G166" s="15">
        <f t="shared" si="73"/>
        <v>0</v>
      </c>
      <c r="H166" s="196">
        <v>1248.29</v>
      </c>
      <c r="I166" s="15">
        <f t="shared" si="67"/>
        <v>105555.40240000001</v>
      </c>
      <c r="J166" s="15">
        <f t="shared" si="76"/>
        <v>105555.40240000001</v>
      </c>
      <c r="K166" s="15">
        <f t="shared" si="74"/>
        <v>0</v>
      </c>
    </row>
    <row r="167" spans="1:11" ht="16.5" customHeight="1">
      <c r="A167" s="12" t="s">
        <v>789</v>
      </c>
      <c r="B167" s="17" t="s">
        <v>672</v>
      </c>
      <c r="C167" s="11" t="s">
        <v>87</v>
      </c>
      <c r="D167" s="15" t="s">
        <v>124</v>
      </c>
      <c r="E167" s="14">
        <f t="shared" si="75"/>
        <v>2818.58</v>
      </c>
      <c r="F167" s="199">
        <v>2818.58</v>
      </c>
      <c r="G167" s="15">
        <f t="shared" si="73"/>
        <v>0</v>
      </c>
      <c r="H167" s="196">
        <v>2.83</v>
      </c>
      <c r="I167" s="15">
        <f t="shared" si="67"/>
        <v>7976.5814</v>
      </c>
      <c r="J167" s="15">
        <f t="shared" si="76"/>
        <v>7976.5814</v>
      </c>
      <c r="K167" s="15">
        <f t="shared" si="74"/>
        <v>0</v>
      </c>
    </row>
    <row r="168" spans="1:11">
      <c r="A168" s="8" t="s">
        <v>790</v>
      </c>
      <c r="B168" s="9" t="s">
        <v>107</v>
      </c>
      <c r="C168" s="8"/>
      <c r="D168" s="8"/>
      <c r="E168" s="8"/>
      <c r="F168" s="203"/>
      <c r="G168" s="203"/>
      <c r="H168" s="195"/>
      <c r="I168" s="10">
        <f>SUM(I169:I171)</f>
        <v>0</v>
      </c>
      <c r="J168" s="10">
        <f>SUM(J169:J171)</f>
        <v>0</v>
      </c>
      <c r="K168" s="10">
        <f>SUM(K169:K171)</f>
        <v>0</v>
      </c>
    </row>
    <row r="169" spans="1:11" ht="39">
      <c r="A169" s="12" t="s">
        <v>791</v>
      </c>
      <c r="B169" s="13" t="s">
        <v>674</v>
      </c>
      <c r="C169" s="11" t="s">
        <v>33</v>
      </c>
      <c r="D169" s="14" t="s">
        <v>1487</v>
      </c>
      <c r="E169" s="14"/>
      <c r="F169" s="15"/>
      <c r="G169" s="15">
        <f>F169-E169</f>
        <v>0</v>
      </c>
      <c r="H169" s="196">
        <v>625.09</v>
      </c>
      <c r="I169" s="15">
        <f t="shared" si="67"/>
        <v>0</v>
      </c>
      <c r="J169" s="15">
        <f>H169*F169</f>
        <v>0</v>
      </c>
      <c r="K169" s="15">
        <f t="shared" ref="K169:K171" si="77">G169*H169</f>
        <v>0</v>
      </c>
    </row>
    <row r="170" spans="1:11" ht="17" customHeight="1">
      <c r="A170" s="12" t="s">
        <v>792</v>
      </c>
      <c r="B170" s="194" t="s">
        <v>680</v>
      </c>
      <c r="C170" s="11" t="s">
        <v>33</v>
      </c>
      <c r="D170" s="14" t="s">
        <v>124</v>
      </c>
      <c r="E170" s="14"/>
      <c r="F170" s="15"/>
      <c r="G170" s="15">
        <f>F170-E170</f>
        <v>0</v>
      </c>
      <c r="H170" s="196">
        <v>16.260000000000002</v>
      </c>
      <c r="I170" s="15">
        <f t="shared" si="67"/>
        <v>0</v>
      </c>
      <c r="J170" s="15">
        <f t="shared" ref="J170:J171" si="78">H170*F170</f>
        <v>0</v>
      </c>
      <c r="K170" s="15">
        <f t="shared" si="77"/>
        <v>0</v>
      </c>
    </row>
    <row r="171" spans="1:11" ht="16.5" customHeight="1">
      <c r="A171" s="12" t="s">
        <v>793</v>
      </c>
      <c r="B171" s="13" t="s">
        <v>675</v>
      </c>
      <c r="C171" s="11" t="s">
        <v>33</v>
      </c>
      <c r="D171" s="14" t="s">
        <v>124</v>
      </c>
      <c r="E171" s="14"/>
      <c r="F171" s="15"/>
      <c r="G171" s="15">
        <f>F171-E171</f>
        <v>0</v>
      </c>
      <c r="H171" s="196">
        <v>4.5599999999999996</v>
      </c>
      <c r="I171" s="15">
        <f t="shared" si="67"/>
        <v>0</v>
      </c>
      <c r="J171" s="15">
        <f t="shared" si="78"/>
        <v>0</v>
      </c>
      <c r="K171" s="15">
        <f t="shared" si="77"/>
        <v>0</v>
      </c>
    </row>
    <row r="172" spans="1:11">
      <c r="A172" s="8" t="s">
        <v>794</v>
      </c>
      <c r="B172" s="9" t="s">
        <v>678</v>
      </c>
      <c r="C172" s="8"/>
      <c r="D172" s="8"/>
      <c r="E172" s="8"/>
      <c r="F172" s="203"/>
      <c r="G172" s="203"/>
      <c r="H172" s="195"/>
      <c r="I172" s="10">
        <f>SUM(I173:I174)</f>
        <v>4932.5149999999994</v>
      </c>
      <c r="J172" s="10">
        <f>SUM(J173:J174)</f>
        <v>4932.5149999999994</v>
      </c>
      <c r="K172" s="10">
        <f>SUM(K173:K174)</f>
        <v>0</v>
      </c>
    </row>
    <row r="173" spans="1:11">
      <c r="A173" s="12" t="s">
        <v>795</v>
      </c>
      <c r="B173" s="13" t="s">
        <v>659</v>
      </c>
      <c r="C173" s="11" t="s">
        <v>11</v>
      </c>
      <c r="D173" s="14" t="s">
        <v>124</v>
      </c>
      <c r="E173" s="14">
        <f>F173</f>
        <v>2818.58</v>
      </c>
      <c r="F173" s="15">
        <v>2818.58</v>
      </c>
      <c r="G173" s="15">
        <f>F173-E173</f>
        <v>0</v>
      </c>
      <c r="H173" s="196">
        <v>1.75</v>
      </c>
      <c r="I173" s="15">
        <f t="shared" si="67"/>
        <v>4932.5149999999994</v>
      </c>
      <c r="J173" s="15">
        <f>H173*F173</f>
        <v>4932.5149999999994</v>
      </c>
      <c r="K173" s="15">
        <f t="shared" ref="K173:K174" si="79">G173*H173</f>
        <v>0</v>
      </c>
    </row>
    <row r="174" spans="1:11">
      <c r="A174" s="12" t="s">
        <v>796</v>
      </c>
      <c r="B174" s="13" t="s">
        <v>679</v>
      </c>
      <c r="C174" s="11" t="s">
        <v>11</v>
      </c>
      <c r="D174" s="14" t="s">
        <v>1487</v>
      </c>
      <c r="E174" s="14"/>
      <c r="F174" s="15"/>
      <c r="G174" s="15">
        <f>F174-E174</f>
        <v>0</v>
      </c>
      <c r="H174" s="196">
        <v>92.34</v>
      </c>
      <c r="I174" s="15">
        <f t="shared" si="67"/>
        <v>0</v>
      </c>
      <c r="J174" s="15">
        <f>H174*F174</f>
        <v>0</v>
      </c>
      <c r="K174" s="15">
        <f t="shared" si="79"/>
        <v>0</v>
      </c>
    </row>
    <row r="175" spans="1:11">
      <c r="A175" s="184">
        <v>7</v>
      </c>
      <c r="B175" s="191" t="s">
        <v>1460</v>
      </c>
      <c r="C175" s="184"/>
      <c r="D175" s="184"/>
      <c r="E175" s="184"/>
      <c r="F175" s="202"/>
      <c r="G175" s="202"/>
      <c r="H175" s="198"/>
      <c r="I175" s="185"/>
      <c r="J175" s="185">
        <f>SUM(J176,J179,J181,J188,J195,J199)</f>
        <v>213725.76730000001</v>
      </c>
      <c r="K175" s="185">
        <f>SUM(K176,K179,K181,K188,K195,K199)</f>
        <v>213725.76730000001</v>
      </c>
    </row>
    <row r="176" spans="1:11">
      <c r="A176" s="8" t="s">
        <v>47</v>
      </c>
      <c r="B176" s="9" t="s">
        <v>8</v>
      </c>
      <c r="C176" s="8"/>
      <c r="D176" s="8"/>
      <c r="E176" s="8"/>
      <c r="F176" s="203"/>
      <c r="G176" s="203"/>
      <c r="H176" s="195"/>
      <c r="I176" s="10"/>
      <c r="J176" s="10">
        <f>SUM(J177:J178)</f>
        <v>17816.869200000001</v>
      </c>
      <c r="K176" s="10">
        <f>SUM(K177:K178)</f>
        <v>17816.869200000001</v>
      </c>
    </row>
    <row r="177" spans="1:11" ht="26">
      <c r="A177" s="12" t="s">
        <v>797</v>
      </c>
      <c r="B177" s="13" t="s">
        <v>653</v>
      </c>
      <c r="C177" s="11" t="s">
        <v>13</v>
      </c>
      <c r="D177" s="14" t="s">
        <v>124</v>
      </c>
      <c r="E177" s="14"/>
      <c r="F177" s="15">
        <v>2087.63</v>
      </c>
      <c r="G177" s="15">
        <f>F177-E177</f>
        <v>2087.63</v>
      </c>
      <c r="H177" s="196">
        <v>0.36</v>
      </c>
      <c r="I177" s="15">
        <f>H177*E177</f>
        <v>0</v>
      </c>
      <c r="J177" s="15">
        <f>H177*F177</f>
        <v>751.54679999999996</v>
      </c>
      <c r="K177" s="15">
        <f t="shared" ref="K177:K178" si="80">G177*H177</f>
        <v>751.54679999999996</v>
      </c>
    </row>
    <row r="178" spans="1:11" ht="52">
      <c r="A178" s="12" t="s">
        <v>798</v>
      </c>
      <c r="B178" s="13" t="s">
        <v>650</v>
      </c>
      <c r="C178" s="11" t="s">
        <v>11</v>
      </c>
      <c r="D178" s="14" t="s">
        <v>124</v>
      </c>
      <c r="E178" s="14"/>
      <c r="F178" s="15">
        <v>276.72000000000003</v>
      </c>
      <c r="G178" s="15">
        <f>F178-E178</f>
        <v>276.72000000000003</v>
      </c>
      <c r="H178" s="196">
        <v>61.67</v>
      </c>
      <c r="I178" s="15">
        <f>H178*E178</f>
        <v>0</v>
      </c>
      <c r="J178" s="15">
        <f>H178*F178</f>
        <v>17065.322400000001</v>
      </c>
      <c r="K178" s="15">
        <f t="shared" si="80"/>
        <v>17065.322400000001</v>
      </c>
    </row>
    <row r="179" spans="1:11">
      <c r="A179" s="8" t="s">
        <v>48</v>
      </c>
      <c r="B179" s="9" t="s">
        <v>655</v>
      </c>
      <c r="C179" s="8"/>
      <c r="D179" s="8"/>
      <c r="E179" s="8"/>
      <c r="F179" s="203"/>
      <c r="G179" s="203"/>
      <c r="H179" s="195"/>
      <c r="I179" s="195"/>
      <c r="J179" s="10">
        <f>SUM(J180:J180)</f>
        <v>793.29940000000011</v>
      </c>
      <c r="K179" s="10">
        <f>SUM(K180:K180)</f>
        <v>793.29940000000011</v>
      </c>
    </row>
    <row r="180" spans="1:11" ht="26">
      <c r="A180" s="12" t="s">
        <v>799</v>
      </c>
      <c r="B180" s="13" t="s">
        <v>656</v>
      </c>
      <c r="C180" s="11"/>
      <c r="D180" s="14" t="s">
        <v>124</v>
      </c>
      <c r="E180" s="14"/>
      <c r="F180" s="15">
        <v>2087.63</v>
      </c>
      <c r="G180" s="15">
        <f>F180-E180</f>
        <v>2087.63</v>
      </c>
      <c r="H180" s="196">
        <v>0.38</v>
      </c>
      <c r="I180" s="15">
        <f t="shared" ref="I180:I201" si="81">H180*E180</f>
        <v>0</v>
      </c>
      <c r="J180" s="15">
        <f>H180*F180</f>
        <v>793.29940000000011</v>
      </c>
      <c r="K180" s="15">
        <f t="shared" ref="K180" si="82">G180*H180</f>
        <v>793.29940000000011</v>
      </c>
    </row>
    <row r="181" spans="1:11">
      <c r="A181" s="8" t="s">
        <v>49</v>
      </c>
      <c r="B181" s="9" t="s">
        <v>658</v>
      </c>
      <c r="C181" s="8"/>
      <c r="D181" s="8"/>
      <c r="E181" s="8"/>
      <c r="F181" s="203"/>
      <c r="G181" s="203"/>
      <c r="H181" s="195"/>
      <c r="I181" s="195"/>
      <c r="J181" s="10">
        <f>SUM(J182:J187)</f>
        <v>95731.123099999997</v>
      </c>
      <c r="K181" s="10">
        <f>SUM(K182:K187)</f>
        <v>95731.123099999997</v>
      </c>
    </row>
    <row r="182" spans="1:11">
      <c r="A182" s="12" t="s">
        <v>800</v>
      </c>
      <c r="B182" s="13" t="s">
        <v>659</v>
      </c>
      <c r="C182" s="11"/>
      <c r="D182" s="14" t="s">
        <v>124</v>
      </c>
      <c r="E182" s="14"/>
      <c r="F182" s="15">
        <v>2087.63</v>
      </c>
      <c r="G182" s="15">
        <f t="shared" ref="G182:G187" si="83">F182-E182</f>
        <v>2087.63</v>
      </c>
      <c r="H182" s="196">
        <v>1.75</v>
      </c>
      <c r="I182" s="15">
        <f t="shared" si="81"/>
        <v>0</v>
      </c>
      <c r="J182" s="15">
        <f>H182*F182</f>
        <v>3653.3525</v>
      </c>
      <c r="K182" s="15">
        <f t="shared" ref="K182:K187" si="84">G182*H182</f>
        <v>3653.3525</v>
      </c>
    </row>
    <row r="183" spans="1:11" ht="26">
      <c r="A183" s="12" t="s">
        <v>801</v>
      </c>
      <c r="B183" s="13" t="s">
        <v>660</v>
      </c>
      <c r="C183" s="11"/>
      <c r="D183" s="14" t="s">
        <v>87</v>
      </c>
      <c r="E183" s="14"/>
      <c r="F183" s="15">
        <v>62.63</v>
      </c>
      <c r="G183" s="15">
        <f t="shared" si="83"/>
        <v>62.63</v>
      </c>
      <c r="H183" s="196">
        <v>10.32</v>
      </c>
      <c r="I183" s="15">
        <f t="shared" si="81"/>
        <v>0</v>
      </c>
      <c r="J183" s="15">
        <f t="shared" ref="J183:J187" si="85">H183*F183</f>
        <v>646.34160000000008</v>
      </c>
      <c r="K183" s="15">
        <f t="shared" si="84"/>
        <v>646.34160000000008</v>
      </c>
    </row>
    <row r="184" spans="1:11" ht="28.5" customHeight="1">
      <c r="A184" s="12" t="s">
        <v>802</v>
      </c>
      <c r="B184" s="13" t="s">
        <v>661</v>
      </c>
      <c r="C184" s="11"/>
      <c r="D184" s="14" t="s">
        <v>1486</v>
      </c>
      <c r="E184" s="14"/>
      <c r="F184" s="15">
        <v>1878.87</v>
      </c>
      <c r="G184" s="15">
        <f t="shared" si="83"/>
        <v>1878.87</v>
      </c>
      <c r="H184" s="196">
        <v>2.14</v>
      </c>
      <c r="I184" s="15">
        <f t="shared" si="81"/>
        <v>0</v>
      </c>
      <c r="J184" s="15">
        <f t="shared" si="85"/>
        <v>4020.7818000000002</v>
      </c>
      <c r="K184" s="15">
        <f t="shared" si="84"/>
        <v>4020.7818000000002</v>
      </c>
    </row>
    <row r="185" spans="1:11" ht="29" customHeight="1">
      <c r="A185" s="12" t="s">
        <v>803</v>
      </c>
      <c r="B185" s="13" t="s">
        <v>669</v>
      </c>
      <c r="C185" s="11"/>
      <c r="D185" s="14" t="s">
        <v>1486</v>
      </c>
      <c r="E185" s="14"/>
      <c r="F185" s="15">
        <v>3818.68</v>
      </c>
      <c r="G185" s="15">
        <f t="shared" si="83"/>
        <v>3818.68</v>
      </c>
      <c r="H185" s="196">
        <v>0.87</v>
      </c>
      <c r="I185" s="15">
        <f t="shared" si="81"/>
        <v>0</v>
      </c>
      <c r="J185" s="15">
        <f t="shared" si="85"/>
        <v>3322.2516000000001</v>
      </c>
      <c r="K185" s="15">
        <f t="shared" si="84"/>
        <v>3322.2516000000001</v>
      </c>
    </row>
    <row r="186" spans="1:11" ht="28" customHeight="1">
      <c r="A186" s="12" t="s">
        <v>804</v>
      </c>
      <c r="B186" s="13" t="s">
        <v>662</v>
      </c>
      <c r="C186" s="11"/>
      <c r="D186" s="14" t="s">
        <v>87</v>
      </c>
      <c r="E186" s="14"/>
      <c r="F186" s="15">
        <v>62.63</v>
      </c>
      <c r="G186" s="15">
        <f t="shared" si="83"/>
        <v>62.63</v>
      </c>
      <c r="H186" s="196">
        <v>1248.29</v>
      </c>
      <c r="I186" s="15">
        <f t="shared" si="81"/>
        <v>0</v>
      </c>
      <c r="J186" s="15">
        <f t="shared" si="85"/>
        <v>78180.402700000006</v>
      </c>
      <c r="K186" s="15">
        <f t="shared" si="84"/>
        <v>78180.402700000006</v>
      </c>
    </row>
    <row r="187" spans="1:11" ht="17.5" customHeight="1">
      <c r="A187" s="12" t="s">
        <v>805</v>
      </c>
      <c r="B187" s="13" t="s">
        <v>663</v>
      </c>
      <c r="C187" s="11"/>
      <c r="D187" s="14" t="s">
        <v>124</v>
      </c>
      <c r="E187" s="14"/>
      <c r="F187" s="15">
        <v>2087.63</v>
      </c>
      <c r="G187" s="15">
        <f t="shared" si="83"/>
        <v>2087.63</v>
      </c>
      <c r="H187" s="196">
        <v>2.83</v>
      </c>
      <c r="I187" s="15">
        <f t="shared" si="81"/>
        <v>0</v>
      </c>
      <c r="J187" s="15">
        <f t="shared" si="85"/>
        <v>5907.9929000000002</v>
      </c>
      <c r="K187" s="15">
        <f t="shared" si="84"/>
        <v>5907.9929000000002</v>
      </c>
    </row>
    <row r="188" spans="1:11">
      <c r="A188" s="8" t="s">
        <v>806</v>
      </c>
      <c r="B188" s="9" t="s">
        <v>670</v>
      </c>
      <c r="C188" s="8"/>
      <c r="D188" s="8"/>
      <c r="E188" s="8"/>
      <c r="F188" s="203"/>
      <c r="G188" s="203"/>
      <c r="H188" s="195"/>
      <c r="I188" s="195"/>
      <c r="J188" s="10">
        <f>SUM(J189:J194)</f>
        <v>95731.123099999997</v>
      </c>
      <c r="K188" s="10">
        <f>SUM(K189:K194)</f>
        <v>95731.123099999997</v>
      </c>
    </row>
    <row r="189" spans="1:11">
      <c r="A189" s="12" t="s">
        <v>807</v>
      </c>
      <c r="B189" s="13" t="s">
        <v>659</v>
      </c>
      <c r="C189" s="11"/>
      <c r="D189" s="15" t="s">
        <v>124</v>
      </c>
      <c r="E189" s="14"/>
      <c r="F189" s="15">
        <v>2087.63</v>
      </c>
      <c r="G189" s="15">
        <f t="shared" ref="G189:G194" si="86">F189-E189</f>
        <v>2087.63</v>
      </c>
      <c r="H189" s="196">
        <v>1.75</v>
      </c>
      <c r="I189" s="15">
        <f t="shared" si="81"/>
        <v>0</v>
      </c>
      <c r="J189" s="15">
        <f>H189*F189</f>
        <v>3653.3525</v>
      </c>
      <c r="K189" s="15">
        <f t="shared" ref="K189:K194" si="87">G189*H189</f>
        <v>3653.3525</v>
      </c>
    </row>
    <row r="190" spans="1:11" ht="26">
      <c r="A190" s="12" t="s">
        <v>808</v>
      </c>
      <c r="B190" s="13" t="s">
        <v>660</v>
      </c>
      <c r="C190" s="11"/>
      <c r="D190" s="15" t="s">
        <v>87</v>
      </c>
      <c r="E190" s="14"/>
      <c r="F190" s="15">
        <v>62.63</v>
      </c>
      <c r="G190" s="15">
        <f t="shared" si="86"/>
        <v>62.63</v>
      </c>
      <c r="H190" s="196">
        <v>10.32</v>
      </c>
      <c r="I190" s="15">
        <f t="shared" si="81"/>
        <v>0</v>
      </c>
      <c r="J190" s="15">
        <f t="shared" ref="J190:J194" si="88">H190*F190</f>
        <v>646.34160000000008</v>
      </c>
      <c r="K190" s="15">
        <f t="shared" si="87"/>
        <v>646.34160000000008</v>
      </c>
    </row>
    <row r="191" spans="1:11" ht="28.5" customHeight="1">
      <c r="A191" s="12" t="s">
        <v>809</v>
      </c>
      <c r="B191" s="13" t="s">
        <v>661</v>
      </c>
      <c r="C191" s="11"/>
      <c r="D191" s="15" t="s">
        <v>1486</v>
      </c>
      <c r="E191" s="14"/>
      <c r="F191" s="15">
        <v>1878.87</v>
      </c>
      <c r="G191" s="15">
        <f t="shared" si="86"/>
        <v>1878.87</v>
      </c>
      <c r="H191" s="196">
        <v>2.14</v>
      </c>
      <c r="I191" s="15">
        <f t="shared" si="81"/>
        <v>0</v>
      </c>
      <c r="J191" s="15">
        <f t="shared" si="88"/>
        <v>4020.7818000000002</v>
      </c>
      <c r="K191" s="15">
        <f t="shared" si="87"/>
        <v>4020.7818000000002</v>
      </c>
    </row>
    <row r="192" spans="1:11" ht="32.5" customHeight="1">
      <c r="A192" s="12" t="s">
        <v>810</v>
      </c>
      <c r="B192" s="19" t="s">
        <v>669</v>
      </c>
      <c r="C192" s="11"/>
      <c r="D192" s="192" t="s">
        <v>1486</v>
      </c>
      <c r="E192" s="193"/>
      <c r="F192" s="15">
        <v>3818.68</v>
      </c>
      <c r="G192" s="15">
        <f t="shared" si="86"/>
        <v>3818.68</v>
      </c>
      <c r="H192" s="197">
        <v>0.87</v>
      </c>
      <c r="I192" s="15">
        <f t="shared" si="81"/>
        <v>0</v>
      </c>
      <c r="J192" s="15">
        <f t="shared" si="88"/>
        <v>3322.2516000000001</v>
      </c>
      <c r="K192" s="15">
        <f t="shared" si="87"/>
        <v>3322.2516000000001</v>
      </c>
    </row>
    <row r="193" spans="1:11" ht="26.5">
      <c r="A193" s="12" t="s">
        <v>811</v>
      </c>
      <c r="B193" s="19" t="s">
        <v>671</v>
      </c>
      <c r="C193" s="11"/>
      <c r="D193" s="15" t="s">
        <v>87</v>
      </c>
      <c r="E193" s="14"/>
      <c r="F193" s="15">
        <v>62.63</v>
      </c>
      <c r="G193" s="15">
        <f t="shared" si="86"/>
        <v>62.63</v>
      </c>
      <c r="H193" s="196">
        <v>1248.29</v>
      </c>
      <c r="I193" s="15">
        <f t="shared" si="81"/>
        <v>0</v>
      </c>
      <c r="J193" s="15">
        <f t="shared" si="88"/>
        <v>78180.402700000006</v>
      </c>
      <c r="K193" s="15">
        <f t="shared" si="87"/>
        <v>78180.402700000006</v>
      </c>
    </row>
    <row r="194" spans="1:11" ht="16.5" customHeight="1">
      <c r="A194" s="12" t="s">
        <v>812</v>
      </c>
      <c r="B194" s="17" t="s">
        <v>672</v>
      </c>
      <c r="C194" s="11" t="s">
        <v>87</v>
      </c>
      <c r="D194" s="15" t="s">
        <v>124</v>
      </c>
      <c r="E194" s="14"/>
      <c r="F194" s="15">
        <v>2087.63</v>
      </c>
      <c r="G194" s="15">
        <f t="shared" si="86"/>
        <v>2087.63</v>
      </c>
      <c r="H194" s="196">
        <v>2.83</v>
      </c>
      <c r="I194" s="15">
        <f t="shared" si="81"/>
        <v>0</v>
      </c>
      <c r="J194" s="15">
        <f t="shared" si="88"/>
        <v>5907.9929000000002</v>
      </c>
      <c r="K194" s="15">
        <f t="shared" si="87"/>
        <v>5907.9929000000002</v>
      </c>
    </row>
    <row r="195" spans="1:11">
      <c r="A195" s="8" t="s">
        <v>813</v>
      </c>
      <c r="B195" s="9" t="s">
        <v>107</v>
      </c>
      <c r="C195" s="8"/>
      <c r="D195" s="8"/>
      <c r="E195" s="8"/>
      <c r="F195" s="203"/>
      <c r="G195" s="203"/>
      <c r="H195" s="195"/>
      <c r="I195" s="195"/>
      <c r="J195" s="10">
        <f>SUM(J196:J198)</f>
        <v>0</v>
      </c>
      <c r="K195" s="10">
        <f>SUM(K196:K198)</f>
        <v>0</v>
      </c>
    </row>
    <row r="196" spans="1:11" ht="39">
      <c r="A196" s="12" t="s">
        <v>814</v>
      </c>
      <c r="B196" s="13" t="s">
        <v>674</v>
      </c>
      <c r="C196" s="11" t="s">
        <v>33</v>
      </c>
      <c r="D196" s="14" t="s">
        <v>1487</v>
      </c>
      <c r="E196" s="14"/>
      <c r="F196" s="15"/>
      <c r="G196" s="15">
        <f>F196-E196</f>
        <v>0</v>
      </c>
      <c r="H196" s="196">
        <v>625.09</v>
      </c>
      <c r="I196" s="15">
        <f t="shared" si="81"/>
        <v>0</v>
      </c>
      <c r="J196" s="15">
        <f>H196*F196</f>
        <v>0</v>
      </c>
      <c r="K196" s="15">
        <f t="shared" ref="K196:K198" si="89">G196*H196</f>
        <v>0</v>
      </c>
    </row>
    <row r="197" spans="1:11" ht="17" customHeight="1">
      <c r="A197" s="12" t="s">
        <v>815</v>
      </c>
      <c r="B197" s="194" t="s">
        <v>680</v>
      </c>
      <c r="C197" s="11" t="s">
        <v>33</v>
      </c>
      <c r="D197" s="14" t="s">
        <v>124</v>
      </c>
      <c r="E197" s="14"/>
      <c r="F197" s="15"/>
      <c r="G197" s="15">
        <f>F197-E197</f>
        <v>0</v>
      </c>
      <c r="H197" s="196">
        <v>16.260000000000002</v>
      </c>
      <c r="I197" s="15">
        <f t="shared" si="81"/>
        <v>0</v>
      </c>
      <c r="J197" s="15">
        <f t="shared" ref="J197:J198" si="90">H197*F197</f>
        <v>0</v>
      </c>
      <c r="K197" s="15">
        <f t="shared" si="89"/>
        <v>0</v>
      </c>
    </row>
    <row r="198" spans="1:11" ht="16.5" customHeight="1">
      <c r="A198" s="12" t="s">
        <v>816</v>
      </c>
      <c r="B198" s="13" t="s">
        <v>675</v>
      </c>
      <c r="C198" s="11" t="s">
        <v>33</v>
      </c>
      <c r="D198" s="14" t="s">
        <v>124</v>
      </c>
      <c r="E198" s="14"/>
      <c r="F198" s="15"/>
      <c r="G198" s="15">
        <f>F198-E198</f>
        <v>0</v>
      </c>
      <c r="H198" s="196">
        <v>4.5599999999999996</v>
      </c>
      <c r="I198" s="15">
        <f t="shared" si="81"/>
        <v>0</v>
      </c>
      <c r="J198" s="15">
        <f t="shared" si="90"/>
        <v>0</v>
      </c>
      <c r="K198" s="15">
        <f t="shared" si="89"/>
        <v>0</v>
      </c>
    </row>
    <row r="199" spans="1:11">
      <c r="A199" s="8" t="s">
        <v>817</v>
      </c>
      <c r="B199" s="9" t="s">
        <v>678</v>
      </c>
      <c r="C199" s="8"/>
      <c r="D199" s="8"/>
      <c r="E199" s="8"/>
      <c r="F199" s="203"/>
      <c r="G199" s="203"/>
      <c r="H199" s="195"/>
      <c r="I199" s="195"/>
      <c r="J199" s="10">
        <f>SUM(J200:J201)</f>
        <v>3653.3525</v>
      </c>
      <c r="K199" s="10">
        <f>SUM(K200:K201)</f>
        <v>3653.3525</v>
      </c>
    </row>
    <row r="200" spans="1:11">
      <c r="A200" s="12" t="s">
        <v>818</v>
      </c>
      <c r="B200" s="13" t="s">
        <v>659</v>
      </c>
      <c r="C200" s="11" t="s">
        <v>11</v>
      </c>
      <c r="D200" s="14" t="s">
        <v>124</v>
      </c>
      <c r="E200" s="14"/>
      <c r="F200" s="15">
        <v>2087.63</v>
      </c>
      <c r="G200" s="15">
        <f>F200-E200</f>
        <v>2087.63</v>
      </c>
      <c r="H200" s="196">
        <v>1.75</v>
      </c>
      <c r="I200" s="15">
        <f t="shared" si="81"/>
        <v>0</v>
      </c>
      <c r="J200" s="15">
        <f>H200*F200</f>
        <v>3653.3525</v>
      </c>
      <c r="K200" s="15">
        <f t="shared" ref="K200:K201" si="91">G200*H200</f>
        <v>3653.3525</v>
      </c>
    </row>
    <row r="201" spans="1:11">
      <c r="A201" s="12" t="s">
        <v>819</v>
      </c>
      <c r="B201" s="13" t="s">
        <v>679</v>
      </c>
      <c r="C201" s="11" t="s">
        <v>11</v>
      </c>
      <c r="D201" s="14" t="s">
        <v>1487</v>
      </c>
      <c r="E201" s="14"/>
      <c r="F201" s="15"/>
      <c r="G201" s="15">
        <f>F201-E201</f>
        <v>0</v>
      </c>
      <c r="H201" s="196">
        <v>92.34</v>
      </c>
      <c r="I201" s="15">
        <f t="shared" si="81"/>
        <v>0</v>
      </c>
      <c r="J201" s="15">
        <f>H201*F201</f>
        <v>0</v>
      </c>
      <c r="K201" s="15">
        <f t="shared" si="91"/>
        <v>0</v>
      </c>
    </row>
    <row r="202" spans="1:11">
      <c r="A202" s="184">
        <v>8</v>
      </c>
      <c r="B202" s="191" t="s">
        <v>1461</v>
      </c>
      <c r="C202" s="184"/>
      <c r="D202" s="184"/>
      <c r="E202" s="184"/>
      <c r="F202" s="202"/>
      <c r="G202" s="202"/>
      <c r="H202" s="198"/>
      <c r="I202" s="185">
        <f>SUM(I203,I206,I208,I215,I222,I226)</f>
        <v>236899.24359999999</v>
      </c>
      <c r="J202" s="185">
        <f>SUM(J203,J206,J208,J215,J222,J226)</f>
        <v>236899.24359999999</v>
      </c>
      <c r="K202" s="185">
        <f>SUM(K203,K206,K208,K215,K222,K226)</f>
        <v>0</v>
      </c>
    </row>
    <row r="203" spans="1:11">
      <c r="A203" s="8" t="s">
        <v>52</v>
      </c>
      <c r="B203" s="9" t="s">
        <v>8</v>
      </c>
      <c r="C203" s="8"/>
      <c r="D203" s="8"/>
      <c r="E203" s="8"/>
      <c r="F203" s="203"/>
      <c r="G203" s="203"/>
      <c r="H203" s="195"/>
      <c r="I203" s="10">
        <f>SUM(I204:I205)</f>
        <v>18729.1446</v>
      </c>
      <c r="J203" s="10">
        <f>SUM(J204:J205)</f>
        <v>18729.1446</v>
      </c>
      <c r="K203" s="10">
        <f>SUM(K204:K205)</f>
        <v>0</v>
      </c>
    </row>
    <row r="204" spans="1:11" ht="26">
      <c r="A204" s="12" t="s">
        <v>820</v>
      </c>
      <c r="B204" s="13" t="s">
        <v>653</v>
      </c>
      <c r="C204" s="11" t="s">
        <v>13</v>
      </c>
      <c r="D204" s="14" t="s">
        <v>124</v>
      </c>
      <c r="E204" s="14">
        <f>F204</f>
        <v>2329.66</v>
      </c>
      <c r="F204" s="15">
        <v>2329.66</v>
      </c>
      <c r="G204" s="15">
        <f>F204-E204</f>
        <v>0</v>
      </c>
      <c r="H204" s="196">
        <v>0.36</v>
      </c>
      <c r="I204" s="15">
        <f>H204*E204</f>
        <v>838.67759999999987</v>
      </c>
      <c r="J204" s="15">
        <f>H204*F204</f>
        <v>838.67759999999987</v>
      </c>
      <c r="K204" s="15">
        <f t="shared" ref="K204:K205" si="92">G204*H204</f>
        <v>0</v>
      </c>
    </row>
    <row r="205" spans="1:11" ht="52">
      <c r="A205" s="12" t="s">
        <v>821</v>
      </c>
      <c r="B205" s="13" t="s">
        <v>650</v>
      </c>
      <c r="C205" s="11" t="s">
        <v>11</v>
      </c>
      <c r="D205" s="14" t="s">
        <v>124</v>
      </c>
      <c r="E205" s="14">
        <f>F205</f>
        <v>290.10000000000002</v>
      </c>
      <c r="F205" s="15">
        <v>290.10000000000002</v>
      </c>
      <c r="G205" s="15">
        <f>F205-E205</f>
        <v>0</v>
      </c>
      <c r="H205" s="196">
        <v>61.67</v>
      </c>
      <c r="I205" s="15">
        <f>H205*E205</f>
        <v>17890.467000000001</v>
      </c>
      <c r="J205" s="15">
        <f>H205*F205</f>
        <v>17890.467000000001</v>
      </c>
      <c r="K205" s="15">
        <f t="shared" si="92"/>
        <v>0</v>
      </c>
    </row>
    <row r="206" spans="1:11">
      <c r="A206" s="8" t="s">
        <v>53</v>
      </c>
      <c r="B206" s="9" t="s">
        <v>655</v>
      </c>
      <c r="C206" s="8"/>
      <c r="D206" s="8"/>
      <c r="E206" s="8"/>
      <c r="F206" s="203"/>
      <c r="G206" s="203"/>
      <c r="H206" s="195"/>
      <c r="I206" s="10">
        <f>SUM(I207:I207)</f>
        <v>885.27080000000001</v>
      </c>
      <c r="J206" s="10">
        <f>SUM(J207:J207)</f>
        <v>885.27080000000001</v>
      </c>
      <c r="K206" s="10">
        <f>SUM(K207:K207)</f>
        <v>0</v>
      </c>
    </row>
    <row r="207" spans="1:11" ht="26">
      <c r="A207" s="12" t="s">
        <v>822</v>
      </c>
      <c r="B207" s="13" t="s">
        <v>656</v>
      </c>
      <c r="C207" s="11"/>
      <c r="D207" s="14" t="s">
        <v>124</v>
      </c>
      <c r="E207" s="14">
        <f>F207</f>
        <v>2329.66</v>
      </c>
      <c r="F207" s="15">
        <v>2329.66</v>
      </c>
      <c r="G207" s="15">
        <f>F207-E207</f>
        <v>0</v>
      </c>
      <c r="H207" s="196">
        <v>0.38</v>
      </c>
      <c r="I207" s="15">
        <f t="shared" ref="I207:I228" si="93">H207*E207</f>
        <v>885.27080000000001</v>
      </c>
      <c r="J207" s="15">
        <f>H207*F207</f>
        <v>885.27080000000001</v>
      </c>
      <c r="K207" s="15">
        <f t="shared" ref="K207" si="94">G207*H207</f>
        <v>0</v>
      </c>
    </row>
    <row r="208" spans="1:11">
      <c r="A208" s="8" t="s">
        <v>54</v>
      </c>
      <c r="B208" s="9" t="s">
        <v>658</v>
      </c>
      <c r="C208" s="8"/>
      <c r="D208" s="8"/>
      <c r="E208" s="8"/>
      <c r="F208" s="203"/>
      <c r="G208" s="203"/>
      <c r="H208" s="195"/>
      <c r="I208" s="10">
        <f>SUM(I209:I214)</f>
        <v>106603.9616</v>
      </c>
      <c r="J208" s="10">
        <f>SUM(J209:J214)</f>
        <v>106603.9616</v>
      </c>
      <c r="K208" s="10">
        <f>SUM(K209:K214)</f>
        <v>0</v>
      </c>
    </row>
    <row r="209" spans="1:11">
      <c r="A209" s="12" t="s">
        <v>823</v>
      </c>
      <c r="B209" s="13" t="s">
        <v>659</v>
      </c>
      <c r="C209" s="11"/>
      <c r="D209" s="14" t="s">
        <v>124</v>
      </c>
      <c r="E209" s="14">
        <f>F209</f>
        <v>2329.66</v>
      </c>
      <c r="F209" s="15">
        <v>2329.66</v>
      </c>
      <c r="G209" s="15">
        <f t="shared" ref="G209:G214" si="95">F209-E209</f>
        <v>0</v>
      </c>
      <c r="H209" s="196">
        <v>1.75</v>
      </c>
      <c r="I209" s="15">
        <f t="shared" si="93"/>
        <v>4076.9049999999997</v>
      </c>
      <c r="J209" s="15">
        <f>H209*F209</f>
        <v>4076.9049999999997</v>
      </c>
      <c r="K209" s="15">
        <f t="shared" ref="K209:K214" si="96">G209*H209</f>
        <v>0</v>
      </c>
    </row>
    <row r="210" spans="1:11" ht="26">
      <c r="A210" s="12" t="s">
        <v>824</v>
      </c>
      <c r="B210" s="13" t="s">
        <v>660</v>
      </c>
      <c r="C210" s="11"/>
      <c r="D210" s="14" t="s">
        <v>87</v>
      </c>
      <c r="E210" s="14">
        <f t="shared" ref="E210:E214" si="97">F210</f>
        <v>69.89</v>
      </c>
      <c r="F210" s="15">
        <v>69.89</v>
      </c>
      <c r="G210" s="15">
        <f t="shared" si="95"/>
        <v>0</v>
      </c>
      <c r="H210" s="196">
        <v>10.32</v>
      </c>
      <c r="I210" s="15">
        <f t="shared" si="93"/>
        <v>721.26480000000004</v>
      </c>
      <c r="J210" s="15">
        <f t="shared" ref="J210:J214" si="98">H210*F210</f>
        <v>721.26480000000004</v>
      </c>
      <c r="K210" s="15">
        <f t="shared" si="96"/>
        <v>0</v>
      </c>
    </row>
    <row r="211" spans="1:11" ht="28.5" customHeight="1">
      <c r="A211" s="12" t="s">
        <v>825</v>
      </c>
      <c r="B211" s="13" t="s">
        <v>661</v>
      </c>
      <c r="C211" s="11"/>
      <c r="D211" s="14" t="s">
        <v>1486</v>
      </c>
      <c r="E211" s="14">
        <f t="shared" si="97"/>
        <v>2096.69</v>
      </c>
      <c r="F211" s="15">
        <v>2096.69</v>
      </c>
      <c r="G211" s="15">
        <f t="shared" si="95"/>
        <v>0</v>
      </c>
      <c r="H211" s="196">
        <v>2.14</v>
      </c>
      <c r="I211" s="15">
        <f t="shared" si="93"/>
        <v>4486.9166000000005</v>
      </c>
      <c r="J211" s="15">
        <f t="shared" si="98"/>
        <v>4486.9166000000005</v>
      </c>
      <c r="K211" s="15">
        <f t="shared" si="96"/>
        <v>0</v>
      </c>
    </row>
    <row r="212" spans="1:11" ht="29" customHeight="1">
      <c r="A212" s="12" t="s">
        <v>826</v>
      </c>
      <c r="B212" s="13" t="s">
        <v>669</v>
      </c>
      <c r="C212" s="11"/>
      <c r="D212" s="14" t="s">
        <v>1486</v>
      </c>
      <c r="E212" s="14">
        <f t="shared" si="97"/>
        <v>4003.39</v>
      </c>
      <c r="F212" s="15">
        <v>4003.39</v>
      </c>
      <c r="G212" s="15">
        <f t="shared" si="95"/>
        <v>0</v>
      </c>
      <c r="H212" s="196">
        <v>0.87</v>
      </c>
      <c r="I212" s="15">
        <f t="shared" si="93"/>
        <v>3482.9492999999998</v>
      </c>
      <c r="J212" s="15">
        <f t="shared" si="98"/>
        <v>3482.9492999999998</v>
      </c>
      <c r="K212" s="15">
        <f t="shared" si="96"/>
        <v>0</v>
      </c>
    </row>
    <row r="213" spans="1:11" ht="28" customHeight="1">
      <c r="A213" s="12" t="s">
        <v>827</v>
      </c>
      <c r="B213" s="13" t="s">
        <v>662</v>
      </c>
      <c r="C213" s="11"/>
      <c r="D213" s="14" t="s">
        <v>87</v>
      </c>
      <c r="E213" s="14">
        <f t="shared" si="97"/>
        <v>69.89</v>
      </c>
      <c r="F213" s="15">
        <v>69.89</v>
      </c>
      <c r="G213" s="15">
        <f t="shared" si="95"/>
        <v>0</v>
      </c>
      <c r="H213" s="196">
        <v>1248.29</v>
      </c>
      <c r="I213" s="15">
        <f t="shared" si="93"/>
        <v>87242.988100000002</v>
      </c>
      <c r="J213" s="15">
        <f t="shared" si="98"/>
        <v>87242.988100000002</v>
      </c>
      <c r="K213" s="15">
        <f t="shared" si="96"/>
        <v>0</v>
      </c>
    </row>
    <row r="214" spans="1:11" ht="17.5" customHeight="1">
      <c r="A214" s="12" t="s">
        <v>828</v>
      </c>
      <c r="B214" s="13" t="s">
        <v>663</v>
      </c>
      <c r="C214" s="11"/>
      <c r="D214" s="14" t="s">
        <v>124</v>
      </c>
      <c r="E214" s="14">
        <f t="shared" si="97"/>
        <v>2329.66</v>
      </c>
      <c r="F214" s="15">
        <v>2329.66</v>
      </c>
      <c r="G214" s="15">
        <f t="shared" si="95"/>
        <v>0</v>
      </c>
      <c r="H214" s="196">
        <v>2.83</v>
      </c>
      <c r="I214" s="15">
        <f t="shared" si="93"/>
        <v>6592.9377999999997</v>
      </c>
      <c r="J214" s="15">
        <f t="shared" si="98"/>
        <v>6592.9377999999997</v>
      </c>
      <c r="K214" s="15">
        <f t="shared" si="96"/>
        <v>0</v>
      </c>
    </row>
    <row r="215" spans="1:11">
      <c r="A215" s="8" t="s">
        <v>55</v>
      </c>
      <c r="B215" s="9" t="s">
        <v>670</v>
      </c>
      <c r="C215" s="8"/>
      <c r="D215" s="8"/>
      <c r="E215" s="8"/>
      <c r="F215" s="203"/>
      <c r="G215" s="203"/>
      <c r="H215" s="195"/>
      <c r="I215" s="10">
        <f>SUM(I216:I221)</f>
        <v>106603.9616</v>
      </c>
      <c r="J215" s="10">
        <f>SUM(J216:J221)</f>
        <v>106603.9616</v>
      </c>
      <c r="K215" s="10">
        <f>SUM(K216:K221)</f>
        <v>0</v>
      </c>
    </row>
    <row r="216" spans="1:11">
      <c r="A216" s="12" t="s">
        <v>829</v>
      </c>
      <c r="B216" s="13" t="s">
        <v>659</v>
      </c>
      <c r="C216" s="11"/>
      <c r="D216" s="15" t="s">
        <v>124</v>
      </c>
      <c r="E216" s="14">
        <f>F216</f>
        <v>2329.66</v>
      </c>
      <c r="F216" s="15">
        <v>2329.66</v>
      </c>
      <c r="G216" s="15">
        <f t="shared" ref="G216:G221" si="99">F216-E216</f>
        <v>0</v>
      </c>
      <c r="H216" s="196">
        <v>1.75</v>
      </c>
      <c r="I216" s="15">
        <f t="shared" si="93"/>
        <v>4076.9049999999997</v>
      </c>
      <c r="J216" s="15">
        <f>H216*F216</f>
        <v>4076.9049999999997</v>
      </c>
      <c r="K216" s="15">
        <f t="shared" ref="K216:K221" si="100">G216*H216</f>
        <v>0</v>
      </c>
    </row>
    <row r="217" spans="1:11" ht="26">
      <c r="A217" s="12" t="s">
        <v>830</v>
      </c>
      <c r="B217" s="13" t="s">
        <v>660</v>
      </c>
      <c r="C217" s="11"/>
      <c r="D217" s="15" t="s">
        <v>87</v>
      </c>
      <c r="E217" s="14">
        <f t="shared" ref="E217:E221" si="101">F217</f>
        <v>69.89</v>
      </c>
      <c r="F217" s="199">
        <v>69.89</v>
      </c>
      <c r="G217" s="15">
        <f t="shared" si="99"/>
        <v>0</v>
      </c>
      <c r="H217" s="196">
        <v>10.32</v>
      </c>
      <c r="I217" s="15">
        <f t="shared" si="93"/>
        <v>721.26480000000004</v>
      </c>
      <c r="J217" s="15">
        <f t="shared" ref="J217:J221" si="102">H217*F217</f>
        <v>721.26480000000004</v>
      </c>
      <c r="K217" s="15">
        <f t="shared" si="100"/>
        <v>0</v>
      </c>
    </row>
    <row r="218" spans="1:11" ht="28.5" customHeight="1">
      <c r="A218" s="12" t="s">
        <v>831</v>
      </c>
      <c r="B218" s="13" t="s">
        <v>661</v>
      </c>
      <c r="C218" s="11"/>
      <c r="D218" s="15" t="s">
        <v>1486</v>
      </c>
      <c r="E218" s="14">
        <f t="shared" si="101"/>
        <v>2096.69</v>
      </c>
      <c r="F218" s="199">
        <v>2096.69</v>
      </c>
      <c r="G218" s="15">
        <f t="shared" si="99"/>
        <v>0</v>
      </c>
      <c r="H218" s="196">
        <v>2.14</v>
      </c>
      <c r="I218" s="15">
        <f t="shared" si="93"/>
        <v>4486.9166000000005</v>
      </c>
      <c r="J218" s="15">
        <f t="shared" si="102"/>
        <v>4486.9166000000005</v>
      </c>
      <c r="K218" s="15">
        <f t="shared" si="100"/>
        <v>0</v>
      </c>
    </row>
    <row r="219" spans="1:11" ht="32.5" customHeight="1">
      <c r="A219" s="12" t="s">
        <v>832</v>
      </c>
      <c r="B219" s="19" t="s">
        <v>669</v>
      </c>
      <c r="C219" s="11"/>
      <c r="D219" s="192" t="s">
        <v>1486</v>
      </c>
      <c r="E219" s="14">
        <f t="shared" si="101"/>
        <v>4003.39</v>
      </c>
      <c r="F219" s="204">
        <v>4003.39</v>
      </c>
      <c r="G219" s="15">
        <f t="shared" si="99"/>
        <v>0</v>
      </c>
      <c r="H219" s="197">
        <v>0.87</v>
      </c>
      <c r="I219" s="15">
        <f t="shared" si="93"/>
        <v>3482.9492999999998</v>
      </c>
      <c r="J219" s="15">
        <f t="shared" si="102"/>
        <v>3482.9492999999998</v>
      </c>
      <c r="K219" s="15">
        <f t="shared" si="100"/>
        <v>0</v>
      </c>
    </row>
    <row r="220" spans="1:11" ht="26.5">
      <c r="A220" s="12" t="s">
        <v>833</v>
      </c>
      <c r="B220" s="19" t="s">
        <v>671</v>
      </c>
      <c r="C220" s="11"/>
      <c r="D220" s="15" t="s">
        <v>87</v>
      </c>
      <c r="E220" s="14">
        <f t="shared" si="101"/>
        <v>69.89</v>
      </c>
      <c r="F220" s="199">
        <v>69.89</v>
      </c>
      <c r="G220" s="15">
        <f t="shared" si="99"/>
        <v>0</v>
      </c>
      <c r="H220" s="196">
        <v>1248.29</v>
      </c>
      <c r="I220" s="15">
        <f t="shared" si="93"/>
        <v>87242.988100000002</v>
      </c>
      <c r="J220" s="15">
        <f t="shared" si="102"/>
        <v>87242.988100000002</v>
      </c>
      <c r="K220" s="15">
        <f t="shared" si="100"/>
        <v>0</v>
      </c>
    </row>
    <row r="221" spans="1:11" ht="16.5" customHeight="1">
      <c r="A221" s="12" t="s">
        <v>834</v>
      </c>
      <c r="B221" s="17" t="s">
        <v>672</v>
      </c>
      <c r="C221" s="11" t="s">
        <v>87</v>
      </c>
      <c r="D221" s="15" t="s">
        <v>124</v>
      </c>
      <c r="E221" s="14">
        <f t="shared" si="101"/>
        <v>2329.66</v>
      </c>
      <c r="F221" s="199">
        <v>2329.66</v>
      </c>
      <c r="G221" s="15">
        <f t="shared" si="99"/>
        <v>0</v>
      </c>
      <c r="H221" s="196">
        <v>2.83</v>
      </c>
      <c r="I221" s="15">
        <f t="shared" si="93"/>
        <v>6592.9377999999997</v>
      </c>
      <c r="J221" s="15">
        <f t="shared" si="102"/>
        <v>6592.9377999999997</v>
      </c>
      <c r="K221" s="15">
        <f t="shared" si="100"/>
        <v>0</v>
      </c>
    </row>
    <row r="222" spans="1:11">
      <c r="A222" s="8" t="s">
        <v>835</v>
      </c>
      <c r="B222" s="9" t="s">
        <v>107</v>
      </c>
      <c r="C222" s="8"/>
      <c r="D222" s="8"/>
      <c r="E222" s="8"/>
      <c r="F222" s="203"/>
      <c r="G222" s="203"/>
      <c r="H222" s="195"/>
      <c r="I222" s="10">
        <f>SUM(I223:I225)</f>
        <v>0</v>
      </c>
      <c r="J222" s="10">
        <f>SUM(J223:J225)</f>
        <v>0</v>
      </c>
      <c r="K222" s="10">
        <f>SUM(K223:K225)</f>
        <v>0</v>
      </c>
    </row>
    <row r="223" spans="1:11" ht="39">
      <c r="A223" s="12" t="s">
        <v>836</v>
      </c>
      <c r="B223" s="13" t="s">
        <v>674</v>
      </c>
      <c r="C223" s="11" t="s">
        <v>33</v>
      </c>
      <c r="D223" s="14" t="s">
        <v>1487</v>
      </c>
      <c r="E223" s="14"/>
      <c r="F223" s="15"/>
      <c r="G223" s="15">
        <f>F223-E223</f>
        <v>0</v>
      </c>
      <c r="H223" s="196">
        <v>625.09</v>
      </c>
      <c r="I223" s="15">
        <f t="shared" si="93"/>
        <v>0</v>
      </c>
      <c r="J223" s="15">
        <f>H223*F223</f>
        <v>0</v>
      </c>
      <c r="K223" s="15">
        <f t="shared" ref="K223:K225" si="103">G223*H223</f>
        <v>0</v>
      </c>
    </row>
    <row r="224" spans="1:11" ht="17" customHeight="1">
      <c r="A224" s="12" t="s">
        <v>837</v>
      </c>
      <c r="B224" s="194" t="s">
        <v>680</v>
      </c>
      <c r="C224" s="11" t="s">
        <v>33</v>
      </c>
      <c r="D224" s="14" t="s">
        <v>124</v>
      </c>
      <c r="E224" s="14"/>
      <c r="F224" s="15"/>
      <c r="G224" s="15">
        <f>F224-E224</f>
        <v>0</v>
      </c>
      <c r="H224" s="196">
        <v>16.260000000000002</v>
      </c>
      <c r="I224" s="15">
        <f t="shared" si="93"/>
        <v>0</v>
      </c>
      <c r="J224" s="15">
        <f t="shared" ref="J224:J225" si="104">H224*F224</f>
        <v>0</v>
      </c>
      <c r="K224" s="15">
        <f t="shared" si="103"/>
        <v>0</v>
      </c>
    </row>
    <row r="225" spans="1:11" ht="16.5" customHeight="1">
      <c r="A225" s="12" t="s">
        <v>838</v>
      </c>
      <c r="B225" s="13" t="s">
        <v>675</v>
      </c>
      <c r="C225" s="11" t="s">
        <v>33</v>
      </c>
      <c r="D225" s="14" t="s">
        <v>124</v>
      </c>
      <c r="E225" s="14"/>
      <c r="F225" s="15"/>
      <c r="G225" s="15">
        <f>F225-E225</f>
        <v>0</v>
      </c>
      <c r="H225" s="196">
        <v>4.5599999999999996</v>
      </c>
      <c r="I225" s="15">
        <f t="shared" si="93"/>
        <v>0</v>
      </c>
      <c r="J225" s="15">
        <f t="shared" si="104"/>
        <v>0</v>
      </c>
      <c r="K225" s="15">
        <f t="shared" si="103"/>
        <v>0</v>
      </c>
    </row>
    <row r="226" spans="1:11">
      <c r="A226" s="8" t="s">
        <v>839</v>
      </c>
      <c r="B226" s="9" t="s">
        <v>678</v>
      </c>
      <c r="C226" s="8"/>
      <c r="D226" s="8"/>
      <c r="E226" s="8"/>
      <c r="F226" s="203"/>
      <c r="G226" s="203"/>
      <c r="H226" s="195"/>
      <c r="I226" s="10">
        <f>SUM(I227:I228)</f>
        <v>4076.9049999999997</v>
      </c>
      <c r="J226" s="10">
        <f>SUM(J227:J228)</f>
        <v>4076.9049999999997</v>
      </c>
      <c r="K226" s="10">
        <f>SUM(K227:K228)</f>
        <v>0</v>
      </c>
    </row>
    <row r="227" spans="1:11">
      <c r="A227" s="12" t="s">
        <v>840</v>
      </c>
      <c r="B227" s="13" t="s">
        <v>659</v>
      </c>
      <c r="C227" s="11" t="s">
        <v>11</v>
      </c>
      <c r="D227" s="14" t="s">
        <v>124</v>
      </c>
      <c r="E227" s="14">
        <f>F227</f>
        <v>2329.66</v>
      </c>
      <c r="F227" s="15">
        <v>2329.66</v>
      </c>
      <c r="G227" s="15">
        <f>F227-E227</f>
        <v>0</v>
      </c>
      <c r="H227" s="196">
        <v>1.75</v>
      </c>
      <c r="I227" s="15">
        <f t="shared" si="93"/>
        <v>4076.9049999999997</v>
      </c>
      <c r="J227" s="15">
        <f>H227*F227</f>
        <v>4076.9049999999997</v>
      </c>
      <c r="K227" s="15">
        <f t="shared" ref="K227:K228" si="105">G227*H227</f>
        <v>0</v>
      </c>
    </row>
    <row r="228" spans="1:11">
      <c r="A228" s="12" t="s">
        <v>841</v>
      </c>
      <c r="B228" s="13" t="s">
        <v>679</v>
      </c>
      <c r="C228" s="11" t="s">
        <v>11</v>
      </c>
      <c r="D228" s="14" t="s">
        <v>1487</v>
      </c>
      <c r="E228" s="14"/>
      <c r="F228" s="15"/>
      <c r="G228" s="15">
        <f>F228-E228</f>
        <v>0</v>
      </c>
      <c r="H228" s="196">
        <v>92.34</v>
      </c>
      <c r="I228" s="15">
        <f t="shared" si="93"/>
        <v>0</v>
      </c>
      <c r="J228" s="15">
        <f>H228*F228</f>
        <v>0</v>
      </c>
      <c r="K228" s="15">
        <f t="shared" si="105"/>
        <v>0</v>
      </c>
    </row>
    <row r="229" spans="1:11">
      <c r="A229" s="184">
        <v>9</v>
      </c>
      <c r="B229" s="191" t="s">
        <v>1462</v>
      </c>
      <c r="C229" s="184"/>
      <c r="D229" s="184"/>
      <c r="E229" s="184"/>
      <c r="F229" s="202"/>
      <c r="G229" s="202"/>
      <c r="H229" s="198"/>
      <c r="I229" s="185">
        <f>SUM(I230,I233,I235,I242,I249,I253)</f>
        <v>31854.192599999995</v>
      </c>
      <c r="J229" s="185">
        <f>SUM(J230,J233,J235,J242,J249,J253)</f>
        <v>31854.192599999995</v>
      </c>
      <c r="K229" s="185">
        <f>SUM(K230,K233,K235,K242,K249,K253)</f>
        <v>0</v>
      </c>
    </row>
    <row r="230" spans="1:11">
      <c r="A230" s="8" t="s">
        <v>59</v>
      </c>
      <c r="B230" s="9" t="s">
        <v>8</v>
      </c>
      <c r="C230" s="8"/>
      <c r="D230" s="8"/>
      <c r="E230" s="8"/>
      <c r="F230" s="203"/>
      <c r="G230" s="203"/>
      <c r="H230" s="195"/>
      <c r="I230" s="10">
        <f>SUM(I231:I232)</f>
        <v>2737.2493999999997</v>
      </c>
      <c r="J230" s="10">
        <f>SUM(J231:J232)</f>
        <v>2737.2493999999997</v>
      </c>
      <c r="K230" s="10">
        <f>SUM(K231:K232)</f>
        <v>0</v>
      </c>
    </row>
    <row r="231" spans="1:11" ht="26">
      <c r="A231" s="12" t="s">
        <v>61</v>
      </c>
      <c r="B231" s="13" t="s">
        <v>653</v>
      </c>
      <c r="C231" s="11" t="s">
        <v>13</v>
      </c>
      <c r="D231" s="14" t="s">
        <v>124</v>
      </c>
      <c r="E231" s="14">
        <f>F231</f>
        <v>309.27999999999997</v>
      </c>
      <c r="F231" s="15">
        <v>309.27999999999997</v>
      </c>
      <c r="G231" s="15">
        <f>F231-E231</f>
        <v>0</v>
      </c>
      <c r="H231" s="196">
        <v>0.36</v>
      </c>
      <c r="I231" s="15">
        <f>H231*E231</f>
        <v>111.34079999999999</v>
      </c>
      <c r="J231" s="15">
        <f>H231*F231</f>
        <v>111.34079999999999</v>
      </c>
      <c r="K231" s="15">
        <f t="shared" ref="K231:K232" si="106">G231*H231</f>
        <v>0</v>
      </c>
    </row>
    <row r="232" spans="1:11" ht="52">
      <c r="A232" s="12" t="s">
        <v>62</v>
      </c>
      <c r="B232" s="13" t="s">
        <v>650</v>
      </c>
      <c r="C232" s="11" t="s">
        <v>11</v>
      </c>
      <c r="D232" s="14" t="s">
        <v>124</v>
      </c>
      <c r="E232" s="14">
        <f>F232</f>
        <v>42.58</v>
      </c>
      <c r="F232" s="15">
        <v>42.58</v>
      </c>
      <c r="G232" s="15">
        <f>F232-E232</f>
        <v>0</v>
      </c>
      <c r="H232" s="196">
        <v>61.67</v>
      </c>
      <c r="I232" s="15">
        <f>H232*E232</f>
        <v>2625.9085999999998</v>
      </c>
      <c r="J232" s="15">
        <f>H232*F232</f>
        <v>2625.9085999999998</v>
      </c>
      <c r="K232" s="15">
        <f t="shared" si="106"/>
        <v>0</v>
      </c>
    </row>
    <row r="233" spans="1:11">
      <c r="A233" s="8" t="s">
        <v>842</v>
      </c>
      <c r="B233" s="9" t="s">
        <v>655</v>
      </c>
      <c r="C233" s="8"/>
      <c r="D233" s="8"/>
      <c r="E233" s="8"/>
      <c r="F233" s="203"/>
      <c r="G233" s="203"/>
      <c r="H233" s="195"/>
      <c r="I233" s="10">
        <f>SUM(I234:I234)</f>
        <v>117.5264</v>
      </c>
      <c r="J233" s="10">
        <f>SUM(J234:J234)</f>
        <v>117.5264</v>
      </c>
      <c r="K233" s="10">
        <f>SUM(K234:K234)</f>
        <v>0</v>
      </c>
    </row>
    <row r="234" spans="1:11" ht="26">
      <c r="A234" s="12" t="s">
        <v>843</v>
      </c>
      <c r="B234" s="13" t="s">
        <v>656</v>
      </c>
      <c r="C234" s="11"/>
      <c r="D234" s="14" t="s">
        <v>124</v>
      </c>
      <c r="E234" s="14">
        <f>F234</f>
        <v>309.27999999999997</v>
      </c>
      <c r="F234" s="15">
        <v>309.27999999999997</v>
      </c>
      <c r="G234" s="15">
        <f>F234-E234</f>
        <v>0</v>
      </c>
      <c r="H234" s="196">
        <v>0.38</v>
      </c>
      <c r="I234" s="15">
        <f t="shared" ref="I234:I255" si="107">H234*E234</f>
        <v>117.5264</v>
      </c>
      <c r="J234" s="15">
        <f>H234*F234</f>
        <v>117.5264</v>
      </c>
      <c r="K234" s="15">
        <f t="shared" ref="K234" si="108">G234*H234</f>
        <v>0</v>
      </c>
    </row>
    <row r="235" spans="1:11">
      <c r="A235" s="8" t="s">
        <v>844</v>
      </c>
      <c r="B235" s="9" t="s">
        <v>658</v>
      </c>
      <c r="C235" s="8"/>
      <c r="D235" s="8"/>
      <c r="E235" s="8"/>
      <c r="F235" s="203"/>
      <c r="G235" s="203"/>
      <c r="H235" s="195"/>
      <c r="I235" s="10">
        <f>SUM(I236:I241)</f>
        <v>14229.088399999997</v>
      </c>
      <c r="J235" s="10">
        <f>SUM(J236:J241)</f>
        <v>14229.088399999997</v>
      </c>
      <c r="K235" s="10">
        <f>SUM(K236:K241)</f>
        <v>0</v>
      </c>
    </row>
    <row r="236" spans="1:11">
      <c r="A236" s="12" t="s">
        <v>845</v>
      </c>
      <c r="B236" s="13" t="s">
        <v>659</v>
      </c>
      <c r="C236" s="11"/>
      <c r="D236" s="14" t="s">
        <v>124</v>
      </c>
      <c r="E236" s="14">
        <f>F236</f>
        <v>309.27999999999997</v>
      </c>
      <c r="F236" s="15">
        <v>309.27999999999997</v>
      </c>
      <c r="G236" s="15">
        <f t="shared" ref="G236:G241" si="109">F236-E236</f>
        <v>0</v>
      </c>
      <c r="H236" s="196">
        <v>1.75</v>
      </c>
      <c r="I236" s="15">
        <f t="shared" si="107"/>
        <v>541.24</v>
      </c>
      <c r="J236" s="15">
        <f>H236*F236</f>
        <v>541.24</v>
      </c>
      <c r="K236" s="15">
        <f t="shared" ref="K236:K241" si="110">G236*H236</f>
        <v>0</v>
      </c>
    </row>
    <row r="237" spans="1:11" ht="26">
      <c r="A237" s="12" t="s">
        <v>846</v>
      </c>
      <c r="B237" s="13" t="s">
        <v>660</v>
      </c>
      <c r="C237" s="11"/>
      <c r="D237" s="14" t="s">
        <v>87</v>
      </c>
      <c r="E237" s="14">
        <f t="shared" ref="E237:E241" si="111">F237</f>
        <v>9.2799999999999994</v>
      </c>
      <c r="F237" s="15">
        <v>9.2799999999999994</v>
      </c>
      <c r="G237" s="15">
        <f t="shared" si="109"/>
        <v>0</v>
      </c>
      <c r="H237" s="196">
        <v>10.32</v>
      </c>
      <c r="I237" s="15">
        <f t="shared" si="107"/>
        <v>95.769599999999997</v>
      </c>
      <c r="J237" s="15">
        <f t="shared" ref="J237:J241" si="112">H237*F237</f>
        <v>95.769599999999997</v>
      </c>
      <c r="K237" s="15">
        <f t="shared" si="110"/>
        <v>0</v>
      </c>
    </row>
    <row r="238" spans="1:11" ht="28.5" customHeight="1">
      <c r="A238" s="12" t="s">
        <v>847</v>
      </c>
      <c r="B238" s="13" t="s">
        <v>661</v>
      </c>
      <c r="C238" s="11"/>
      <c r="D238" s="14" t="s">
        <v>1486</v>
      </c>
      <c r="E238" s="14">
        <f t="shared" si="111"/>
        <v>278.35000000000002</v>
      </c>
      <c r="F238" s="15">
        <v>278.35000000000002</v>
      </c>
      <c r="G238" s="15">
        <f t="shared" si="109"/>
        <v>0</v>
      </c>
      <c r="H238" s="196">
        <v>2.14</v>
      </c>
      <c r="I238" s="15">
        <f t="shared" si="107"/>
        <v>595.6690000000001</v>
      </c>
      <c r="J238" s="15">
        <f t="shared" si="112"/>
        <v>595.6690000000001</v>
      </c>
      <c r="K238" s="15">
        <f t="shared" si="110"/>
        <v>0</v>
      </c>
    </row>
    <row r="239" spans="1:11" ht="29" customHeight="1">
      <c r="A239" s="12" t="s">
        <v>848</v>
      </c>
      <c r="B239" s="13" t="s">
        <v>669</v>
      </c>
      <c r="C239" s="11"/>
      <c r="D239" s="14" t="s">
        <v>1486</v>
      </c>
      <c r="E239" s="14">
        <f t="shared" si="111"/>
        <v>617.26</v>
      </c>
      <c r="F239" s="15">
        <v>617.26</v>
      </c>
      <c r="G239" s="15">
        <f t="shared" si="109"/>
        <v>0</v>
      </c>
      <c r="H239" s="196">
        <v>0.87</v>
      </c>
      <c r="I239" s="15">
        <f t="shared" si="107"/>
        <v>537.01620000000003</v>
      </c>
      <c r="J239" s="15">
        <f t="shared" si="112"/>
        <v>537.01620000000003</v>
      </c>
      <c r="K239" s="15">
        <f t="shared" si="110"/>
        <v>0</v>
      </c>
    </row>
    <row r="240" spans="1:11" ht="28" customHeight="1">
      <c r="A240" s="12" t="s">
        <v>849</v>
      </c>
      <c r="B240" s="13" t="s">
        <v>662</v>
      </c>
      <c r="C240" s="11"/>
      <c r="D240" s="14" t="s">
        <v>87</v>
      </c>
      <c r="E240" s="14">
        <f t="shared" si="111"/>
        <v>9.2799999999999994</v>
      </c>
      <c r="F240" s="15">
        <v>9.2799999999999994</v>
      </c>
      <c r="G240" s="15">
        <f t="shared" si="109"/>
        <v>0</v>
      </c>
      <c r="H240" s="196">
        <v>1248.29</v>
      </c>
      <c r="I240" s="15">
        <f t="shared" si="107"/>
        <v>11584.131199999998</v>
      </c>
      <c r="J240" s="15">
        <f t="shared" si="112"/>
        <v>11584.131199999998</v>
      </c>
      <c r="K240" s="15">
        <f t="shared" si="110"/>
        <v>0</v>
      </c>
    </row>
    <row r="241" spans="1:11" ht="17.5" customHeight="1">
      <c r="A241" s="12" t="s">
        <v>850</v>
      </c>
      <c r="B241" s="13" t="s">
        <v>663</v>
      </c>
      <c r="C241" s="11"/>
      <c r="D241" s="14" t="s">
        <v>124</v>
      </c>
      <c r="E241" s="14">
        <f t="shared" si="111"/>
        <v>309.27999999999997</v>
      </c>
      <c r="F241" s="15">
        <v>309.27999999999997</v>
      </c>
      <c r="G241" s="15">
        <f t="shared" si="109"/>
        <v>0</v>
      </c>
      <c r="H241" s="196">
        <v>2.83</v>
      </c>
      <c r="I241" s="15">
        <f t="shared" si="107"/>
        <v>875.26239999999996</v>
      </c>
      <c r="J241" s="15">
        <f t="shared" si="112"/>
        <v>875.26239999999996</v>
      </c>
      <c r="K241" s="15">
        <f t="shared" si="110"/>
        <v>0</v>
      </c>
    </row>
    <row r="242" spans="1:11">
      <c r="A242" s="8" t="s">
        <v>851</v>
      </c>
      <c r="B242" s="9" t="s">
        <v>670</v>
      </c>
      <c r="C242" s="8"/>
      <c r="D242" s="8"/>
      <c r="E242" s="8"/>
      <c r="F242" s="203"/>
      <c r="G242" s="203"/>
      <c r="H242" s="195"/>
      <c r="I242" s="10">
        <f>SUM(I243:I248)</f>
        <v>14229.088399999997</v>
      </c>
      <c r="J242" s="10">
        <f>SUM(J243:J248)</f>
        <v>14229.088399999997</v>
      </c>
      <c r="K242" s="10">
        <f>SUM(K243:K248)</f>
        <v>0</v>
      </c>
    </row>
    <row r="243" spans="1:11">
      <c r="A243" s="12" t="s">
        <v>852</v>
      </c>
      <c r="B243" s="13" t="s">
        <v>659</v>
      </c>
      <c r="C243" s="11"/>
      <c r="D243" s="15" t="s">
        <v>124</v>
      </c>
      <c r="E243" s="14">
        <f>F243</f>
        <v>309.27999999999997</v>
      </c>
      <c r="F243" s="15">
        <v>309.27999999999997</v>
      </c>
      <c r="G243" s="15">
        <f t="shared" ref="G243:G248" si="113">F243-E243</f>
        <v>0</v>
      </c>
      <c r="H243" s="196">
        <v>1.75</v>
      </c>
      <c r="I243" s="15">
        <f t="shared" si="107"/>
        <v>541.24</v>
      </c>
      <c r="J243" s="15">
        <f>H243*F243</f>
        <v>541.24</v>
      </c>
      <c r="K243" s="15">
        <f t="shared" ref="K243:K248" si="114">G243*H243</f>
        <v>0</v>
      </c>
    </row>
    <row r="244" spans="1:11" ht="26">
      <c r="A244" s="12" t="s">
        <v>853</v>
      </c>
      <c r="B244" s="13" t="s">
        <v>660</v>
      </c>
      <c r="C244" s="11"/>
      <c r="D244" s="15" t="s">
        <v>87</v>
      </c>
      <c r="E244" s="14">
        <f t="shared" ref="E244:E248" si="115">F244</f>
        <v>9.2799999999999994</v>
      </c>
      <c r="F244" s="199">
        <v>9.2799999999999994</v>
      </c>
      <c r="G244" s="15">
        <f t="shared" si="113"/>
        <v>0</v>
      </c>
      <c r="H244" s="196">
        <v>10.32</v>
      </c>
      <c r="I244" s="15">
        <f t="shared" si="107"/>
        <v>95.769599999999997</v>
      </c>
      <c r="J244" s="15">
        <f t="shared" ref="J244:J248" si="116">H244*F244</f>
        <v>95.769599999999997</v>
      </c>
      <c r="K244" s="15">
        <f t="shared" si="114"/>
        <v>0</v>
      </c>
    </row>
    <row r="245" spans="1:11" ht="28.5" customHeight="1">
      <c r="A245" s="12" t="s">
        <v>854</v>
      </c>
      <c r="B245" s="13" t="s">
        <v>661</v>
      </c>
      <c r="C245" s="11"/>
      <c r="D245" s="15" t="s">
        <v>1486</v>
      </c>
      <c r="E245" s="14">
        <f t="shared" si="115"/>
        <v>278.35000000000002</v>
      </c>
      <c r="F245" s="199">
        <v>278.35000000000002</v>
      </c>
      <c r="G245" s="15">
        <f t="shared" si="113"/>
        <v>0</v>
      </c>
      <c r="H245" s="196">
        <v>2.14</v>
      </c>
      <c r="I245" s="15">
        <f t="shared" si="107"/>
        <v>595.6690000000001</v>
      </c>
      <c r="J245" s="15">
        <f t="shared" si="116"/>
        <v>595.6690000000001</v>
      </c>
      <c r="K245" s="15">
        <f t="shared" si="114"/>
        <v>0</v>
      </c>
    </row>
    <row r="246" spans="1:11" ht="32.5" customHeight="1">
      <c r="A246" s="12" t="s">
        <v>855</v>
      </c>
      <c r="B246" s="19" t="s">
        <v>669</v>
      </c>
      <c r="C246" s="11"/>
      <c r="D246" s="192" t="s">
        <v>1486</v>
      </c>
      <c r="E246" s="14">
        <f t="shared" si="115"/>
        <v>617.26</v>
      </c>
      <c r="F246" s="204">
        <v>617.26</v>
      </c>
      <c r="G246" s="15">
        <f t="shared" si="113"/>
        <v>0</v>
      </c>
      <c r="H246" s="197">
        <v>0.87</v>
      </c>
      <c r="I246" s="15">
        <f t="shared" si="107"/>
        <v>537.01620000000003</v>
      </c>
      <c r="J246" s="15">
        <f t="shared" si="116"/>
        <v>537.01620000000003</v>
      </c>
      <c r="K246" s="15">
        <f t="shared" si="114"/>
        <v>0</v>
      </c>
    </row>
    <row r="247" spans="1:11" ht="26.5">
      <c r="A247" s="12" t="s">
        <v>856</v>
      </c>
      <c r="B247" s="19" t="s">
        <v>671</v>
      </c>
      <c r="C247" s="11"/>
      <c r="D247" s="15" t="s">
        <v>87</v>
      </c>
      <c r="E247" s="14">
        <f t="shared" si="115"/>
        <v>9.2799999999999994</v>
      </c>
      <c r="F247" s="199">
        <v>9.2799999999999994</v>
      </c>
      <c r="G247" s="15">
        <f t="shared" si="113"/>
        <v>0</v>
      </c>
      <c r="H247" s="196">
        <v>1248.29</v>
      </c>
      <c r="I247" s="15">
        <f t="shared" si="107"/>
        <v>11584.131199999998</v>
      </c>
      <c r="J247" s="15">
        <f t="shared" si="116"/>
        <v>11584.131199999998</v>
      </c>
      <c r="K247" s="15">
        <f t="shared" si="114"/>
        <v>0</v>
      </c>
    </row>
    <row r="248" spans="1:11" ht="16.5" customHeight="1">
      <c r="A248" s="12" t="s">
        <v>857</v>
      </c>
      <c r="B248" s="17" t="s">
        <v>672</v>
      </c>
      <c r="C248" s="11" t="s">
        <v>87</v>
      </c>
      <c r="D248" s="15" t="s">
        <v>124</v>
      </c>
      <c r="E248" s="14">
        <f t="shared" si="115"/>
        <v>309.27999999999997</v>
      </c>
      <c r="F248" s="199">
        <v>309.27999999999997</v>
      </c>
      <c r="G248" s="15">
        <f t="shared" si="113"/>
        <v>0</v>
      </c>
      <c r="H248" s="196">
        <v>2.83</v>
      </c>
      <c r="I248" s="15">
        <f t="shared" si="107"/>
        <v>875.26239999999996</v>
      </c>
      <c r="J248" s="15">
        <f t="shared" si="116"/>
        <v>875.26239999999996</v>
      </c>
      <c r="K248" s="15">
        <f t="shared" si="114"/>
        <v>0</v>
      </c>
    </row>
    <row r="249" spans="1:11">
      <c r="A249" s="8" t="s">
        <v>858</v>
      </c>
      <c r="B249" s="9" t="s">
        <v>107</v>
      </c>
      <c r="C249" s="8"/>
      <c r="D249" s="8"/>
      <c r="E249" s="8"/>
      <c r="F249" s="203"/>
      <c r="G249" s="203"/>
      <c r="H249" s="195"/>
      <c r="I249" s="10">
        <f>SUM(I250:I252)</f>
        <v>0</v>
      </c>
      <c r="J249" s="10">
        <f>SUM(J250:J252)</f>
        <v>0</v>
      </c>
      <c r="K249" s="10">
        <f>SUM(K250:K252)</f>
        <v>0</v>
      </c>
    </row>
    <row r="250" spans="1:11" ht="39">
      <c r="A250" s="12" t="s">
        <v>859</v>
      </c>
      <c r="B250" s="13" t="s">
        <v>674</v>
      </c>
      <c r="C250" s="11" t="s">
        <v>33</v>
      </c>
      <c r="D250" s="14" t="s">
        <v>1487</v>
      </c>
      <c r="E250" s="14"/>
      <c r="F250" s="15"/>
      <c r="G250" s="15">
        <f>F250-E250</f>
        <v>0</v>
      </c>
      <c r="H250" s="196">
        <v>625.09</v>
      </c>
      <c r="I250" s="15">
        <f t="shared" si="107"/>
        <v>0</v>
      </c>
      <c r="J250" s="15">
        <f>H250*F250</f>
        <v>0</v>
      </c>
      <c r="K250" s="15">
        <f t="shared" ref="K250:K252" si="117">G250*H250</f>
        <v>0</v>
      </c>
    </row>
    <row r="251" spans="1:11" ht="17" customHeight="1">
      <c r="A251" s="12" t="s">
        <v>860</v>
      </c>
      <c r="B251" s="194" t="s">
        <v>680</v>
      </c>
      <c r="C251" s="11" t="s">
        <v>33</v>
      </c>
      <c r="D251" s="14" t="s">
        <v>124</v>
      </c>
      <c r="E251" s="14"/>
      <c r="F251" s="15"/>
      <c r="G251" s="15">
        <f>F251-E251</f>
        <v>0</v>
      </c>
      <c r="H251" s="196">
        <v>16.260000000000002</v>
      </c>
      <c r="I251" s="15">
        <f t="shared" si="107"/>
        <v>0</v>
      </c>
      <c r="J251" s="15">
        <f t="shared" ref="J251:J252" si="118">H251*F251</f>
        <v>0</v>
      </c>
      <c r="K251" s="15">
        <f t="shared" si="117"/>
        <v>0</v>
      </c>
    </row>
    <row r="252" spans="1:11" ht="16.5" customHeight="1">
      <c r="A252" s="12" t="s">
        <v>861</v>
      </c>
      <c r="B252" s="13" t="s">
        <v>675</v>
      </c>
      <c r="C252" s="11" t="s">
        <v>33</v>
      </c>
      <c r="D252" s="14" t="s">
        <v>124</v>
      </c>
      <c r="E252" s="14"/>
      <c r="F252" s="15"/>
      <c r="G252" s="15">
        <f>F252-E252</f>
        <v>0</v>
      </c>
      <c r="H252" s="196">
        <v>4.5599999999999996</v>
      </c>
      <c r="I252" s="15">
        <f t="shared" si="107"/>
        <v>0</v>
      </c>
      <c r="J252" s="15">
        <f t="shared" si="118"/>
        <v>0</v>
      </c>
      <c r="K252" s="15">
        <f t="shared" si="117"/>
        <v>0</v>
      </c>
    </row>
    <row r="253" spans="1:11">
      <c r="A253" s="8" t="s">
        <v>862</v>
      </c>
      <c r="B253" s="9" t="s">
        <v>678</v>
      </c>
      <c r="C253" s="8"/>
      <c r="D253" s="8"/>
      <c r="E253" s="8"/>
      <c r="F253" s="203"/>
      <c r="G253" s="203"/>
      <c r="H253" s="195"/>
      <c r="I253" s="10">
        <f>SUM(I254:I255)</f>
        <v>541.24</v>
      </c>
      <c r="J253" s="10">
        <f>SUM(J254:J255)</f>
        <v>541.24</v>
      </c>
      <c r="K253" s="10">
        <f>SUM(K254:K255)</f>
        <v>0</v>
      </c>
    </row>
    <row r="254" spans="1:11">
      <c r="A254" s="12" t="s">
        <v>863</v>
      </c>
      <c r="B254" s="13" t="s">
        <v>659</v>
      </c>
      <c r="C254" s="11" t="s">
        <v>11</v>
      </c>
      <c r="D254" s="14" t="s">
        <v>124</v>
      </c>
      <c r="E254" s="14">
        <f>F254</f>
        <v>309.27999999999997</v>
      </c>
      <c r="F254" s="15">
        <v>309.27999999999997</v>
      </c>
      <c r="G254" s="15">
        <f>F254-E254</f>
        <v>0</v>
      </c>
      <c r="H254" s="196">
        <v>1.75</v>
      </c>
      <c r="I254" s="15">
        <f t="shared" si="107"/>
        <v>541.24</v>
      </c>
      <c r="J254" s="15">
        <f>H254*F254</f>
        <v>541.24</v>
      </c>
      <c r="K254" s="15">
        <f t="shared" ref="K254:K255" si="119">G254*H254</f>
        <v>0</v>
      </c>
    </row>
    <row r="255" spans="1:11">
      <c r="A255" s="12" t="s">
        <v>864</v>
      </c>
      <c r="B255" s="13" t="s">
        <v>679</v>
      </c>
      <c r="C255" s="11" t="s">
        <v>11</v>
      </c>
      <c r="D255" s="14" t="s">
        <v>1487</v>
      </c>
      <c r="E255" s="14"/>
      <c r="F255" s="15"/>
      <c r="G255" s="15">
        <f>F255-E255</f>
        <v>0</v>
      </c>
      <c r="H255" s="196">
        <v>92.34</v>
      </c>
      <c r="I255" s="15">
        <f t="shared" si="107"/>
        <v>0</v>
      </c>
      <c r="J255" s="15">
        <f>H255*F255</f>
        <v>0</v>
      </c>
      <c r="K255" s="15">
        <f t="shared" si="119"/>
        <v>0</v>
      </c>
    </row>
    <row r="256" spans="1:11">
      <c r="A256" s="184">
        <v>10</v>
      </c>
      <c r="B256" s="191" t="s">
        <v>1463</v>
      </c>
      <c r="C256" s="184"/>
      <c r="D256" s="184"/>
      <c r="E256" s="184"/>
      <c r="F256" s="202"/>
      <c r="G256" s="202"/>
      <c r="H256" s="198"/>
      <c r="I256" s="185">
        <f>SUM(I257,I260,I262,I269,I276,I280)</f>
        <v>59285.431499999992</v>
      </c>
      <c r="J256" s="185">
        <f>SUM(J257,J260,J262,J269,J276,J280)</f>
        <v>59285.431499999992</v>
      </c>
      <c r="K256" s="185">
        <f>SUM(K257,K260,K262,K269,K276,K280)</f>
        <v>0</v>
      </c>
    </row>
    <row r="257" spans="1:11">
      <c r="A257" s="8" t="s">
        <v>865</v>
      </c>
      <c r="B257" s="9" t="s">
        <v>8</v>
      </c>
      <c r="C257" s="8"/>
      <c r="D257" s="8"/>
      <c r="E257" s="8"/>
      <c r="F257" s="203"/>
      <c r="G257" s="203"/>
      <c r="H257" s="195"/>
      <c r="I257" s="10">
        <f>SUM(I258:I259)</f>
        <v>3757.7823000000003</v>
      </c>
      <c r="J257" s="10">
        <f>SUM(J258:J259)</f>
        <v>3757.7823000000003</v>
      </c>
      <c r="K257" s="10">
        <f>SUM(K258:K259)</f>
        <v>0</v>
      </c>
    </row>
    <row r="258" spans="1:11" ht="26">
      <c r="A258" s="12" t="s">
        <v>866</v>
      </c>
      <c r="B258" s="13" t="s">
        <v>653</v>
      </c>
      <c r="C258" s="11" t="s">
        <v>13</v>
      </c>
      <c r="D258" s="14" t="s">
        <v>124</v>
      </c>
      <c r="E258" s="14">
        <f>F258</f>
        <v>596.78</v>
      </c>
      <c r="F258" s="15">
        <v>596.78</v>
      </c>
      <c r="G258" s="15">
        <f>F258-E258</f>
        <v>0</v>
      </c>
      <c r="H258" s="196">
        <v>0.36</v>
      </c>
      <c r="I258" s="15">
        <f>H258*E258</f>
        <v>214.84079999999997</v>
      </c>
      <c r="J258" s="15">
        <f>H258*F258</f>
        <v>214.84079999999997</v>
      </c>
      <c r="K258" s="15">
        <f t="shared" ref="K258:K259" si="120">G258*H258</f>
        <v>0</v>
      </c>
    </row>
    <row r="259" spans="1:11" ht="52">
      <c r="A259" s="12" t="s">
        <v>867</v>
      </c>
      <c r="B259" s="13" t="s">
        <v>650</v>
      </c>
      <c r="C259" s="11" t="s">
        <v>11</v>
      </c>
      <c r="D259" s="14" t="s">
        <v>124</v>
      </c>
      <c r="E259" s="14">
        <f>F259</f>
        <v>57.45</v>
      </c>
      <c r="F259" s="15">
        <v>57.45</v>
      </c>
      <c r="G259" s="15">
        <f>F259-E259</f>
        <v>0</v>
      </c>
      <c r="H259" s="196">
        <v>61.67</v>
      </c>
      <c r="I259" s="15">
        <f>H259*E259</f>
        <v>3542.9415000000004</v>
      </c>
      <c r="J259" s="15">
        <f>H259*F259</f>
        <v>3542.9415000000004</v>
      </c>
      <c r="K259" s="15">
        <f t="shared" si="120"/>
        <v>0</v>
      </c>
    </row>
    <row r="260" spans="1:11">
      <c r="A260" s="8" t="s">
        <v>868</v>
      </c>
      <c r="B260" s="9" t="s">
        <v>655</v>
      </c>
      <c r="C260" s="8"/>
      <c r="D260" s="8"/>
      <c r="E260" s="8"/>
      <c r="F260" s="203"/>
      <c r="G260" s="203"/>
      <c r="H260" s="195"/>
      <c r="I260" s="10">
        <f>SUM(I261:I261)</f>
        <v>226.7764</v>
      </c>
      <c r="J260" s="10">
        <f>SUM(J261:J261)</f>
        <v>226.7764</v>
      </c>
      <c r="K260" s="10">
        <f>SUM(K261:K261)</f>
        <v>0</v>
      </c>
    </row>
    <row r="261" spans="1:11" ht="26">
      <c r="A261" s="12" t="s">
        <v>869</v>
      </c>
      <c r="B261" s="13" t="s">
        <v>656</v>
      </c>
      <c r="C261" s="11"/>
      <c r="D261" s="14" t="s">
        <v>124</v>
      </c>
      <c r="E261" s="14">
        <f>F261</f>
        <v>596.78</v>
      </c>
      <c r="F261" s="15">
        <v>596.78</v>
      </c>
      <c r="G261" s="15">
        <f>F261-E261</f>
        <v>0</v>
      </c>
      <c r="H261" s="196">
        <v>0.38</v>
      </c>
      <c r="I261" s="15">
        <f t="shared" ref="I261:I282" si="121">H261*E261</f>
        <v>226.7764</v>
      </c>
      <c r="J261" s="15">
        <f>H261*F261</f>
        <v>226.7764</v>
      </c>
      <c r="K261" s="15">
        <f t="shared" ref="K261" si="122">G261*H261</f>
        <v>0</v>
      </c>
    </row>
    <row r="262" spans="1:11">
      <c r="A262" s="8" t="s">
        <v>870</v>
      </c>
      <c r="B262" s="9" t="s">
        <v>658</v>
      </c>
      <c r="C262" s="8"/>
      <c r="D262" s="8"/>
      <c r="E262" s="8"/>
      <c r="F262" s="203"/>
      <c r="G262" s="203"/>
      <c r="H262" s="195"/>
      <c r="I262" s="10">
        <f>SUM(I263:I268)</f>
        <v>27128.253899999996</v>
      </c>
      <c r="J262" s="10">
        <f>SUM(J263:J268)</f>
        <v>27128.253899999996</v>
      </c>
      <c r="K262" s="10">
        <f>SUM(K263:K268)</f>
        <v>0</v>
      </c>
    </row>
    <row r="263" spans="1:11">
      <c r="A263" s="12" t="s">
        <v>871</v>
      </c>
      <c r="B263" s="13" t="s">
        <v>659</v>
      </c>
      <c r="C263" s="11"/>
      <c r="D263" s="14" t="s">
        <v>124</v>
      </c>
      <c r="E263" s="14">
        <f>F263</f>
        <v>596.78</v>
      </c>
      <c r="F263" s="15">
        <v>596.78</v>
      </c>
      <c r="G263" s="15">
        <f t="shared" ref="G263:G268" si="123">F263-E263</f>
        <v>0</v>
      </c>
      <c r="H263" s="196">
        <v>1.75</v>
      </c>
      <c r="I263" s="15">
        <f t="shared" si="121"/>
        <v>1044.365</v>
      </c>
      <c r="J263" s="15">
        <f>H263*F263</f>
        <v>1044.365</v>
      </c>
      <c r="K263" s="15">
        <f t="shared" ref="K263:K268" si="124">G263*H263</f>
        <v>0</v>
      </c>
    </row>
    <row r="264" spans="1:11" ht="26">
      <c r="A264" s="12" t="s">
        <v>872</v>
      </c>
      <c r="B264" s="13" t="s">
        <v>660</v>
      </c>
      <c r="C264" s="11"/>
      <c r="D264" s="14" t="s">
        <v>87</v>
      </c>
      <c r="E264" s="14">
        <f t="shared" ref="E264:E268" si="125">F264</f>
        <v>17.899999999999999</v>
      </c>
      <c r="F264" s="15">
        <v>17.899999999999999</v>
      </c>
      <c r="G264" s="15">
        <f t="shared" si="123"/>
        <v>0</v>
      </c>
      <c r="H264" s="196">
        <v>10.32</v>
      </c>
      <c r="I264" s="15">
        <f t="shared" si="121"/>
        <v>184.72799999999998</v>
      </c>
      <c r="J264" s="15">
        <f t="shared" ref="J264:J268" si="126">H264*F264</f>
        <v>184.72799999999998</v>
      </c>
      <c r="K264" s="15">
        <f t="shared" si="124"/>
        <v>0</v>
      </c>
    </row>
    <row r="265" spans="1:11" ht="28.5" customHeight="1">
      <c r="A265" s="12" t="s">
        <v>873</v>
      </c>
      <c r="B265" s="13" t="s">
        <v>661</v>
      </c>
      <c r="C265" s="11"/>
      <c r="D265" s="14" t="s">
        <v>1486</v>
      </c>
      <c r="E265" s="14">
        <f t="shared" si="125"/>
        <v>537.1</v>
      </c>
      <c r="F265" s="15">
        <v>537.1</v>
      </c>
      <c r="G265" s="15">
        <f t="shared" si="123"/>
        <v>0</v>
      </c>
      <c r="H265" s="196">
        <v>2.14</v>
      </c>
      <c r="I265" s="15">
        <f t="shared" si="121"/>
        <v>1149.394</v>
      </c>
      <c r="J265" s="15">
        <f t="shared" si="126"/>
        <v>1149.394</v>
      </c>
      <c r="K265" s="15">
        <f t="shared" si="124"/>
        <v>0</v>
      </c>
    </row>
    <row r="266" spans="1:11" ht="29" customHeight="1">
      <c r="A266" s="12" t="s">
        <v>874</v>
      </c>
      <c r="B266" s="13" t="s">
        <v>669</v>
      </c>
      <c r="C266" s="11"/>
      <c r="D266" s="14" t="s">
        <v>1486</v>
      </c>
      <c r="E266" s="14">
        <f t="shared" si="125"/>
        <v>823.55</v>
      </c>
      <c r="F266" s="15">
        <v>823.55</v>
      </c>
      <c r="G266" s="15">
        <f t="shared" si="123"/>
        <v>0</v>
      </c>
      <c r="H266" s="196">
        <v>0.87</v>
      </c>
      <c r="I266" s="15">
        <f t="shared" si="121"/>
        <v>716.48849999999993</v>
      </c>
      <c r="J266" s="15">
        <f t="shared" si="126"/>
        <v>716.48849999999993</v>
      </c>
      <c r="K266" s="15">
        <f t="shared" si="124"/>
        <v>0</v>
      </c>
    </row>
    <row r="267" spans="1:11" ht="28" customHeight="1">
      <c r="A267" s="12" t="s">
        <v>875</v>
      </c>
      <c r="B267" s="13" t="s">
        <v>662</v>
      </c>
      <c r="C267" s="11"/>
      <c r="D267" s="14" t="s">
        <v>87</v>
      </c>
      <c r="E267" s="14">
        <f t="shared" si="125"/>
        <v>17.899999999999999</v>
      </c>
      <c r="F267" s="15">
        <v>17.899999999999999</v>
      </c>
      <c r="G267" s="15">
        <f t="shared" si="123"/>
        <v>0</v>
      </c>
      <c r="H267" s="196">
        <v>1248.29</v>
      </c>
      <c r="I267" s="15">
        <f t="shared" si="121"/>
        <v>22344.390999999996</v>
      </c>
      <c r="J267" s="15">
        <f t="shared" si="126"/>
        <v>22344.390999999996</v>
      </c>
      <c r="K267" s="15">
        <f t="shared" si="124"/>
        <v>0</v>
      </c>
    </row>
    <row r="268" spans="1:11" ht="17.5" customHeight="1">
      <c r="A268" s="12" t="s">
        <v>876</v>
      </c>
      <c r="B268" s="13" t="s">
        <v>663</v>
      </c>
      <c r="C268" s="11"/>
      <c r="D268" s="14" t="s">
        <v>124</v>
      </c>
      <c r="E268" s="14">
        <f t="shared" si="125"/>
        <v>596.78</v>
      </c>
      <c r="F268" s="15">
        <v>596.78</v>
      </c>
      <c r="G268" s="15">
        <f t="shared" si="123"/>
        <v>0</v>
      </c>
      <c r="H268" s="196">
        <v>2.83</v>
      </c>
      <c r="I268" s="15">
        <f t="shared" si="121"/>
        <v>1688.8874000000001</v>
      </c>
      <c r="J268" s="15">
        <f t="shared" si="126"/>
        <v>1688.8874000000001</v>
      </c>
      <c r="K268" s="15">
        <f t="shared" si="124"/>
        <v>0</v>
      </c>
    </row>
    <row r="269" spans="1:11">
      <c r="A269" s="8" t="s">
        <v>877</v>
      </c>
      <c r="B269" s="9" t="s">
        <v>670</v>
      </c>
      <c r="C269" s="8"/>
      <c r="D269" s="8"/>
      <c r="E269" s="8"/>
      <c r="F269" s="203"/>
      <c r="G269" s="203"/>
      <c r="H269" s="195"/>
      <c r="I269" s="10">
        <f>SUM(I270:I275)</f>
        <v>27128.253899999996</v>
      </c>
      <c r="J269" s="10">
        <f>SUM(J270:J275)</f>
        <v>27128.253899999996</v>
      </c>
      <c r="K269" s="10">
        <f>SUM(K270:K275)</f>
        <v>0</v>
      </c>
    </row>
    <row r="270" spans="1:11">
      <c r="A270" s="12" t="s">
        <v>878</v>
      </c>
      <c r="B270" s="13" t="s">
        <v>659</v>
      </c>
      <c r="C270" s="11"/>
      <c r="D270" s="15" t="s">
        <v>124</v>
      </c>
      <c r="E270" s="14">
        <f>F270</f>
        <v>596.78</v>
      </c>
      <c r="F270" s="15">
        <v>596.78</v>
      </c>
      <c r="G270" s="15">
        <f t="shared" ref="G270:G275" si="127">F270-E270</f>
        <v>0</v>
      </c>
      <c r="H270" s="196">
        <v>1.75</v>
      </c>
      <c r="I270" s="15">
        <f t="shared" si="121"/>
        <v>1044.365</v>
      </c>
      <c r="J270" s="15">
        <f>H270*F270</f>
        <v>1044.365</v>
      </c>
      <c r="K270" s="15">
        <f t="shared" ref="K270:K275" si="128">G270*H270</f>
        <v>0</v>
      </c>
    </row>
    <row r="271" spans="1:11" ht="26">
      <c r="A271" s="12" t="s">
        <v>879</v>
      </c>
      <c r="B271" s="13" t="s">
        <v>660</v>
      </c>
      <c r="C271" s="11"/>
      <c r="D271" s="15" t="s">
        <v>87</v>
      </c>
      <c r="E271" s="14">
        <f t="shared" ref="E271:E275" si="129">F271</f>
        <v>17.899999999999999</v>
      </c>
      <c r="F271" s="199">
        <v>17.899999999999999</v>
      </c>
      <c r="G271" s="15">
        <f t="shared" si="127"/>
        <v>0</v>
      </c>
      <c r="H271" s="196">
        <v>10.32</v>
      </c>
      <c r="I271" s="15">
        <f t="shared" si="121"/>
        <v>184.72799999999998</v>
      </c>
      <c r="J271" s="15">
        <f t="shared" ref="J271:J275" si="130">H271*F271</f>
        <v>184.72799999999998</v>
      </c>
      <c r="K271" s="15">
        <f t="shared" si="128"/>
        <v>0</v>
      </c>
    </row>
    <row r="272" spans="1:11" ht="28.5" customHeight="1">
      <c r="A272" s="12" t="s">
        <v>880</v>
      </c>
      <c r="B272" s="13" t="s">
        <v>661</v>
      </c>
      <c r="C272" s="11"/>
      <c r="D272" s="15" t="s">
        <v>1486</v>
      </c>
      <c r="E272" s="14">
        <f t="shared" si="129"/>
        <v>537.1</v>
      </c>
      <c r="F272" s="199">
        <v>537.1</v>
      </c>
      <c r="G272" s="15">
        <f t="shared" si="127"/>
        <v>0</v>
      </c>
      <c r="H272" s="196">
        <v>2.14</v>
      </c>
      <c r="I272" s="15">
        <f t="shared" si="121"/>
        <v>1149.394</v>
      </c>
      <c r="J272" s="15">
        <f t="shared" si="130"/>
        <v>1149.394</v>
      </c>
      <c r="K272" s="15">
        <f t="shared" si="128"/>
        <v>0</v>
      </c>
    </row>
    <row r="273" spans="1:11" ht="32.5" customHeight="1">
      <c r="A273" s="12" t="s">
        <v>881</v>
      </c>
      <c r="B273" s="19" t="s">
        <v>669</v>
      </c>
      <c r="C273" s="11"/>
      <c r="D273" s="192" t="s">
        <v>1486</v>
      </c>
      <c r="E273" s="14">
        <f t="shared" si="129"/>
        <v>823.55</v>
      </c>
      <c r="F273" s="204">
        <v>823.55</v>
      </c>
      <c r="G273" s="15">
        <f t="shared" si="127"/>
        <v>0</v>
      </c>
      <c r="H273" s="197">
        <v>0.87</v>
      </c>
      <c r="I273" s="15">
        <f t="shared" si="121"/>
        <v>716.48849999999993</v>
      </c>
      <c r="J273" s="15">
        <f t="shared" si="130"/>
        <v>716.48849999999993</v>
      </c>
      <c r="K273" s="15">
        <f t="shared" si="128"/>
        <v>0</v>
      </c>
    </row>
    <row r="274" spans="1:11" ht="26.5">
      <c r="A274" s="12" t="s">
        <v>882</v>
      </c>
      <c r="B274" s="19" t="s">
        <v>671</v>
      </c>
      <c r="C274" s="11"/>
      <c r="D274" s="15" t="s">
        <v>87</v>
      </c>
      <c r="E274" s="14">
        <f t="shared" si="129"/>
        <v>17.899999999999999</v>
      </c>
      <c r="F274" s="199">
        <v>17.899999999999999</v>
      </c>
      <c r="G274" s="15">
        <f t="shared" si="127"/>
        <v>0</v>
      </c>
      <c r="H274" s="196">
        <v>1248.29</v>
      </c>
      <c r="I274" s="15">
        <f t="shared" si="121"/>
        <v>22344.390999999996</v>
      </c>
      <c r="J274" s="15">
        <f t="shared" si="130"/>
        <v>22344.390999999996</v>
      </c>
      <c r="K274" s="15">
        <f t="shared" si="128"/>
        <v>0</v>
      </c>
    </row>
    <row r="275" spans="1:11" ht="16.5" customHeight="1">
      <c r="A275" s="12" t="s">
        <v>883</v>
      </c>
      <c r="B275" s="17" t="s">
        <v>672</v>
      </c>
      <c r="C275" s="11" t="s">
        <v>87</v>
      </c>
      <c r="D275" s="15" t="s">
        <v>124</v>
      </c>
      <c r="E275" s="14">
        <f t="shared" si="129"/>
        <v>596.78</v>
      </c>
      <c r="F275" s="199">
        <v>596.78</v>
      </c>
      <c r="G275" s="15">
        <f t="shared" si="127"/>
        <v>0</v>
      </c>
      <c r="H275" s="196">
        <v>2.83</v>
      </c>
      <c r="I275" s="15">
        <f t="shared" si="121"/>
        <v>1688.8874000000001</v>
      </c>
      <c r="J275" s="15">
        <f t="shared" si="130"/>
        <v>1688.8874000000001</v>
      </c>
      <c r="K275" s="15">
        <f t="shared" si="128"/>
        <v>0</v>
      </c>
    </row>
    <row r="276" spans="1:11">
      <c r="A276" s="8" t="s">
        <v>884</v>
      </c>
      <c r="B276" s="9" t="s">
        <v>107</v>
      </c>
      <c r="C276" s="8"/>
      <c r="D276" s="8"/>
      <c r="E276" s="8"/>
      <c r="F276" s="203"/>
      <c r="G276" s="203"/>
      <c r="H276" s="195"/>
      <c r="I276" s="10">
        <f>SUM(I277:I279)</f>
        <v>0</v>
      </c>
      <c r="J276" s="10">
        <f>SUM(J277:J279)</f>
        <v>0</v>
      </c>
      <c r="K276" s="10">
        <f>SUM(K277:K279)</f>
        <v>0</v>
      </c>
    </row>
    <row r="277" spans="1:11" ht="39">
      <c r="A277" s="12" t="s">
        <v>885</v>
      </c>
      <c r="B277" s="13" t="s">
        <v>674</v>
      </c>
      <c r="C277" s="11" t="s">
        <v>33</v>
      </c>
      <c r="D277" s="14" t="s">
        <v>1487</v>
      </c>
      <c r="E277" s="14"/>
      <c r="F277" s="15"/>
      <c r="G277" s="15">
        <f>F277-E277</f>
        <v>0</v>
      </c>
      <c r="H277" s="196">
        <v>625.09</v>
      </c>
      <c r="I277" s="15">
        <f t="shared" si="121"/>
        <v>0</v>
      </c>
      <c r="J277" s="15">
        <f>H277*F277</f>
        <v>0</v>
      </c>
      <c r="K277" s="15">
        <f t="shared" ref="K277:K279" si="131">G277*H277</f>
        <v>0</v>
      </c>
    </row>
    <row r="278" spans="1:11" ht="17" customHeight="1">
      <c r="A278" s="12" t="s">
        <v>886</v>
      </c>
      <c r="B278" s="194" t="s">
        <v>680</v>
      </c>
      <c r="C278" s="11" t="s">
        <v>33</v>
      </c>
      <c r="D278" s="14" t="s">
        <v>124</v>
      </c>
      <c r="E278" s="14"/>
      <c r="F278" s="15"/>
      <c r="G278" s="15">
        <f>F278-E278</f>
        <v>0</v>
      </c>
      <c r="H278" s="196">
        <v>16.260000000000002</v>
      </c>
      <c r="I278" s="15">
        <f t="shared" si="121"/>
        <v>0</v>
      </c>
      <c r="J278" s="15">
        <f t="shared" ref="J278:J279" si="132">H278*F278</f>
        <v>0</v>
      </c>
      <c r="K278" s="15">
        <f t="shared" si="131"/>
        <v>0</v>
      </c>
    </row>
    <row r="279" spans="1:11" ht="16.5" customHeight="1">
      <c r="A279" s="12" t="s">
        <v>887</v>
      </c>
      <c r="B279" s="13" t="s">
        <v>675</v>
      </c>
      <c r="C279" s="11" t="s">
        <v>33</v>
      </c>
      <c r="D279" s="14" t="s">
        <v>124</v>
      </c>
      <c r="E279" s="14"/>
      <c r="F279" s="15"/>
      <c r="G279" s="15">
        <f>F279-E279</f>
        <v>0</v>
      </c>
      <c r="H279" s="196">
        <v>4.5599999999999996</v>
      </c>
      <c r="I279" s="15">
        <f t="shared" si="121"/>
        <v>0</v>
      </c>
      <c r="J279" s="15">
        <f t="shared" si="132"/>
        <v>0</v>
      </c>
      <c r="K279" s="15">
        <f t="shared" si="131"/>
        <v>0</v>
      </c>
    </row>
    <row r="280" spans="1:11">
      <c r="A280" s="8" t="s">
        <v>888</v>
      </c>
      <c r="B280" s="9" t="s">
        <v>678</v>
      </c>
      <c r="C280" s="8"/>
      <c r="D280" s="8"/>
      <c r="E280" s="8"/>
      <c r="F280" s="203"/>
      <c r="G280" s="203"/>
      <c r="H280" s="195"/>
      <c r="I280" s="10">
        <f>SUM(I281:I282)</f>
        <v>1044.365</v>
      </c>
      <c r="J280" s="10">
        <f>SUM(J281:J282)</f>
        <v>1044.365</v>
      </c>
      <c r="K280" s="10">
        <f>SUM(K281:K282)</f>
        <v>0</v>
      </c>
    </row>
    <row r="281" spans="1:11">
      <c r="A281" s="12" t="s">
        <v>889</v>
      </c>
      <c r="B281" s="13" t="s">
        <v>659</v>
      </c>
      <c r="C281" s="11" t="s">
        <v>11</v>
      </c>
      <c r="D281" s="14" t="s">
        <v>124</v>
      </c>
      <c r="E281" s="14">
        <f>F281</f>
        <v>596.78</v>
      </c>
      <c r="F281" s="15">
        <v>596.78</v>
      </c>
      <c r="G281" s="15">
        <f>F281-E281</f>
        <v>0</v>
      </c>
      <c r="H281" s="196">
        <v>1.75</v>
      </c>
      <c r="I281" s="15">
        <f t="shared" si="121"/>
        <v>1044.365</v>
      </c>
      <c r="J281" s="15">
        <f>H281*F281</f>
        <v>1044.365</v>
      </c>
      <c r="K281" s="15">
        <f t="shared" ref="K281:K282" si="133">G281*H281</f>
        <v>0</v>
      </c>
    </row>
    <row r="282" spans="1:11">
      <c r="A282" s="12" t="s">
        <v>890</v>
      </c>
      <c r="B282" s="13" t="s">
        <v>679</v>
      </c>
      <c r="C282" s="11" t="s">
        <v>11</v>
      </c>
      <c r="D282" s="14" t="s">
        <v>1487</v>
      </c>
      <c r="E282" s="14"/>
      <c r="F282" s="15"/>
      <c r="G282" s="15">
        <f>F282-E282</f>
        <v>0</v>
      </c>
      <c r="H282" s="196">
        <v>92.34</v>
      </c>
      <c r="I282" s="15">
        <f t="shared" si="121"/>
        <v>0</v>
      </c>
      <c r="J282" s="15">
        <f>H282*F282</f>
        <v>0</v>
      </c>
      <c r="K282" s="15">
        <f t="shared" si="133"/>
        <v>0</v>
      </c>
    </row>
    <row r="283" spans="1:11">
      <c r="A283" s="184">
        <v>11</v>
      </c>
      <c r="B283" s="191" t="s">
        <v>1464</v>
      </c>
      <c r="C283" s="184"/>
      <c r="D283" s="184"/>
      <c r="E283" s="184"/>
      <c r="F283" s="202"/>
      <c r="G283" s="202"/>
      <c r="H283" s="198"/>
      <c r="I283" s="185">
        <f>SUM(I284,I287,I289,I296,I303,I307)</f>
        <v>42723.108</v>
      </c>
      <c r="J283" s="185">
        <f>SUM(J284,J287,J289,J296,J303,J307)</f>
        <v>42723.108</v>
      </c>
      <c r="K283" s="185">
        <f>SUM(K284,K287,K289,K296,K303,K307)</f>
        <v>0</v>
      </c>
    </row>
    <row r="284" spans="1:11">
      <c r="A284" s="8" t="s">
        <v>891</v>
      </c>
      <c r="B284" s="9" t="s">
        <v>8</v>
      </c>
      <c r="C284" s="8"/>
      <c r="D284" s="8"/>
      <c r="E284" s="8"/>
      <c r="F284" s="203"/>
      <c r="G284" s="203"/>
      <c r="H284" s="195"/>
      <c r="I284" s="10">
        <f>SUM(I285:I286)</f>
        <v>2800.0902000000001</v>
      </c>
      <c r="J284" s="10">
        <f>SUM(J285:J286)</f>
        <v>2800.0902000000001</v>
      </c>
      <c r="K284" s="10">
        <f>SUM(K285:K286)</f>
        <v>0</v>
      </c>
    </row>
    <row r="285" spans="1:11" ht="26">
      <c r="A285" s="12" t="s">
        <v>892</v>
      </c>
      <c r="B285" s="13" t="s">
        <v>653</v>
      </c>
      <c r="C285" s="11" t="s">
        <v>13</v>
      </c>
      <c r="D285" s="14" t="s">
        <v>124</v>
      </c>
      <c r="E285" s="14">
        <f>F285</f>
        <v>429.02</v>
      </c>
      <c r="F285" s="15">
        <v>429.02</v>
      </c>
      <c r="G285" s="15">
        <f>F285-E285</f>
        <v>0</v>
      </c>
      <c r="H285" s="196">
        <v>0.36</v>
      </c>
      <c r="I285" s="15">
        <f>H285*E285</f>
        <v>154.44719999999998</v>
      </c>
      <c r="J285" s="15">
        <f>H285*F285</f>
        <v>154.44719999999998</v>
      </c>
      <c r="K285" s="15">
        <f t="shared" ref="K285:K286" si="134">G285*H285</f>
        <v>0</v>
      </c>
    </row>
    <row r="286" spans="1:11" ht="52">
      <c r="A286" s="12" t="s">
        <v>893</v>
      </c>
      <c r="B286" s="13" t="s">
        <v>650</v>
      </c>
      <c r="C286" s="11" t="s">
        <v>11</v>
      </c>
      <c r="D286" s="14" t="s">
        <v>124</v>
      </c>
      <c r="E286" s="14">
        <f>F286</f>
        <v>42.9</v>
      </c>
      <c r="F286" s="15">
        <v>42.9</v>
      </c>
      <c r="G286" s="15">
        <f>F286-E286</f>
        <v>0</v>
      </c>
      <c r="H286" s="196">
        <v>61.67</v>
      </c>
      <c r="I286" s="15">
        <f>H286*E286</f>
        <v>2645.643</v>
      </c>
      <c r="J286" s="15">
        <f>H286*F286</f>
        <v>2645.643</v>
      </c>
      <c r="K286" s="15">
        <f t="shared" si="134"/>
        <v>0</v>
      </c>
    </row>
    <row r="287" spans="1:11">
      <c r="A287" s="8" t="s">
        <v>894</v>
      </c>
      <c r="B287" s="9" t="s">
        <v>655</v>
      </c>
      <c r="C287" s="8"/>
      <c r="D287" s="8"/>
      <c r="E287" s="8"/>
      <c r="F287" s="203"/>
      <c r="G287" s="203"/>
      <c r="H287" s="195"/>
      <c r="I287" s="10">
        <f>SUM(I288:I288)</f>
        <v>163.02760000000001</v>
      </c>
      <c r="J287" s="10">
        <f>SUM(J288:J288)</f>
        <v>163.02760000000001</v>
      </c>
      <c r="K287" s="10">
        <f>SUM(K288:K288)</f>
        <v>0</v>
      </c>
    </row>
    <row r="288" spans="1:11" ht="26">
      <c r="A288" s="12" t="s">
        <v>895</v>
      </c>
      <c r="B288" s="13" t="s">
        <v>656</v>
      </c>
      <c r="C288" s="11"/>
      <c r="D288" s="14" t="s">
        <v>124</v>
      </c>
      <c r="E288" s="14">
        <f>F288</f>
        <v>429.02</v>
      </c>
      <c r="F288" s="15">
        <v>429.02</v>
      </c>
      <c r="G288" s="15">
        <f>F288-E288</f>
        <v>0</v>
      </c>
      <c r="H288" s="196">
        <v>0.38</v>
      </c>
      <c r="I288" s="15">
        <f t="shared" ref="I288:I309" si="135">H288*E288</f>
        <v>163.02760000000001</v>
      </c>
      <c r="J288" s="15">
        <f>H288*F288</f>
        <v>163.02760000000001</v>
      </c>
      <c r="K288" s="15">
        <f t="shared" ref="K288" si="136">G288*H288</f>
        <v>0</v>
      </c>
    </row>
    <row r="289" spans="1:11">
      <c r="A289" s="8" t="s">
        <v>896</v>
      </c>
      <c r="B289" s="9" t="s">
        <v>658</v>
      </c>
      <c r="C289" s="8"/>
      <c r="D289" s="8"/>
      <c r="E289" s="8"/>
      <c r="F289" s="203"/>
      <c r="G289" s="203"/>
      <c r="H289" s="195"/>
      <c r="I289" s="10">
        <f>SUM(I290:I295)</f>
        <v>19504.602599999998</v>
      </c>
      <c r="J289" s="10">
        <f>SUM(J290:J295)</f>
        <v>19504.602599999998</v>
      </c>
      <c r="K289" s="10">
        <f>SUM(K290:K295)</f>
        <v>0</v>
      </c>
    </row>
    <row r="290" spans="1:11">
      <c r="A290" s="12" t="s">
        <v>897</v>
      </c>
      <c r="B290" s="13" t="s">
        <v>659</v>
      </c>
      <c r="C290" s="11"/>
      <c r="D290" s="14" t="s">
        <v>124</v>
      </c>
      <c r="E290" s="14">
        <f>F290</f>
        <v>429.02</v>
      </c>
      <c r="F290" s="15">
        <v>429.02</v>
      </c>
      <c r="G290" s="15">
        <f t="shared" ref="G290:G295" si="137">F290-E290</f>
        <v>0</v>
      </c>
      <c r="H290" s="196">
        <v>1.75</v>
      </c>
      <c r="I290" s="15">
        <f t="shared" si="135"/>
        <v>750.78499999999997</v>
      </c>
      <c r="J290" s="15">
        <f>H290*F290</f>
        <v>750.78499999999997</v>
      </c>
      <c r="K290" s="15">
        <f t="shared" ref="K290:K295" si="138">G290*H290</f>
        <v>0</v>
      </c>
    </row>
    <row r="291" spans="1:11" ht="26">
      <c r="A291" s="12" t="s">
        <v>898</v>
      </c>
      <c r="B291" s="13" t="s">
        <v>660</v>
      </c>
      <c r="C291" s="11"/>
      <c r="D291" s="14" t="s">
        <v>87</v>
      </c>
      <c r="E291" s="14">
        <f t="shared" ref="E291:E295" si="139">F291</f>
        <v>12.87</v>
      </c>
      <c r="F291" s="15">
        <v>12.87</v>
      </c>
      <c r="G291" s="15">
        <f t="shared" si="137"/>
        <v>0</v>
      </c>
      <c r="H291" s="196">
        <v>10.32</v>
      </c>
      <c r="I291" s="15">
        <f t="shared" si="135"/>
        <v>132.8184</v>
      </c>
      <c r="J291" s="15">
        <f t="shared" ref="J291:J295" si="140">H291*F291</f>
        <v>132.8184</v>
      </c>
      <c r="K291" s="15">
        <f t="shared" si="138"/>
        <v>0</v>
      </c>
    </row>
    <row r="292" spans="1:11" ht="28.5" customHeight="1">
      <c r="A292" s="12" t="s">
        <v>899</v>
      </c>
      <c r="B292" s="13" t="s">
        <v>661</v>
      </c>
      <c r="C292" s="11"/>
      <c r="D292" s="14" t="s">
        <v>1486</v>
      </c>
      <c r="E292" s="14">
        <f t="shared" si="139"/>
        <v>386.12</v>
      </c>
      <c r="F292" s="15">
        <v>386.12</v>
      </c>
      <c r="G292" s="15">
        <f t="shared" si="137"/>
        <v>0</v>
      </c>
      <c r="H292" s="196">
        <v>2.14</v>
      </c>
      <c r="I292" s="15">
        <f t="shared" si="135"/>
        <v>826.29680000000008</v>
      </c>
      <c r="J292" s="15">
        <f t="shared" si="140"/>
        <v>826.29680000000008</v>
      </c>
      <c r="K292" s="15">
        <f t="shared" si="138"/>
        <v>0</v>
      </c>
    </row>
    <row r="293" spans="1:11" ht="29" customHeight="1">
      <c r="A293" s="12" t="s">
        <v>900</v>
      </c>
      <c r="B293" s="13" t="s">
        <v>669</v>
      </c>
      <c r="C293" s="11"/>
      <c r="D293" s="14" t="s">
        <v>1486</v>
      </c>
      <c r="E293" s="14">
        <f t="shared" si="139"/>
        <v>592.04999999999995</v>
      </c>
      <c r="F293" s="15">
        <v>592.04999999999995</v>
      </c>
      <c r="G293" s="15">
        <f t="shared" si="137"/>
        <v>0</v>
      </c>
      <c r="H293" s="196">
        <v>0.87</v>
      </c>
      <c r="I293" s="15">
        <f t="shared" si="135"/>
        <v>515.08349999999996</v>
      </c>
      <c r="J293" s="15">
        <f t="shared" si="140"/>
        <v>515.08349999999996</v>
      </c>
      <c r="K293" s="15">
        <f t="shared" si="138"/>
        <v>0</v>
      </c>
    </row>
    <row r="294" spans="1:11" ht="28" customHeight="1">
      <c r="A294" s="12" t="s">
        <v>901</v>
      </c>
      <c r="B294" s="13" t="s">
        <v>662</v>
      </c>
      <c r="C294" s="11"/>
      <c r="D294" s="14" t="s">
        <v>87</v>
      </c>
      <c r="E294" s="14">
        <f t="shared" si="139"/>
        <v>12.87</v>
      </c>
      <c r="F294" s="15">
        <v>12.87</v>
      </c>
      <c r="G294" s="15">
        <f t="shared" si="137"/>
        <v>0</v>
      </c>
      <c r="H294" s="196">
        <v>1248.29</v>
      </c>
      <c r="I294" s="15">
        <f t="shared" si="135"/>
        <v>16065.492299999998</v>
      </c>
      <c r="J294" s="15">
        <f t="shared" si="140"/>
        <v>16065.492299999998</v>
      </c>
      <c r="K294" s="15">
        <f t="shared" si="138"/>
        <v>0</v>
      </c>
    </row>
    <row r="295" spans="1:11" ht="17.5" customHeight="1">
      <c r="A295" s="12" t="s">
        <v>902</v>
      </c>
      <c r="B295" s="13" t="s">
        <v>663</v>
      </c>
      <c r="C295" s="11"/>
      <c r="D295" s="14" t="s">
        <v>124</v>
      </c>
      <c r="E295" s="14">
        <f t="shared" si="139"/>
        <v>429.02</v>
      </c>
      <c r="F295" s="15">
        <v>429.02</v>
      </c>
      <c r="G295" s="15">
        <f t="shared" si="137"/>
        <v>0</v>
      </c>
      <c r="H295" s="196">
        <v>2.83</v>
      </c>
      <c r="I295" s="15">
        <f t="shared" si="135"/>
        <v>1214.1266000000001</v>
      </c>
      <c r="J295" s="15">
        <f t="shared" si="140"/>
        <v>1214.1266000000001</v>
      </c>
      <c r="K295" s="15">
        <f t="shared" si="138"/>
        <v>0</v>
      </c>
    </row>
    <row r="296" spans="1:11">
      <c r="A296" s="8" t="s">
        <v>903</v>
      </c>
      <c r="B296" s="9" t="s">
        <v>670</v>
      </c>
      <c r="C296" s="8"/>
      <c r="D296" s="8"/>
      <c r="E296" s="8"/>
      <c r="F296" s="203"/>
      <c r="G296" s="203"/>
      <c r="H296" s="195"/>
      <c r="I296" s="10">
        <f>SUM(I297:I302)</f>
        <v>19504.602599999998</v>
      </c>
      <c r="J296" s="10">
        <f>SUM(J297:J302)</f>
        <v>19504.602599999998</v>
      </c>
      <c r="K296" s="10">
        <f>SUM(K297:K302)</f>
        <v>0</v>
      </c>
    </row>
    <row r="297" spans="1:11">
      <c r="A297" s="12" t="s">
        <v>904</v>
      </c>
      <c r="B297" s="13" t="s">
        <v>659</v>
      </c>
      <c r="C297" s="11"/>
      <c r="D297" s="15" t="s">
        <v>124</v>
      </c>
      <c r="E297" s="14">
        <f>F297</f>
        <v>429.02</v>
      </c>
      <c r="F297" s="15">
        <v>429.02</v>
      </c>
      <c r="G297" s="15">
        <f t="shared" ref="G297:G302" si="141">F297-E297</f>
        <v>0</v>
      </c>
      <c r="H297" s="196">
        <v>1.75</v>
      </c>
      <c r="I297" s="15">
        <f t="shared" si="135"/>
        <v>750.78499999999997</v>
      </c>
      <c r="J297" s="15">
        <f>H297*F297</f>
        <v>750.78499999999997</v>
      </c>
      <c r="K297" s="15">
        <f t="shared" ref="K297:K302" si="142">G297*H297</f>
        <v>0</v>
      </c>
    </row>
    <row r="298" spans="1:11" ht="26">
      <c r="A298" s="12" t="s">
        <v>905</v>
      </c>
      <c r="B298" s="13" t="s">
        <v>660</v>
      </c>
      <c r="C298" s="11"/>
      <c r="D298" s="15" t="s">
        <v>87</v>
      </c>
      <c r="E298" s="14">
        <f t="shared" ref="E298:E302" si="143">F298</f>
        <v>12.87</v>
      </c>
      <c r="F298" s="199">
        <v>12.87</v>
      </c>
      <c r="G298" s="15">
        <f t="shared" si="141"/>
        <v>0</v>
      </c>
      <c r="H298" s="196">
        <v>10.32</v>
      </c>
      <c r="I298" s="15">
        <f t="shared" si="135"/>
        <v>132.8184</v>
      </c>
      <c r="J298" s="15">
        <f t="shared" ref="J298:J302" si="144">H298*F298</f>
        <v>132.8184</v>
      </c>
      <c r="K298" s="15">
        <f t="shared" si="142"/>
        <v>0</v>
      </c>
    </row>
    <row r="299" spans="1:11" ht="28.5" customHeight="1">
      <c r="A299" s="12" t="s">
        <v>906</v>
      </c>
      <c r="B299" s="13" t="s">
        <v>661</v>
      </c>
      <c r="C299" s="11"/>
      <c r="D299" s="15" t="s">
        <v>1486</v>
      </c>
      <c r="E299" s="14">
        <f t="shared" si="143"/>
        <v>386.12</v>
      </c>
      <c r="F299" s="199">
        <v>386.12</v>
      </c>
      <c r="G299" s="15">
        <f t="shared" si="141"/>
        <v>0</v>
      </c>
      <c r="H299" s="196">
        <v>2.14</v>
      </c>
      <c r="I299" s="15">
        <f t="shared" si="135"/>
        <v>826.29680000000008</v>
      </c>
      <c r="J299" s="15">
        <f t="shared" si="144"/>
        <v>826.29680000000008</v>
      </c>
      <c r="K299" s="15">
        <f t="shared" si="142"/>
        <v>0</v>
      </c>
    </row>
    <row r="300" spans="1:11" ht="32.5" customHeight="1">
      <c r="A300" s="12" t="s">
        <v>907</v>
      </c>
      <c r="B300" s="19" t="s">
        <v>669</v>
      </c>
      <c r="C300" s="11"/>
      <c r="D300" s="192" t="s">
        <v>1486</v>
      </c>
      <c r="E300" s="14">
        <f t="shared" si="143"/>
        <v>592.04999999999995</v>
      </c>
      <c r="F300" s="204">
        <v>592.04999999999995</v>
      </c>
      <c r="G300" s="15">
        <f t="shared" si="141"/>
        <v>0</v>
      </c>
      <c r="H300" s="197">
        <v>0.87</v>
      </c>
      <c r="I300" s="15">
        <f t="shared" si="135"/>
        <v>515.08349999999996</v>
      </c>
      <c r="J300" s="15">
        <f t="shared" si="144"/>
        <v>515.08349999999996</v>
      </c>
      <c r="K300" s="15">
        <f t="shared" si="142"/>
        <v>0</v>
      </c>
    </row>
    <row r="301" spans="1:11" ht="26.5">
      <c r="A301" s="12" t="s">
        <v>908</v>
      </c>
      <c r="B301" s="19" t="s">
        <v>671</v>
      </c>
      <c r="C301" s="11"/>
      <c r="D301" s="15" t="s">
        <v>87</v>
      </c>
      <c r="E301" s="14">
        <f t="shared" si="143"/>
        <v>12.87</v>
      </c>
      <c r="F301" s="199">
        <v>12.87</v>
      </c>
      <c r="G301" s="15">
        <f t="shared" si="141"/>
        <v>0</v>
      </c>
      <c r="H301" s="196">
        <v>1248.29</v>
      </c>
      <c r="I301" s="15">
        <f t="shared" si="135"/>
        <v>16065.492299999998</v>
      </c>
      <c r="J301" s="15">
        <f t="shared" si="144"/>
        <v>16065.492299999998</v>
      </c>
      <c r="K301" s="15">
        <f t="shared" si="142"/>
        <v>0</v>
      </c>
    </row>
    <row r="302" spans="1:11" ht="16.5" customHeight="1">
      <c r="A302" s="12" t="s">
        <v>909</v>
      </c>
      <c r="B302" s="17" t="s">
        <v>672</v>
      </c>
      <c r="C302" s="11" t="s">
        <v>87</v>
      </c>
      <c r="D302" s="15" t="s">
        <v>124</v>
      </c>
      <c r="E302" s="14">
        <f t="shared" si="143"/>
        <v>429.02</v>
      </c>
      <c r="F302" s="199">
        <v>429.02</v>
      </c>
      <c r="G302" s="15">
        <f t="shared" si="141"/>
        <v>0</v>
      </c>
      <c r="H302" s="196">
        <v>2.83</v>
      </c>
      <c r="I302" s="15">
        <f t="shared" si="135"/>
        <v>1214.1266000000001</v>
      </c>
      <c r="J302" s="15">
        <f t="shared" si="144"/>
        <v>1214.1266000000001</v>
      </c>
      <c r="K302" s="15">
        <f t="shared" si="142"/>
        <v>0</v>
      </c>
    </row>
    <row r="303" spans="1:11">
      <c r="A303" s="8" t="s">
        <v>910</v>
      </c>
      <c r="B303" s="9" t="s">
        <v>107</v>
      </c>
      <c r="C303" s="8"/>
      <c r="D303" s="8"/>
      <c r="E303" s="8"/>
      <c r="F303" s="203"/>
      <c r="G303" s="203"/>
      <c r="H303" s="195"/>
      <c r="I303" s="10">
        <f>SUM(I304:I306)</f>
        <v>0</v>
      </c>
      <c r="J303" s="10">
        <f>SUM(J304:J306)</f>
        <v>0</v>
      </c>
      <c r="K303" s="10">
        <f>SUM(K304:K306)</f>
        <v>0</v>
      </c>
    </row>
    <row r="304" spans="1:11" ht="39">
      <c r="A304" s="12" t="s">
        <v>911</v>
      </c>
      <c r="B304" s="13" t="s">
        <v>674</v>
      </c>
      <c r="C304" s="11" t="s">
        <v>33</v>
      </c>
      <c r="D304" s="14" t="s">
        <v>1487</v>
      </c>
      <c r="E304" s="14"/>
      <c r="F304" s="15"/>
      <c r="G304" s="15">
        <f>F304-E304</f>
        <v>0</v>
      </c>
      <c r="H304" s="196">
        <v>625.09</v>
      </c>
      <c r="I304" s="15">
        <f t="shared" si="135"/>
        <v>0</v>
      </c>
      <c r="J304" s="15">
        <f>H304*F304</f>
        <v>0</v>
      </c>
      <c r="K304" s="15">
        <f t="shared" ref="K304:K306" si="145">G304*H304</f>
        <v>0</v>
      </c>
    </row>
    <row r="305" spans="1:11" ht="17" customHeight="1">
      <c r="A305" s="12" t="s">
        <v>912</v>
      </c>
      <c r="B305" s="194" t="s">
        <v>680</v>
      </c>
      <c r="C305" s="11" t="s">
        <v>33</v>
      </c>
      <c r="D305" s="14" t="s">
        <v>124</v>
      </c>
      <c r="E305" s="14"/>
      <c r="F305" s="15"/>
      <c r="G305" s="15">
        <f>F305-E305</f>
        <v>0</v>
      </c>
      <c r="H305" s="196">
        <v>16.260000000000002</v>
      </c>
      <c r="I305" s="15">
        <f t="shared" si="135"/>
        <v>0</v>
      </c>
      <c r="J305" s="15">
        <f t="shared" ref="J305:J306" si="146">H305*F305</f>
        <v>0</v>
      </c>
      <c r="K305" s="15">
        <f t="shared" si="145"/>
        <v>0</v>
      </c>
    </row>
    <row r="306" spans="1:11" ht="16.5" customHeight="1">
      <c r="A306" s="12" t="s">
        <v>913</v>
      </c>
      <c r="B306" s="13" t="s">
        <v>675</v>
      </c>
      <c r="C306" s="11" t="s">
        <v>33</v>
      </c>
      <c r="D306" s="14" t="s">
        <v>124</v>
      </c>
      <c r="E306" s="14"/>
      <c r="F306" s="15"/>
      <c r="G306" s="15">
        <f>F306-E306</f>
        <v>0</v>
      </c>
      <c r="H306" s="196">
        <v>4.5599999999999996</v>
      </c>
      <c r="I306" s="15">
        <f t="shared" si="135"/>
        <v>0</v>
      </c>
      <c r="J306" s="15">
        <f t="shared" si="146"/>
        <v>0</v>
      </c>
      <c r="K306" s="15">
        <f t="shared" si="145"/>
        <v>0</v>
      </c>
    </row>
    <row r="307" spans="1:11">
      <c r="A307" s="8" t="s">
        <v>914</v>
      </c>
      <c r="B307" s="9" t="s">
        <v>678</v>
      </c>
      <c r="C307" s="8"/>
      <c r="D307" s="8"/>
      <c r="E307" s="8"/>
      <c r="F307" s="203"/>
      <c r="G307" s="203"/>
      <c r="H307" s="195"/>
      <c r="I307" s="10">
        <f>SUM(I308:I309)</f>
        <v>750.78499999999997</v>
      </c>
      <c r="J307" s="10">
        <f>SUM(J308:J309)</f>
        <v>750.78499999999997</v>
      </c>
      <c r="K307" s="10">
        <f>SUM(K308:K309)</f>
        <v>0</v>
      </c>
    </row>
    <row r="308" spans="1:11">
      <c r="A308" s="12" t="s">
        <v>915</v>
      </c>
      <c r="B308" s="13" t="s">
        <v>659</v>
      </c>
      <c r="C308" s="11" t="s">
        <v>11</v>
      </c>
      <c r="D308" s="14" t="s">
        <v>124</v>
      </c>
      <c r="E308" s="14">
        <f>F308</f>
        <v>429.02</v>
      </c>
      <c r="F308" s="15">
        <v>429.02</v>
      </c>
      <c r="G308" s="15">
        <f>F308-E308</f>
        <v>0</v>
      </c>
      <c r="H308" s="196">
        <v>1.75</v>
      </c>
      <c r="I308" s="15">
        <f t="shared" si="135"/>
        <v>750.78499999999997</v>
      </c>
      <c r="J308" s="15">
        <f>H308*F308</f>
        <v>750.78499999999997</v>
      </c>
      <c r="K308" s="15">
        <f t="shared" ref="K308:K309" si="147">G308*H308</f>
        <v>0</v>
      </c>
    </row>
    <row r="309" spans="1:11">
      <c r="A309" s="12" t="s">
        <v>916</v>
      </c>
      <c r="B309" s="13" t="s">
        <v>679</v>
      </c>
      <c r="C309" s="11" t="s">
        <v>11</v>
      </c>
      <c r="D309" s="14" t="s">
        <v>1487</v>
      </c>
      <c r="E309" s="14"/>
      <c r="F309" s="15"/>
      <c r="G309" s="15">
        <f>F309-E309</f>
        <v>0</v>
      </c>
      <c r="H309" s="196">
        <v>92.34</v>
      </c>
      <c r="I309" s="15">
        <f t="shared" si="135"/>
        <v>0</v>
      </c>
      <c r="J309" s="15">
        <f>H309*F309</f>
        <v>0</v>
      </c>
      <c r="K309" s="15">
        <f t="shared" si="147"/>
        <v>0</v>
      </c>
    </row>
    <row r="310" spans="1:11">
      <c r="A310" s="184">
        <v>12</v>
      </c>
      <c r="B310" s="191" t="s">
        <v>1465</v>
      </c>
      <c r="C310" s="184"/>
      <c r="D310" s="184"/>
      <c r="E310" s="184"/>
      <c r="F310" s="202"/>
      <c r="G310" s="202"/>
      <c r="H310" s="198"/>
      <c r="I310" s="185"/>
      <c r="J310" s="185">
        <f>SUM(J311,J314,J316,J323,J330,J334)</f>
        <v>0</v>
      </c>
      <c r="K310" s="185">
        <f>SUM(K311,K314,K316,K323,K330,K334)</f>
        <v>0</v>
      </c>
    </row>
    <row r="311" spans="1:11">
      <c r="A311" s="8" t="s">
        <v>917</v>
      </c>
      <c r="B311" s="9" t="s">
        <v>8</v>
      </c>
      <c r="C311" s="8"/>
      <c r="D311" s="8"/>
      <c r="E311" s="8"/>
      <c r="F311" s="203"/>
      <c r="G311" s="203"/>
      <c r="H311" s="195"/>
      <c r="I311" s="10"/>
      <c r="J311" s="10">
        <f>SUM(J312:J313)</f>
        <v>0</v>
      </c>
      <c r="K311" s="10">
        <f>SUM(K312:K313)</f>
        <v>0</v>
      </c>
    </row>
    <row r="312" spans="1:11" ht="26">
      <c r="A312" s="12" t="s">
        <v>918</v>
      </c>
      <c r="B312" s="13" t="s">
        <v>653</v>
      </c>
      <c r="C312" s="11" t="s">
        <v>13</v>
      </c>
      <c r="D312" s="14" t="s">
        <v>124</v>
      </c>
      <c r="E312" s="14"/>
      <c r="F312" s="15"/>
      <c r="G312" s="15">
        <f>F312-E312</f>
        <v>0</v>
      </c>
      <c r="H312" s="196">
        <v>0.36</v>
      </c>
      <c r="I312" s="15">
        <f>H312*E312</f>
        <v>0</v>
      </c>
      <c r="J312" s="15">
        <f>H312*F312</f>
        <v>0</v>
      </c>
      <c r="K312" s="15">
        <f t="shared" ref="K312:K313" si="148">G312*H312</f>
        <v>0</v>
      </c>
    </row>
    <row r="313" spans="1:11" ht="52">
      <c r="A313" s="12" t="s">
        <v>919</v>
      </c>
      <c r="B313" s="13" t="s">
        <v>650</v>
      </c>
      <c r="C313" s="11" t="s">
        <v>11</v>
      </c>
      <c r="D313" s="14" t="s">
        <v>124</v>
      </c>
      <c r="E313" s="14"/>
      <c r="F313" s="15"/>
      <c r="G313" s="15">
        <f>F313-E313</f>
        <v>0</v>
      </c>
      <c r="H313" s="196">
        <v>61.67</v>
      </c>
      <c r="I313" s="15">
        <f>H313*E313</f>
        <v>0</v>
      </c>
      <c r="J313" s="15">
        <f>H313*F313</f>
        <v>0</v>
      </c>
      <c r="K313" s="15">
        <f t="shared" si="148"/>
        <v>0</v>
      </c>
    </row>
    <row r="314" spans="1:11">
      <c r="A314" s="8" t="s">
        <v>920</v>
      </c>
      <c r="B314" s="9" t="s">
        <v>655</v>
      </c>
      <c r="C314" s="8"/>
      <c r="D314" s="8"/>
      <c r="E314" s="8"/>
      <c r="F314" s="203"/>
      <c r="G314" s="203"/>
      <c r="H314" s="195"/>
      <c r="I314" s="195"/>
      <c r="J314" s="10">
        <f>SUM(J315:J315)</f>
        <v>0</v>
      </c>
      <c r="K314" s="10">
        <f>SUM(K315:K315)</f>
        <v>0</v>
      </c>
    </row>
    <row r="315" spans="1:11" ht="26">
      <c r="A315" s="12" t="s">
        <v>921</v>
      </c>
      <c r="B315" s="13" t="s">
        <v>656</v>
      </c>
      <c r="C315" s="11"/>
      <c r="D315" s="14" t="s">
        <v>124</v>
      </c>
      <c r="E315" s="14"/>
      <c r="F315" s="15"/>
      <c r="G315" s="15">
        <f>F315-E315</f>
        <v>0</v>
      </c>
      <c r="H315" s="196">
        <v>0.38</v>
      </c>
      <c r="I315" s="15">
        <f t="shared" ref="I315:I336" si="149">H315*E315</f>
        <v>0</v>
      </c>
      <c r="J315" s="15">
        <f>H315*F315</f>
        <v>0</v>
      </c>
      <c r="K315" s="15">
        <f t="shared" ref="K315" si="150">G315*H315</f>
        <v>0</v>
      </c>
    </row>
    <row r="316" spans="1:11">
      <c r="A316" s="8" t="s">
        <v>922</v>
      </c>
      <c r="B316" s="9" t="s">
        <v>658</v>
      </c>
      <c r="C316" s="8"/>
      <c r="D316" s="8"/>
      <c r="E316" s="8"/>
      <c r="F316" s="203"/>
      <c r="G316" s="203"/>
      <c r="H316" s="195"/>
      <c r="I316" s="195"/>
      <c r="J316" s="10">
        <f>SUM(J317:J322)</f>
        <v>0</v>
      </c>
      <c r="K316" s="10">
        <f>SUM(K317:K322)</f>
        <v>0</v>
      </c>
    </row>
    <row r="317" spans="1:11">
      <c r="A317" s="12" t="s">
        <v>923</v>
      </c>
      <c r="B317" s="13" t="s">
        <v>659</v>
      </c>
      <c r="C317" s="11"/>
      <c r="D317" s="14" t="s">
        <v>124</v>
      </c>
      <c r="E317" s="14"/>
      <c r="F317" s="15"/>
      <c r="G317" s="15">
        <f t="shared" ref="G317:G322" si="151">F317-E317</f>
        <v>0</v>
      </c>
      <c r="H317" s="196">
        <v>1.75</v>
      </c>
      <c r="I317" s="15">
        <f t="shared" si="149"/>
        <v>0</v>
      </c>
      <c r="J317" s="15">
        <f>H317*F317</f>
        <v>0</v>
      </c>
      <c r="K317" s="15">
        <f t="shared" ref="K317:K322" si="152">G317*H317</f>
        <v>0</v>
      </c>
    </row>
    <row r="318" spans="1:11" ht="26">
      <c r="A318" s="12" t="s">
        <v>924</v>
      </c>
      <c r="B318" s="13" t="s">
        <v>660</v>
      </c>
      <c r="C318" s="11"/>
      <c r="D318" s="14" t="s">
        <v>87</v>
      </c>
      <c r="E318" s="14"/>
      <c r="F318" s="15"/>
      <c r="G318" s="15">
        <f t="shared" si="151"/>
        <v>0</v>
      </c>
      <c r="H318" s="196">
        <v>10.32</v>
      </c>
      <c r="I318" s="15">
        <f t="shared" si="149"/>
        <v>0</v>
      </c>
      <c r="J318" s="15">
        <f t="shared" ref="J318:J322" si="153">H318*F318</f>
        <v>0</v>
      </c>
      <c r="K318" s="15">
        <f t="shared" si="152"/>
        <v>0</v>
      </c>
    </row>
    <row r="319" spans="1:11" ht="28.5" customHeight="1">
      <c r="A319" s="12" t="s">
        <v>925</v>
      </c>
      <c r="B319" s="13" t="s">
        <v>661</v>
      </c>
      <c r="C319" s="11"/>
      <c r="D319" s="14" t="s">
        <v>1486</v>
      </c>
      <c r="E319" s="14"/>
      <c r="F319" s="15"/>
      <c r="G319" s="15">
        <f t="shared" si="151"/>
        <v>0</v>
      </c>
      <c r="H319" s="196">
        <v>2.14</v>
      </c>
      <c r="I319" s="15">
        <f t="shared" si="149"/>
        <v>0</v>
      </c>
      <c r="J319" s="15">
        <f t="shared" si="153"/>
        <v>0</v>
      </c>
      <c r="K319" s="15">
        <f t="shared" si="152"/>
        <v>0</v>
      </c>
    </row>
    <row r="320" spans="1:11" ht="29" customHeight="1">
      <c r="A320" s="12" t="s">
        <v>926</v>
      </c>
      <c r="B320" s="13" t="s">
        <v>669</v>
      </c>
      <c r="C320" s="11"/>
      <c r="D320" s="14" t="s">
        <v>1486</v>
      </c>
      <c r="E320" s="14"/>
      <c r="F320" s="15"/>
      <c r="G320" s="15">
        <f t="shared" si="151"/>
        <v>0</v>
      </c>
      <c r="H320" s="196">
        <v>0.87</v>
      </c>
      <c r="I320" s="15">
        <f t="shared" si="149"/>
        <v>0</v>
      </c>
      <c r="J320" s="15">
        <f t="shared" si="153"/>
        <v>0</v>
      </c>
      <c r="K320" s="15">
        <f t="shared" si="152"/>
        <v>0</v>
      </c>
    </row>
    <row r="321" spans="1:11" ht="28" customHeight="1">
      <c r="A321" s="12" t="s">
        <v>927</v>
      </c>
      <c r="B321" s="13" t="s">
        <v>662</v>
      </c>
      <c r="C321" s="11"/>
      <c r="D321" s="14" t="s">
        <v>87</v>
      </c>
      <c r="E321" s="14"/>
      <c r="F321" s="15"/>
      <c r="G321" s="15">
        <f t="shared" si="151"/>
        <v>0</v>
      </c>
      <c r="H321" s="196">
        <v>1248.29</v>
      </c>
      <c r="I321" s="15">
        <f t="shared" si="149"/>
        <v>0</v>
      </c>
      <c r="J321" s="15">
        <f t="shared" si="153"/>
        <v>0</v>
      </c>
      <c r="K321" s="15">
        <f t="shared" si="152"/>
        <v>0</v>
      </c>
    </row>
    <row r="322" spans="1:11" ht="17.5" customHeight="1">
      <c r="A322" s="12" t="s">
        <v>928</v>
      </c>
      <c r="B322" s="13" t="s">
        <v>663</v>
      </c>
      <c r="C322" s="11"/>
      <c r="D322" s="14" t="s">
        <v>124</v>
      </c>
      <c r="E322" s="14"/>
      <c r="F322" s="15"/>
      <c r="G322" s="15">
        <f t="shared" si="151"/>
        <v>0</v>
      </c>
      <c r="H322" s="196">
        <v>2.83</v>
      </c>
      <c r="I322" s="15">
        <f t="shared" si="149"/>
        <v>0</v>
      </c>
      <c r="J322" s="15">
        <f t="shared" si="153"/>
        <v>0</v>
      </c>
      <c r="K322" s="15">
        <f t="shared" si="152"/>
        <v>0</v>
      </c>
    </row>
    <row r="323" spans="1:11">
      <c r="A323" s="8" t="s">
        <v>929</v>
      </c>
      <c r="B323" s="9" t="s">
        <v>670</v>
      </c>
      <c r="C323" s="8"/>
      <c r="D323" s="8"/>
      <c r="E323" s="8"/>
      <c r="F323" s="203"/>
      <c r="G323" s="203"/>
      <c r="H323" s="195"/>
      <c r="I323" s="195"/>
      <c r="J323" s="10">
        <f>SUM(J324:J329)</f>
        <v>0</v>
      </c>
      <c r="K323" s="10">
        <f>SUM(K324:K329)</f>
        <v>0</v>
      </c>
    </row>
    <row r="324" spans="1:11">
      <c r="A324" s="12" t="s">
        <v>930</v>
      </c>
      <c r="B324" s="13" t="s">
        <v>659</v>
      </c>
      <c r="C324" s="11"/>
      <c r="D324" s="15" t="s">
        <v>124</v>
      </c>
      <c r="E324" s="14"/>
      <c r="F324" s="15"/>
      <c r="G324" s="15">
        <f t="shared" ref="G324:G329" si="154">F324-E324</f>
        <v>0</v>
      </c>
      <c r="H324" s="196">
        <v>1.75</v>
      </c>
      <c r="I324" s="15">
        <f t="shared" si="149"/>
        <v>0</v>
      </c>
      <c r="J324" s="15">
        <f>H324*F324</f>
        <v>0</v>
      </c>
      <c r="K324" s="15">
        <f t="shared" ref="K324:K329" si="155">G324*H324</f>
        <v>0</v>
      </c>
    </row>
    <row r="325" spans="1:11" ht="26">
      <c r="A325" s="12" t="s">
        <v>931</v>
      </c>
      <c r="B325" s="13" t="s">
        <v>660</v>
      </c>
      <c r="C325" s="11"/>
      <c r="D325" s="15" t="s">
        <v>87</v>
      </c>
      <c r="E325" s="14"/>
      <c r="F325" s="199"/>
      <c r="G325" s="15">
        <f t="shared" si="154"/>
        <v>0</v>
      </c>
      <c r="H325" s="196">
        <v>10.32</v>
      </c>
      <c r="I325" s="15">
        <f t="shared" si="149"/>
        <v>0</v>
      </c>
      <c r="J325" s="15">
        <f t="shared" ref="J325:J329" si="156">H325*F325</f>
        <v>0</v>
      </c>
      <c r="K325" s="15">
        <f t="shared" si="155"/>
        <v>0</v>
      </c>
    </row>
    <row r="326" spans="1:11" ht="28.5" customHeight="1">
      <c r="A326" s="12" t="s">
        <v>932</v>
      </c>
      <c r="B326" s="13" t="s">
        <v>661</v>
      </c>
      <c r="C326" s="11"/>
      <c r="D326" s="15" t="s">
        <v>1486</v>
      </c>
      <c r="E326" s="14"/>
      <c r="F326" s="199"/>
      <c r="G326" s="15">
        <f t="shared" si="154"/>
        <v>0</v>
      </c>
      <c r="H326" s="196">
        <v>2.14</v>
      </c>
      <c r="I326" s="15">
        <f t="shared" si="149"/>
        <v>0</v>
      </c>
      <c r="J326" s="15">
        <f t="shared" si="156"/>
        <v>0</v>
      </c>
      <c r="K326" s="15">
        <f t="shared" si="155"/>
        <v>0</v>
      </c>
    </row>
    <row r="327" spans="1:11" ht="32.5" customHeight="1">
      <c r="A327" s="12" t="s">
        <v>933</v>
      </c>
      <c r="B327" s="19" t="s">
        <v>669</v>
      </c>
      <c r="C327" s="11"/>
      <c r="D327" s="192" t="s">
        <v>1486</v>
      </c>
      <c r="E327" s="193"/>
      <c r="F327" s="204"/>
      <c r="G327" s="15">
        <f t="shared" si="154"/>
        <v>0</v>
      </c>
      <c r="H327" s="197">
        <v>0.87</v>
      </c>
      <c r="I327" s="15">
        <f t="shared" si="149"/>
        <v>0</v>
      </c>
      <c r="J327" s="15">
        <f t="shared" si="156"/>
        <v>0</v>
      </c>
      <c r="K327" s="15">
        <f t="shared" si="155"/>
        <v>0</v>
      </c>
    </row>
    <row r="328" spans="1:11" ht="26.5">
      <c r="A328" s="12" t="s">
        <v>934</v>
      </c>
      <c r="B328" s="19" t="s">
        <v>671</v>
      </c>
      <c r="C328" s="11"/>
      <c r="D328" s="15" t="s">
        <v>87</v>
      </c>
      <c r="E328" s="14"/>
      <c r="F328" s="199"/>
      <c r="G328" s="15">
        <f t="shared" si="154"/>
        <v>0</v>
      </c>
      <c r="H328" s="196">
        <v>1248.29</v>
      </c>
      <c r="I328" s="15">
        <f t="shared" si="149"/>
        <v>0</v>
      </c>
      <c r="J328" s="15">
        <f t="shared" si="156"/>
        <v>0</v>
      </c>
      <c r="K328" s="15">
        <f t="shared" si="155"/>
        <v>0</v>
      </c>
    </row>
    <row r="329" spans="1:11" ht="16.5" customHeight="1">
      <c r="A329" s="12" t="s">
        <v>935</v>
      </c>
      <c r="B329" s="17" t="s">
        <v>672</v>
      </c>
      <c r="C329" s="11" t="s">
        <v>87</v>
      </c>
      <c r="D329" s="15" t="s">
        <v>124</v>
      </c>
      <c r="E329" s="14"/>
      <c r="F329" s="199"/>
      <c r="G329" s="15">
        <f t="shared" si="154"/>
        <v>0</v>
      </c>
      <c r="H329" s="196">
        <v>2.83</v>
      </c>
      <c r="I329" s="15">
        <f t="shared" si="149"/>
        <v>0</v>
      </c>
      <c r="J329" s="15">
        <f t="shared" si="156"/>
        <v>0</v>
      </c>
      <c r="K329" s="15">
        <f t="shared" si="155"/>
        <v>0</v>
      </c>
    </row>
    <row r="330" spans="1:11">
      <c r="A330" s="8" t="s">
        <v>936</v>
      </c>
      <c r="B330" s="9" t="s">
        <v>107</v>
      </c>
      <c r="C330" s="8"/>
      <c r="D330" s="8"/>
      <c r="E330" s="8"/>
      <c r="F330" s="203"/>
      <c r="G330" s="203"/>
      <c r="H330" s="195"/>
      <c r="I330" s="195"/>
      <c r="J330" s="10">
        <f>SUM(J331:J333)</f>
        <v>0</v>
      </c>
      <c r="K330" s="10">
        <f>SUM(K331:K333)</f>
        <v>0</v>
      </c>
    </row>
    <row r="331" spans="1:11" ht="39">
      <c r="A331" s="12" t="s">
        <v>937</v>
      </c>
      <c r="B331" s="13" t="s">
        <v>674</v>
      </c>
      <c r="C331" s="11" t="s">
        <v>33</v>
      </c>
      <c r="D331" s="14" t="s">
        <v>1487</v>
      </c>
      <c r="E331" s="14"/>
      <c r="F331" s="15"/>
      <c r="G331" s="15">
        <f>F331-E331</f>
        <v>0</v>
      </c>
      <c r="H331" s="196">
        <v>625.09</v>
      </c>
      <c r="I331" s="15">
        <f t="shared" si="149"/>
        <v>0</v>
      </c>
      <c r="J331" s="15">
        <f>H331*F331</f>
        <v>0</v>
      </c>
      <c r="K331" s="15">
        <f t="shared" ref="K331:K333" si="157">G331*H331</f>
        <v>0</v>
      </c>
    </row>
    <row r="332" spans="1:11" ht="17" customHeight="1">
      <c r="A332" s="12" t="s">
        <v>938</v>
      </c>
      <c r="B332" s="194" t="s">
        <v>680</v>
      </c>
      <c r="C332" s="11" t="s">
        <v>33</v>
      </c>
      <c r="D332" s="14" t="s">
        <v>124</v>
      </c>
      <c r="E332" s="14"/>
      <c r="F332" s="15"/>
      <c r="G332" s="15">
        <f>F332-E332</f>
        <v>0</v>
      </c>
      <c r="H332" s="196">
        <v>16.260000000000002</v>
      </c>
      <c r="I332" s="15">
        <f t="shared" si="149"/>
        <v>0</v>
      </c>
      <c r="J332" s="15">
        <f t="shared" ref="J332:J333" si="158">H332*F332</f>
        <v>0</v>
      </c>
      <c r="K332" s="15">
        <f t="shared" si="157"/>
        <v>0</v>
      </c>
    </row>
    <row r="333" spans="1:11" ht="16.5" customHeight="1">
      <c r="A333" s="12" t="s">
        <v>939</v>
      </c>
      <c r="B333" s="13" t="s">
        <v>675</v>
      </c>
      <c r="C333" s="11" t="s">
        <v>33</v>
      </c>
      <c r="D333" s="14" t="s">
        <v>124</v>
      </c>
      <c r="E333" s="14"/>
      <c r="F333" s="15"/>
      <c r="G333" s="15">
        <f>F333-E333</f>
        <v>0</v>
      </c>
      <c r="H333" s="196">
        <v>4.5599999999999996</v>
      </c>
      <c r="I333" s="15">
        <f t="shared" si="149"/>
        <v>0</v>
      </c>
      <c r="J333" s="15">
        <f t="shared" si="158"/>
        <v>0</v>
      </c>
      <c r="K333" s="15">
        <f t="shared" si="157"/>
        <v>0</v>
      </c>
    </row>
    <row r="334" spans="1:11">
      <c r="A334" s="8" t="s">
        <v>940</v>
      </c>
      <c r="B334" s="9" t="s">
        <v>678</v>
      </c>
      <c r="C334" s="8"/>
      <c r="D334" s="8"/>
      <c r="E334" s="8"/>
      <c r="F334" s="203"/>
      <c r="G334" s="203"/>
      <c r="H334" s="195"/>
      <c r="I334" s="195"/>
      <c r="J334" s="10">
        <f>SUM(J335:J336)</f>
        <v>0</v>
      </c>
      <c r="K334" s="10">
        <f>SUM(K335:K336)</f>
        <v>0</v>
      </c>
    </row>
    <row r="335" spans="1:11">
      <c r="A335" s="12" t="s">
        <v>941</v>
      </c>
      <c r="B335" s="13" t="s">
        <v>659</v>
      </c>
      <c r="C335" s="11" t="s">
        <v>11</v>
      </c>
      <c r="D335" s="14" t="s">
        <v>124</v>
      </c>
      <c r="E335" s="14"/>
      <c r="F335" s="15"/>
      <c r="G335" s="15">
        <f>F335-E335</f>
        <v>0</v>
      </c>
      <c r="H335" s="196">
        <v>1.75</v>
      </c>
      <c r="I335" s="15">
        <f t="shared" si="149"/>
        <v>0</v>
      </c>
      <c r="J335" s="15">
        <f>H335*F335</f>
        <v>0</v>
      </c>
      <c r="K335" s="15">
        <f t="shared" ref="K335:K336" si="159">G335*H335</f>
        <v>0</v>
      </c>
    </row>
    <row r="336" spans="1:11">
      <c r="A336" s="12" t="s">
        <v>942</v>
      </c>
      <c r="B336" s="13" t="s">
        <v>679</v>
      </c>
      <c r="C336" s="11" t="s">
        <v>11</v>
      </c>
      <c r="D336" s="14" t="s">
        <v>1487</v>
      </c>
      <c r="E336" s="14"/>
      <c r="F336" s="15"/>
      <c r="G336" s="15">
        <f>F336-E336</f>
        <v>0</v>
      </c>
      <c r="H336" s="196">
        <v>92.34</v>
      </c>
      <c r="I336" s="15">
        <f t="shared" si="149"/>
        <v>0</v>
      </c>
      <c r="J336" s="15">
        <f>H336*F336</f>
        <v>0</v>
      </c>
      <c r="K336" s="15">
        <f t="shared" si="159"/>
        <v>0</v>
      </c>
    </row>
    <row r="337" spans="1:11">
      <c r="A337" s="184">
        <v>13</v>
      </c>
      <c r="B337" s="191" t="s">
        <v>1466</v>
      </c>
      <c r="C337" s="184"/>
      <c r="D337" s="184"/>
      <c r="E337" s="184"/>
      <c r="F337" s="202"/>
      <c r="G337" s="202"/>
      <c r="H337" s="198"/>
      <c r="I337" s="185"/>
      <c r="J337" s="185">
        <f>SUM(J338,J341,J343,J350,J357,J361)</f>
        <v>183763.42750000005</v>
      </c>
      <c r="K337" s="185">
        <f>SUM(K338,K341,K343,K350,K357,K361)</f>
        <v>183763.42750000005</v>
      </c>
    </row>
    <row r="338" spans="1:11">
      <c r="A338" s="8" t="s">
        <v>943</v>
      </c>
      <c r="B338" s="9" t="s">
        <v>8</v>
      </c>
      <c r="C338" s="8"/>
      <c r="D338" s="8"/>
      <c r="E338" s="8"/>
      <c r="F338" s="203"/>
      <c r="G338" s="203"/>
      <c r="H338" s="195"/>
      <c r="I338" s="10"/>
      <c r="J338" s="10">
        <f>SUM(J339:J340)</f>
        <v>16188.963700000002</v>
      </c>
      <c r="K338" s="10">
        <f>SUM(K339:K340)</f>
        <v>16188.963700000002</v>
      </c>
    </row>
    <row r="339" spans="1:11" ht="26">
      <c r="A339" s="12" t="s">
        <v>944</v>
      </c>
      <c r="B339" s="13" t="s">
        <v>653</v>
      </c>
      <c r="C339" s="11" t="s">
        <v>13</v>
      </c>
      <c r="D339" s="14" t="s">
        <v>124</v>
      </c>
      <c r="E339" s="14"/>
      <c r="F339" s="15">
        <v>1781.5</v>
      </c>
      <c r="G339" s="15">
        <f>F339-E339</f>
        <v>1781.5</v>
      </c>
      <c r="H339" s="196">
        <v>0.36</v>
      </c>
      <c r="I339" s="15">
        <f>H339*E339</f>
        <v>0</v>
      </c>
      <c r="J339" s="15">
        <f>H339*F339</f>
        <v>641.34</v>
      </c>
      <c r="K339" s="15">
        <f t="shared" ref="K339:K340" si="160">G339*H339</f>
        <v>641.34</v>
      </c>
    </row>
    <row r="340" spans="1:11" ht="52">
      <c r="A340" s="12" t="s">
        <v>945</v>
      </c>
      <c r="B340" s="13" t="s">
        <v>650</v>
      </c>
      <c r="C340" s="11" t="s">
        <v>11</v>
      </c>
      <c r="D340" s="14" t="s">
        <v>124</v>
      </c>
      <c r="E340" s="14"/>
      <c r="F340" s="15">
        <v>252.11</v>
      </c>
      <c r="G340" s="15">
        <f>F340-E340</f>
        <v>252.11</v>
      </c>
      <c r="H340" s="196">
        <v>61.67</v>
      </c>
      <c r="I340" s="15">
        <f>H340*E340</f>
        <v>0</v>
      </c>
      <c r="J340" s="15">
        <f>H340*F340</f>
        <v>15547.623700000002</v>
      </c>
      <c r="K340" s="15">
        <f t="shared" si="160"/>
        <v>15547.623700000002</v>
      </c>
    </row>
    <row r="341" spans="1:11">
      <c r="A341" s="8" t="s">
        <v>946</v>
      </c>
      <c r="B341" s="9" t="s">
        <v>655</v>
      </c>
      <c r="C341" s="8"/>
      <c r="D341" s="8"/>
      <c r="E341" s="8"/>
      <c r="F341" s="203"/>
      <c r="G341" s="203"/>
      <c r="H341" s="195"/>
      <c r="I341" s="195"/>
      <c r="J341" s="10">
        <f>SUM(J342:J342)</f>
        <v>676.97</v>
      </c>
      <c r="K341" s="10">
        <f>SUM(K342:K342)</f>
        <v>676.97</v>
      </c>
    </row>
    <row r="342" spans="1:11" ht="26">
      <c r="A342" s="12" t="s">
        <v>947</v>
      </c>
      <c r="B342" s="13" t="s">
        <v>656</v>
      </c>
      <c r="C342" s="11"/>
      <c r="D342" s="14" t="s">
        <v>124</v>
      </c>
      <c r="E342" s="14"/>
      <c r="F342" s="15">
        <v>1781.5</v>
      </c>
      <c r="G342" s="15">
        <f>F342-E342</f>
        <v>1781.5</v>
      </c>
      <c r="H342" s="196">
        <v>0.38</v>
      </c>
      <c r="I342" s="15">
        <f t="shared" ref="I342:I363" si="161">H342*E342</f>
        <v>0</v>
      </c>
      <c r="J342" s="15">
        <f>H342*F342</f>
        <v>676.97</v>
      </c>
      <c r="K342" s="15">
        <f t="shared" ref="K342" si="162">G342*H342</f>
        <v>676.97</v>
      </c>
    </row>
    <row r="343" spans="1:11">
      <c r="A343" s="8" t="s">
        <v>1488</v>
      </c>
      <c r="B343" s="9" t="s">
        <v>658</v>
      </c>
      <c r="C343" s="8"/>
      <c r="D343" s="8"/>
      <c r="E343" s="8"/>
      <c r="F343" s="203"/>
      <c r="G343" s="203"/>
      <c r="H343" s="195"/>
      <c r="I343" s="195"/>
      <c r="J343" s="10">
        <f>SUM(J344:J349)</f>
        <v>81889.934400000013</v>
      </c>
      <c r="K343" s="10">
        <f>SUM(K344:K349)</f>
        <v>81889.934400000013</v>
      </c>
    </row>
    <row r="344" spans="1:11">
      <c r="A344" s="12" t="s">
        <v>1489</v>
      </c>
      <c r="B344" s="13" t="s">
        <v>659</v>
      </c>
      <c r="C344" s="11"/>
      <c r="D344" s="14" t="s">
        <v>124</v>
      </c>
      <c r="E344" s="14"/>
      <c r="F344" s="15">
        <v>1781.5</v>
      </c>
      <c r="G344" s="15">
        <f t="shared" ref="G344:G349" si="163">F344-E344</f>
        <v>1781.5</v>
      </c>
      <c r="H344" s="196">
        <v>1.75</v>
      </c>
      <c r="I344" s="15">
        <f t="shared" si="161"/>
        <v>0</v>
      </c>
      <c r="J344" s="15">
        <f>H344*F344</f>
        <v>3117.625</v>
      </c>
      <c r="K344" s="15">
        <f t="shared" ref="K344:K349" si="164">G344*H344</f>
        <v>3117.625</v>
      </c>
    </row>
    <row r="345" spans="1:11" ht="26">
      <c r="A345" s="12" t="s">
        <v>1490</v>
      </c>
      <c r="B345" s="13" t="s">
        <v>660</v>
      </c>
      <c r="C345" s="11"/>
      <c r="D345" s="14" t="s">
        <v>87</v>
      </c>
      <c r="E345" s="14"/>
      <c r="F345" s="15">
        <v>53.45</v>
      </c>
      <c r="G345" s="15">
        <f t="shared" si="163"/>
        <v>53.45</v>
      </c>
      <c r="H345" s="196">
        <v>10.32</v>
      </c>
      <c r="I345" s="15">
        <f t="shared" si="161"/>
        <v>0</v>
      </c>
      <c r="J345" s="15">
        <f t="shared" ref="J345:J349" si="165">H345*F345</f>
        <v>551.60400000000004</v>
      </c>
      <c r="K345" s="15">
        <f t="shared" si="164"/>
        <v>551.60400000000004</v>
      </c>
    </row>
    <row r="346" spans="1:11" ht="28.5" customHeight="1">
      <c r="A346" s="12" t="s">
        <v>1491</v>
      </c>
      <c r="B346" s="13" t="s">
        <v>661</v>
      </c>
      <c r="C346" s="11"/>
      <c r="D346" s="14" t="s">
        <v>1486</v>
      </c>
      <c r="E346" s="14"/>
      <c r="F346" s="15">
        <v>1603.35</v>
      </c>
      <c r="G346" s="15">
        <f t="shared" si="163"/>
        <v>1603.35</v>
      </c>
      <c r="H346" s="196">
        <v>2.14</v>
      </c>
      <c r="I346" s="15">
        <f t="shared" si="161"/>
        <v>0</v>
      </c>
      <c r="J346" s="15">
        <f t="shared" si="165"/>
        <v>3431.1689999999999</v>
      </c>
      <c r="K346" s="15">
        <f t="shared" si="164"/>
        <v>3431.1689999999999</v>
      </c>
    </row>
    <row r="347" spans="1:11" ht="29" customHeight="1">
      <c r="A347" s="12" t="s">
        <v>1492</v>
      </c>
      <c r="B347" s="13" t="s">
        <v>669</v>
      </c>
      <c r="C347" s="11"/>
      <c r="D347" s="14" t="s">
        <v>1486</v>
      </c>
      <c r="E347" s="14"/>
      <c r="F347" s="15">
        <v>3479.07</v>
      </c>
      <c r="G347" s="15">
        <f t="shared" si="163"/>
        <v>3479.07</v>
      </c>
      <c r="H347" s="196">
        <v>0.87</v>
      </c>
      <c r="I347" s="15">
        <f t="shared" si="161"/>
        <v>0</v>
      </c>
      <c r="J347" s="15">
        <f t="shared" si="165"/>
        <v>3026.7909</v>
      </c>
      <c r="K347" s="15">
        <f t="shared" si="164"/>
        <v>3026.7909</v>
      </c>
    </row>
    <row r="348" spans="1:11" ht="28" customHeight="1">
      <c r="A348" s="12" t="s">
        <v>1493</v>
      </c>
      <c r="B348" s="13" t="s">
        <v>662</v>
      </c>
      <c r="C348" s="11"/>
      <c r="D348" s="14" t="s">
        <v>87</v>
      </c>
      <c r="E348" s="14"/>
      <c r="F348" s="15">
        <v>53.45</v>
      </c>
      <c r="G348" s="15">
        <f t="shared" si="163"/>
        <v>53.45</v>
      </c>
      <c r="H348" s="196">
        <v>1248.29</v>
      </c>
      <c r="I348" s="15">
        <f t="shared" si="161"/>
        <v>0</v>
      </c>
      <c r="J348" s="15">
        <f t="shared" si="165"/>
        <v>66721.1005</v>
      </c>
      <c r="K348" s="15">
        <f t="shared" si="164"/>
        <v>66721.1005</v>
      </c>
    </row>
    <row r="349" spans="1:11" ht="17.5" customHeight="1">
      <c r="A349" s="12" t="s">
        <v>1494</v>
      </c>
      <c r="B349" s="13" t="s">
        <v>663</v>
      </c>
      <c r="C349" s="11"/>
      <c r="D349" s="14" t="s">
        <v>124</v>
      </c>
      <c r="E349" s="14"/>
      <c r="F349" s="15">
        <v>1781.5</v>
      </c>
      <c r="G349" s="15">
        <f t="shared" si="163"/>
        <v>1781.5</v>
      </c>
      <c r="H349" s="196">
        <v>2.83</v>
      </c>
      <c r="I349" s="15">
        <f t="shared" si="161"/>
        <v>0</v>
      </c>
      <c r="J349" s="15">
        <f t="shared" si="165"/>
        <v>5041.6450000000004</v>
      </c>
      <c r="K349" s="15">
        <f t="shared" si="164"/>
        <v>5041.6450000000004</v>
      </c>
    </row>
    <row r="350" spans="1:11">
      <c r="A350" s="8" t="s">
        <v>948</v>
      </c>
      <c r="B350" s="9" t="s">
        <v>670</v>
      </c>
      <c r="C350" s="8"/>
      <c r="D350" s="8"/>
      <c r="E350" s="8"/>
      <c r="F350" s="203"/>
      <c r="G350" s="203"/>
      <c r="H350" s="195"/>
      <c r="I350" s="195"/>
      <c r="J350" s="10">
        <f>SUM(J351:J356)</f>
        <v>81889.934400000013</v>
      </c>
      <c r="K350" s="10">
        <f>SUM(K351:K356)</f>
        <v>81889.934400000013</v>
      </c>
    </row>
    <row r="351" spans="1:11">
      <c r="A351" s="12" t="s">
        <v>949</v>
      </c>
      <c r="B351" s="13" t="s">
        <v>659</v>
      </c>
      <c r="C351" s="11"/>
      <c r="D351" s="15" t="s">
        <v>124</v>
      </c>
      <c r="E351" s="14"/>
      <c r="F351" s="15">
        <v>1781.5</v>
      </c>
      <c r="G351" s="15">
        <f t="shared" ref="G351:G356" si="166">F351-E351</f>
        <v>1781.5</v>
      </c>
      <c r="H351" s="196">
        <v>1.75</v>
      </c>
      <c r="I351" s="15">
        <f t="shared" si="161"/>
        <v>0</v>
      </c>
      <c r="J351" s="15">
        <f>H351*F351</f>
        <v>3117.625</v>
      </c>
      <c r="K351" s="15">
        <f t="shared" ref="K351:K356" si="167">G351*H351</f>
        <v>3117.625</v>
      </c>
    </row>
    <row r="352" spans="1:11" ht="26">
      <c r="A352" s="12" t="s">
        <v>950</v>
      </c>
      <c r="B352" s="13" t="s">
        <v>660</v>
      </c>
      <c r="C352" s="11"/>
      <c r="D352" s="15" t="s">
        <v>87</v>
      </c>
      <c r="E352" s="14"/>
      <c r="F352" s="15">
        <v>53.45</v>
      </c>
      <c r="G352" s="15">
        <f t="shared" si="166"/>
        <v>53.45</v>
      </c>
      <c r="H352" s="196">
        <v>10.32</v>
      </c>
      <c r="I352" s="15">
        <f t="shared" si="161"/>
        <v>0</v>
      </c>
      <c r="J352" s="15">
        <f t="shared" ref="J352:J356" si="168">H352*F352</f>
        <v>551.60400000000004</v>
      </c>
      <c r="K352" s="15">
        <f t="shared" si="167"/>
        <v>551.60400000000004</v>
      </c>
    </row>
    <row r="353" spans="1:11" ht="28.5" customHeight="1">
      <c r="A353" s="12" t="s">
        <v>951</v>
      </c>
      <c r="B353" s="13" t="s">
        <v>661</v>
      </c>
      <c r="C353" s="11"/>
      <c r="D353" s="15" t="s">
        <v>1486</v>
      </c>
      <c r="E353" s="14"/>
      <c r="F353" s="15">
        <v>1603.35</v>
      </c>
      <c r="G353" s="15">
        <f t="shared" si="166"/>
        <v>1603.35</v>
      </c>
      <c r="H353" s="196">
        <v>2.14</v>
      </c>
      <c r="I353" s="15">
        <f t="shared" si="161"/>
        <v>0</v>
      </c>
      <c r="J353" s="15">
        <f t="shared" si="168"/>
        <v>3431.1689999999999</v>
      </c>
      <c r="K353" s="15">
        <f t="shared" si="167"/>
        <v>3431.1689999999999</v>
      </c>
    </row>
    <row r="354" spans="1:11" ht="32.5" customHeight="1">
      <c r="A354" s="12" t="s">
        <v>952</v>
      </c>
      <c r="B354" s="19" t="s">
        <v>669</v>
      </c>
      <c r="C354" s="11"/>
      <c r="D354" s="192" t="s">
        <v>1486</v>
      </c>
      <c r="E354" s="193"/>
      <c r="F354" s="15">
        <v>3479.07</v>
      </c>
      <c r="G354" s="15">
        <f t="shared" si="166"/>
        <v>3479.07</v>
      </c>
      <c r="H354" s="197">
        <v>0.87</v>
      </c>
      <c r="I354" s="15">
        <f t="shared" si="161"/>
        <v>0</v>
      </c>
      <c r="J354" s="15">
        <f t="shared" si="168"/>
        <v>3026.7909</v>
      </c>
      <c r="K354" s="15">
        <f t="shared" si="167"/>
        <v>3026.7909</v>
      </c>
    </row>
    <row r="355" spans="1:11" ht="26.5">
      <c r="A355" s="12" t="s">
        <v>953</v>
      </c>
      <c r="B355" s="19" t="s">
        <v>671</v>
      </c>
      <c r="C355" s="11"/>
      <c r="D355" s="15" t="s">
        <v>87</v>
      </c>
      <c r="E355" s="14"/>
      <c r="F355" s="15">
        <v>53.45</v>
      </c>
      <c r="G355" s="15">
        <f t="shared" si="166"/>
        <v>53.45</v>
      </c>
      <c r="H355" s="196">
        <v>1248.29</v>
      </c>
      <c r="I355" s="15">
        <f t="shared" si="161"/>
        <v>0</v>
      </c>
      <c r="J355" s="15">
        <f t="shared" si="168"/>
        <v>66721.1005</v>
      </c>
      <c r="K355" s="15">
        <f t="shared" si="167"/>
        <v>66721.1005</v>
      </c>
    </row>
    <row r="356" spans="1:11" ht="16.5" customHeight="1">
      <c r="A356" s="12" t="s">
        <v>954</v>
      </c>
      <c r="B356" s="17" t="s">
        <v>672</v>
      </c>
      <c r="C356" s="11" t="s">
        <v>87</v>
      </c>
      <c r="D356" s="15" t="s">
        <v>124</v>
      </c>
      <c r="E356" s="14"/>
      <c r="F356" s="15">
        <v>1781.5</v>
      </c>
      <c r="G356" s="15">
        <f t="shared" si="166"/>
        <v>1781.5</v>
      </c>
      <c r="H356" s="196">
        <v>2.83</v>
      </c>
      <c r="I356" s="15">
        <f t="shared" si="161"/>
        <v>0</v>
      </c>
      <c r="J356" s="15">
        <f t="shared" si="168"/>
        <v>5041.6450000000004</v>
      </c>
      <c r="K356" s="15">
        <f t="shared" si="167"/>
        <v>5041.6450000000004</v>
      </c>
    </row>
    <row r="357" spans="1:11">
      <c r="A357" s="8" t="s">
        <v>955</v>
      </c>
      <c r="B357" s="9" t="s">
        <v>107</v>
      </c>
      <c r="C357" s="8"/>
      <c r="D357" s="8"/>
      <c r="E357" s="8"/>
      <c r="F357" s="203"/>
      <c r="G357" s="203"/>
      <c r="H357" s="195"/>
      <c r="I357" s="195"/>
      <c r="J357" s="10">
        <f>SUM(J358:J360)</f>
        <v>0</v>
      </c>
      <c r="K357" s="10">
        <f>SUM(K358:K360)</f>
        <v>0</v>
      </c>
    </row>
    <row r="358" spans="1:11" ht="39">
      <c r="A358" s="12" t="s">
        <v>956</v>
      </c>
      <c r="B358" s="13" t="s">
        <v>674</v>
      </c>
      <c r="C358" s="11" t="s">
        <v>33</v>
      </c>
      <c r="D358" s="14" t="s">
        <v>1487</v>
      </c>
      <c r="E358" s="14"/>
      <c r="F358" s="15"/>
      <c r="G358" s="15">
        <f>F358-E358</f>
        <v>0</v>
      </c>
      <c r="H358" s="196">
        <v>625.09</v>
      </c>
      <c r="I358" s="15">
        <f t="shared" si="161"/>
        <v>0</v>
      </c>
      <c r="J358" s="15">
        <f>H358*F358</f>
        <v>0</v>
      </c>
      <c r="K358" s="15">
        <f t="shared" ref="K358:K360" si="169">G358*H358</f>
        <v>0</v>
      </c>
    </row>
    <row r="359" spans="1:11" ht="17" customHeight="1">
      <c r="A359" s="12" t="s">
        <v>957</v>
      </c>
      <c r="B359" s="194" t="s">
        <v>680</v>
      </c>
      <c r="C359" s="11" t="s">
        <v>33</v>
      </c>
      <c r="D359" s="14" t="s">
        <v>124</v>
      </c>
      <c r="E359" s="14"/>
      <c r="F359" s="15"/>
      <c r="G359" s="15">
        <f>F359-E359</f>
        <v>0</v>
      </c>
      <c r="H359" s="196">
        <v>16.260000000000002</v>
      </c>
      <c r="I359" s="15">
        <f t="shared" si="161"/>
        <v>0</v>
      </c>
      <c r="J359" s="15">
        <f t="shared" ref="J359:J360" si="170">H359*F359</f>
        <v>0</v>
      </c>
      <c r="K359" s="15">
        <f t="shared" si="169"/>
        <v>0</v>
      </c>
    </row>
    <row r="360" spans="1:11" ht="16.5" customHeight="1">
      <c r="A360" s="12" t="s">
        <v>958</v>
      </c>
      <c r="B360" s="13" t="s">
        <v>675</v>
      </c>
      <c r="C360" s="11" t="s">
        <v>33</v>
      </c>
      <c r="D360" s="14" t="s">
        <v>124</v>
      </c>
      <c r="E360" s="14"/>
      <c r="F360" s="15"/>
      <c r="G360" s="15">
        <f>F360-E360</f>
        <v>0</v>
      </c>
      <c r="H360" s="196">
        <v>4.5599999999999996</v>
      </c>
      <c r="I360" s="15">
        <f t="shared" si="161"/>
        <v>0</v>
      </c>
      <c r="J360" s="15">
        <f t="shared" si="170"/>
        <v>0</v>
      </c>
      <c r="K360" s="15">
        <f t="shared" si="169"/>
        <v>0</v>
      </c>
    </row>
    <row r="361" spans="1:11">
      <c r="A361" s="8" t="s">
        <v>959</v>
      </c>
      <c r="B361" s="9" t="s">
        <v>678</v>
      </c>
      <c r="C361" s="8"/>
      <c r="D361" s="8"/>
      <c r="E361" s="8"/>
      <c r="F361" s="203"/>
      <c r="G361" s="203"/>
      <c r="H361" s="195"/>
      <c r="I361" s="195"/>
      <c r="J361" s="10">
        <f>SUM(J362:J363)</f>
        <v>3117.625</v>
      </c>
      <c r="K361" s="10">
        <f>SUM(K362:K363)</f>
        <v>3117.625</v>
      </c>
    </row>
    <row r="362" spans="1:11">
      <c r="A362" s="12" t="s">
        <v>960</v>
      </c>
      <c r="B362" s="13" t="s">
        <v>659</v>
      </c>
      <c r="C362" s="11" t="s">
        <v>11</v>
      </c>
      <c r="D362" s="14" t="s">
        <v>124</v>
      </c>
      <c r="E362" s="14"/>
      <c r="F362" s="15">
        <v>1781.5</v>
      </c>
      <c r="G362" s="15">
        <f>F362-E362</f>
        <v>1781.5</v>
      </c>
      <c r="H362" s="196">
        <v>1.75</v>
      </c>
      <c r="I362" s="15">
        <f t="shared" si="161"/>
        <v>0</v>
      </c>
      <c r="J362" s="15">
        <f>H362*F362</f>
        <v>3117.625</v>
      </c>
      <c r="K362" s="15">
        <f t="shared" ref="K362:K363" si="171">G362*H362</f>
        <v>3117.625</v>
      </c>
    </row>
    <row r="363" spans="1:11">
      <c r="A363" s="12" t="s">
        <v>961</v>
      </c>
      <c r="B363" s="13" t="s">
        <v>679</v>
      </c>
      <c r="C363" s="11" t="s">
        <v>11</v>
      </c>
      <c r="D363" s="14" t="s">
        <v>1487</v>
      </c>
      <c r="E363" s="14"/>
      <c r="F363" s="15"/>
      <c r="G363" s="15">
        <f>F363-E363</f>
        <v>0</v>
      </c>
      <c r="H363" s="196">
        <v>92.34</v>
      </c>
      <c r="I363" s="15">
        <f t="shared" si="161"/>
        <v>0</v>
      </c>
      <c r="J363" s="15">
        <f>H363*F363</f>
        <v>0</v>
      </c>
      <c r="K363" s="15">
        <f t="shared" si="171"/>
        <v>0</v>
      </c>
    </row>
    <row r="364" spans="1:11">
      <c r="A364" s="184">
        <v>14</v>
      </c>
      <c r="B364" s="191" t="s">
        <v>1467</v>
      </c>
      <c r="C364" s="184"/>
      <c r="D364" s="184"/>
      <c r="E364" s="184"/>
      <c r="F364" s="202"/>
      <c r="G364" s="202"/>
      <c r="H364" s="198"/>
      <c r="I364" s="185">
        <f>SUM(I365,I368,I370,I377,I384,I388)</f>
        <v>59348.381399999991</v>
      </c>
      <c r="J364" s="185">
        <f>SUM(J365,J368,J370,J377,J384,J388)</f>
        <v>59348.381399999991</v>
      </c>
      <c r="K364" s="185">
        <f>SUM(K365,K368,K370,K377,K384,K388)</f>
        <v>0</v>
      </c>
    </row>
    <row r="365" spans="1:11">
      <c r="A365" s="8" t="s">
        <v>962</v>
      </c>
      <c r="B365" s="9" t="s">
        <v>8</v>
      </c>
      <c r="C365" s="8"/>
      <c r="D365" s="8"/>
      <c r="E365" s="8"/>
      <c r="F365" s="203"/>
      <c r="G365" s="203"/>
      <c r="H365" s="195"/>
      <c r="I365" s="10">
        <f>SUM(I366:I367)</f>
        <v>4669.5509000000002</v>
      </c>
      <c r="J365" s="10">
        <f>SUM(J366:J367)</f>
        <v>4669.5509000000002</v>
      </c>
      <c r="K365" s="10">
        <f>SUM(K366:K367)</f>
        <v>0</v>
      </c>
    </row>
    <row r="366" spans="1:11" ht="26">
      <c r="A366" s="12" t="s">
        <v>963</v>
      </c>
      <c r="B366" s="13" t="s">
        <v>653</v>
      </c>
      <c r="C366" s="11" t="s">
        <v>13</v>
      </c>
      <c r="D366" s="14" t="s">
        <v>124</v>
      </c>
      <c r="E366" s="14">
        <f>F366</f>
        <v>583.87</v>
      </c>
      <c r="F366" s="15">
        <v>583.87</v>
      </c>
      <c r="G366" s="15">
        <f>F366-E366</f>
        <v>0</v>
      </c>
      <c r="H366" s="196">
        <v>0.36</v>
      </c>
      <c r="I366" s="15">
        <f>H366*E366</f>
        <v>210.19319999999999</v>
      </c>
      <c r="J366" s="15">
        <f>H366*F366</f>
        <v>210.19319999999999</v>
      </c>
      <c r="K366" s="15">
        <f t="shared" ref="K366:K367" si="172">G366*H366</f>
        <v>0</v>
      </c>
    </row>
    <row r="367" spans="1:11" ht="52">
      <c r="A367" s="12" t="s">
        <v>964</v>
      </c>
      <c r="B367" s="13" t="s">
        <v>650</v>
      </c>
      <c r="C367" s="11" t="s">
        <v>11</v>
      </c>
      <c r="D367" s="14" t="s">
        <v>124</v>
      </c>
      <c r="E367" s="14">
        <f>F367</f>
        <v>72.31</v>
      </c>
      <c r="F367" s="15">
        <v>72.31</v>
      </c>
      <c r="G367" s="15">
        <f>F367-E367</f>
        <v>0</v>
      </c>
      <c r="H367" s="196">
        <v>61.67</v>
      </c>
      <c r="I367" s="15">
        <f>H367*E367</f>
        <v>4459.3577000000005</v>
      </c>
      <c r="J367" s="15">
        <f>H367*F367</f>
        <v>4459.3577000000005</v>
      </c>
      <c r="K367" s="15">
        <f t="shared" si="172"/>
        <v>0</v>
      </c>
    </row>
    <row r="368" spans="1:11">
      <c r="A368" s="8" t="s">
        <v>965</v>
      </c>
      <c r="B368" s="9" t="s">
        <v>655</v>
      </c>
      <c r="C368" s="8"/>
      <c r="D368" s="8"/>
      <c r="E368" s="8"/>
      <c r="F368" s="203"/>
      <c r="G368" s="203"/>
      <c r="H368" s="195"/>
      <c r="I368" s="10">
        <f>SUM(I369:I369)</f>
        <v>221.8706</v>
      </c>
      <c r="J368" s="10">
        <f>SUM(J369:J369)</f>
        <v>221.8706</v>
      </c>
      <c r="K368" s="10">
        <f>SUM(K369:K369)</f>
        <v>0</v>
      </c>
    </row>
    <row r="369" spans="1:11" ht="26">
      <c r="A369" s="12" t="s">
        <v>966</v>
      </c>
      <c r="B369" s="13" t="s">
        <v>656</v>
      </c>
      <c r="C369" s="11"/>
      <c r="D369" s="14" t="s">
        <v>124</v>
      </c>
      <c r="E369" s="14">
        <f>F369</f>
        <v>583.87</v>
      </c>
      <c r="F369" s="15">
        <v>583.87</v>
      </c>
      <c r="G369" s="15">
        <f>F369-E369</f>
        <v>0</v>
      </c>
      <c r="H369" s="196">
        <v>0.38</v>
      </c>
      <c r="I369" s="15">
        <f t="shared" ref="I369:I390" si="173">H369*E369</f>
        <v>221.8706</v>
      </c>
      <c r="J369" s="15">
        <f>H369*F369</f>
        <v>221.8706</v>
      </c>
      <c r="K369" s="15">
        <f t="shared" ref="K369" si="174">G369*H369</f>
        <v>0</v>
      </c>
    </row>
    <row r="370" spans="1:11">
      <c r="A370" s="8" t="s">
        <v>967</v>
      </c>
      <c r="B370" s="9" t="s">
        <v>658</v>
      </c>
      <c r="C370" s="8"/>
      <c r="D370" s="8"/>
      <c r="E370" s="8"/>
      <c r="F370" s="203"/>
      <c r="G370" s="203"/>
      <c r="H370" s="195"/>
      <c r="I370" s="10">
        <f>SUM(I371:I376)</f>
        <v>26717.593699999998</v>
      </c>
      <c r="J370" s="10">
        <f>SUM(J371:J376)</f>
        <v>26717.593699999998</v>
      </c>
      <c r="K370" s="10">
        <f>SUM(K371:K376)</f>
        <v>0</v>
      </c>
    </row>
    <row r="371" spans="1:11">
      <c r="A371" s="12" t="s">
        <v>968</v>
      </c>
      <c r="B371" s="13" t="s">
        <v>659</v>
      </c>
      <c r="C371" s="11"/>
      <c r="D371" s="14" t="s">
        <v>124</v>
      </c>
      <c r="E371" s="14">
        <f>F371</f>
        <v>583.87</v>
      </c>
      <c r="F371" s="15">
        <v>583.87</v>
      </c>
      <c r="G371" s="15">
        <f t="shared" ref="G371:G376" si="175">F371-E371</f>
        <v>0</v>
      </c>
      <c r="H371" s="196">
        <v>1.75</v>
      </c>
      <c r="I371" s="15">
        <f t="shared" si="173"/>
        <v>1021.7725</v>
      </c>
      <c r="J371" s="15">
        <f>H371*F371</f>
        <v>1021.7725</v>
      </c>
      <c r="K371" s="15">
        <f t="shared" ref="K371:K376" si="176">G371*H371</f>
        <v>0</v>
      </c>
    </row>
    <row r="372" spans="1:11" ht="26">
      <c r="A372" s="12" t="s">
        <v>969</v>
      </c>
      <c r="B372" s="13" t="s">
        <v>660</v>
      </c>
      <c r="C372" s="11"/>
      <c r="D372" s="14" t="s">
        <v>87</v>
      </c>
      <c r="E372" s="14">
        <f t="shared" ref="E372:E376" si="177">F372</f>
        <v>17.52</v>
      </c>
      <c r="F372" s="15">
        <v>17.52</v>
      </c>
      <c r="G372" s="15">
        <f t="shared" si="175"/>
        <v>0</v>
      </c>
      <c r="H372" s="196">
        <v>10.32</v>
      </c>
      <c r="I372" s="15">
        <f t="shared" si="173"/>
        <v>180.8064</v>
      </c>
      <c r="J372" s="15">
        <f t="shared" ref="J372:J376" si="178">H372*F372</f>
        <v>180.8064</v>
      </c>
      <c r="K372" s="15">
        <f t="shared" si="176"/>
        <v>0</v>
      </c>
    </row>
    <row r="373" spans="1:11" ht="28.5" customHeight="1">
      <c r="A373" s="12" t="s">
        <v>970</v>
      </c>
      <c r="B373" s="13" t="s">
        <v>661</v>
      </c>
      <c r="C373" s="11"/>
      <c r="D373" s="14" t="s">
        <v>1486</v>
      </c>
      <c r="E373" s="14">
        <f t="shared" si="177"/>
        <v>525.48</v>
      </c>
      <c r="F373" s="15">
        <v>525.48</v>
      </c>
      <c r="G373" s="15">
        <f t="shared" si="175"/>
        <v>0</v>
      </c>
      <c r="H373" s="196">
        <v>2.14</v>
      </c>
      <c r="I373" s="15">
        <f t="shared" si="173"/>
        <v>1124.5272</v>
      </c>
      <c r="J373" s="15">
        <f t="shared" si="178"/>
        <v>1124.5272</v>
      </c>
      <c r="K373" s="15">
        <f t="shared" si="176"/>
        <v>0</v>
      </c>
    </row>
    <row r="374" spans="1:11" ht="29" customHeight="1">
      <c r="A374" s="12" t="s">
        <v>971</v>
      </c>
      <c r="B374" s="13" t="s">
        <v>669</v>
      </c>
      <c r="C374" s="11"/>
      <c r="D374" s="14" t="s">
        <v>1486</v>
      </c>
      <c r="E374" s="14">
        <f t="shared" si="177"/>
        <v>997.81</v>
      </c>
      <c r="F374" s="15">
        <v>997.81</v>
      </c>
      <c r="G374" s="15">
        <f t="shared" si="175"/>
        <v>0</v>
      </c>
      <c r="H374" s="196">
        <v>0.87</v>
      </c>
      <c r="I374" s="15">
        <f t="shared" si="173"/>
        <v>868.09469999999999</v>
      </c>
      <c r="J374" s="15">
        <f t="shared" si="178"/>
        <v>868.09469999999999</v>
      </c>
      <c r="K374" s="15">
        <f t="shared" si="176"/>
        <v>0</v>
      </c>
    </row>
    <row r="375" spans="1:11" ht="28" customHeight="1">
      <c r="A375" s="12" t="s">
        <v>972</v>
      </c>
      <c r="B375" s="13" t="s">
        <v>662</v>
      </c>
      <c r="C375" s="11"/>
      <c r="D375" s="14" t="s">
        <v>87</v>
      </c>
      <c r="E375" s="14">
        <f t="shared" si="177"/>
        <v>17.52</v>
      </c>
      <c r="F375" s="15">
        <v>17.52</v>
      </c>
      <c r="G375" s="15">
        <f t="shared" si="175"/>
        <v>0</v>
      </c>
      <c r="H375" s="196">
        <v>1248.29</v>
      </c>
      <c r="I375" s="15">
        <f t="shared" si="173"/>
        <v>21870.040799999999</v>
      </c>
      <c r="J375" s="15">
        <f t="shared" si="178"/>
        <v>21870.040799999999</v>
      </c>
      <c r="K375" s="15">
        <f t="shared" si="176"/>
        <v>0</v>
      </c>
    </row>
    <row r="376" spans="1:11" ht="17.5" customHeight="1">
      <c r="A376" s="12" t="s">
        <v>973</v>
      </c>
      <c r="B376" s="13" t="s">
        <v>663</v>
      </c>
      <c r="C376" s="11"/>
      <c r="D376" s="14" t="s">
        <v>124</v>
      </c>
      <c r="E376" s="14">
        <f t="shared" si="177"/>
        <v>583.87</v>
      </c>
      <c r="F376" s="15">
        <v>583.87</v>
      </c>
      <c r="G376" s="15">
        <f t="shared" si="175"/>
        <v>0</v>
      </c>
      <c r="H376" s="196">
        <v>2.83</v>
      </c>
      <c r="I376" s="15">
        <f t="shared" si="173"/>
        <v>1652.3521000000001</v>
      </c>
      <c r="J376" s="15">
        <f t="shared" si="178"/>
        <v>1652.3521000000001</v>
      </c>
      <c r="K376" s="15">
        <f t="shared" si="176"/>
        <v>0</v>
      </c>
    </row>
    <row r="377" spans="1:11">
      <c r="A377" s="8" t="s">
        <v>974</v>
      </c>
      <c r="B377" s="9" t="s">
        <v>670</v>
      </c>
      <c r="C377" s="8"/>
      <c r="D377" s="8"/>
      <c r="E377" s="8"/>
      <c r="F377" s="203"/>
      <c r="G377" s="203"/>
      <c r="H377" s="195"/>
      <c r="I377" s="10">
        <f>SUM(I378:I383)</f>
        <v>26717.593699999998</v>
      </c>
      <c r="J377" s="10">
        <f>SUM(J378:J383)</f>
        <v>26717.593699999998</v>
      </c>
      <c r="K377" s="10">
        <f>SUM(K378:K383)</f>
        <v>0</v>
      </c>
    </row>
    <row r="378" spans="1:11">
      <c r="A378" s="12" t="s">
        <v>975</v>
      </c>
      <c r="B378" s="13" t="s">
        <v>659</v>
      </c>
      <c r="C378" s="11"/>
      <c r="D378" s="15" t="s">
        <v>124</v>
      </c>
      <c r="E378" s="14">
        <f>F378</f>
        <v>583.87</v>
      </c>
      <c r="F378" s="15">
        <v>583.87</v>
      </c>
      <c r="G378" s="15">
        <f t="shared" ref="G378:G383" si="179">F378-E378</f>
        <v>0</v>
      </c>
      <c r="H378" s="196">
        <v>1.75</v>
      </c>
      <c r="I378" s="15">
        <f t="shared" si="173"/>
        <v>1021.7725</v>
      </c>
      <c r="J378" s="15">
        <f>H378*F378</f>
        <v>1021.7725</v>
      </c>
      <c r="K378" s="15">
        <f t="shared" ref="K378:K383" si="180">G378*H378</f>
        <v>0</v>
      </c>
    </row>
    <row r="379" spans="1:11" ht="26">
      <c r="A379" s="12" t="s">
        <v>976</v>
      </c>
      <c r="B379" s="13" t="s">
        <v>660</v>
      </c>
      <c r="C379" s="11"/>
      <c r="D379" s="15" t="s">
        <v>87</v>
      </c>
      <c r="E379" s="14">
        <f t="shared" ref="E379:E383" si="181">F379</f>
        <v>17.52</v>
      </c>
      <c r="F379" s="199">
        <v>17.52</v>
      </c>
      <c r="G379" s="15">
        <f t="shared" si="179"/>
        <v>0</v>
      </c>
      <c r="H379" s="196">
        <v>10.32</v>
      </c>
      <c r="I379" s="15">
        <f t="shared" si="173"/>
        <v>180.8064</v>
      </c>
      <c r="J379" s="15">
        <f t="shared" ref="J379:J383" si="182">H379*F379</f>
        <v>180.8064</v>
      </c>
      <c r="K379" s="15">
        <f t="shared" si="180"/>
        <v>0</v>
      </c>
    </row>
    <row r="380" spans="1:11" ht="28.5" customHeight="1">
      <c r="A380" s="12" t="s">
        <v>977</v>
      </c>
      <c r="B380" s="13" t="s">
        <v>661</v>
      </c>
      <c r="C380" s="11"/>
      <c r="D380" s="15" t="s">
        <v>1486</v>
      </c>
      <c r="E380" s="14">
        <f t="shared" si="181"/>
        <v>525.48</v>
      </c>
      <c r="F380" s="199">
        <v>525.48</v>
      </c>
      <c r="G380" s="15">
        <f t="shared" si="179"/>
        <v>0</v>
      </c>
      <c r="H380" s="196">
        <v>2.14</v>
      </c>
      <c r="I380" s="15">
        <f t="shared" si="173"/>
        <v>1124.5272</v>
      </c>
      <c r="J380" s="15">
        <f t="shared" si="182"/>
        <v>1124.5272</v>
      </c>
      <c r="K380" s="15">
        <f t="shared" si="180"/>
        <v>0</v>
      </c>
    </row>
    <row r="381" spans="1:11" ht="32.5" customHeight="1">
      <c r="A381" s="12" t="s">
        <v>978</v>
      </c>
      <c r="B381" s="19" t="s">
        <v>669</v>
      </c>
      <c r="C381" s="11"/>
      <c r="D381" s="192" t="s">
        <v>1486</v>
      </c>
      <c r="E381" s="14">
        <f t="shared" si="181"/>
        <v>997.81</v>
      </c>
      <c r="F381" s="204">
        <v>997.81</v>
      </c>
      <c r="G381" s="15">
        <f t="shared" si="179"/>
        <v>0</v>
      </c>
      <c r="H381" s="197">
        <v>0.87</v>
      </c>
      <c r="I381" s="15">
        <f t="shared" si="173"/>
        <v>868.09469999999999</v>
      </c>
      <c r="J381" s="15">
        <f t="shared" si="182"/>
        <v>868.09469999999999</v>
      </c>
      <c r="K381" s="15">
        <f t="shared" si="180"/>
        <v>0</v>
      </c>
    </row>
    <row r="382" spans="1:11" ht="26.5">
      <c r="A382" s="12" t="s">
        <v>979</v>
      </c>
      <c r="B382" s="19" t="s">
        <v>671</v>
      </c>
      <c r="C382" s="11"/>
      <c r="D382" s="15" t="s">
        <v>87</v>
      </c>
      <c r="E382" s="14">
        <f t="shared" si="181"/>
        <v>17.52</v>
      </c>
      <c r="F382" s="199">
        <v>17.52</v>
      </c>
      <c r="G382" s="15">
        <f t="shared" si="179"/>
        <v>0</v>
      </c>
      <c r="H382" s="196">
        <v>1248.29</v>
      </c>
      <c r="I382" s="15">
        <f t="shared" si="173"/>
        <v>21870.040799999999</v>
      </c>
      <c r="J382" s="15">
        <f t="shared" si="182"/>
        <v>21870.040799999999</v>
      </c>
      <c r="K382" s="15">
        <f t="shared" si="180"/>
        <v>0</v>
      </c>
    </row>
    <row r="383" spans="1:11" ht="16.5" customHeight="1">
      <c r="A383" s="12" t="s">
        <v>980</v>
      </c>
      <c r="B383" s="17" t="s">
        <v>672</v>
      </c>
      <c r="C383" s="11" t="s">
        <v>87</v>
      </c>
      <c r="D383" s="15" t="s">
        <v>124</v>
      </c>
      <c r="E383" s="14">
        <f t="shared" si="181"/>
        <v>583.87</v>
      </c>
      <c r="F383" s="199">
        <v>583.87</v>
      </c>
      <c r="G383" s="15">
        <f t="shared" si="179"/>
        <v>0</v>
      </c>
      <c r="H383" s="196">
        <v>2.83</v>
      </c>
      <c r="I383" s="15">
        <f t="shared" si="173"/>
        <v>1652.3521000000001</v>
      </c>
      <c r="J383" s="15">
        <f t="shared" si="182"/>
        <v>1652.3521000000001</v>
      </c>
      <c r="K383" s="15">
        <f t="shared" si="180"/>
        <v>0</v>
      </c>
    </row>
    <row r="384" spans="1:11">
      <c r="A384" s="8" t="s">
        <v>981</v>
      </c>
      <c r="B384" s="9" t="s">
        <v>107</v>
      </c>
      <c r="C384" s="8"/>
      <c r="D384" s="8"/>
      <c r="E384" s="8"/>
      <c r="F384" s="203"/>
      <c r="G384" s="203"/>
      <c r="H384" s="195"/>
      <c r="I384" s="10">
        <f>SUM(I385:I387)</f>
        <v>0</v>
      </c>
      <c r="J384" s="10">
        <f>SUM(J385:J387)</f>
        <v>0</v>
      </c>
      <c r="K384" s="10">
        <f>SUM(K385:K387)</f>
        <v>0</v>
      </c>
    </row>
    <row r="385" spans="1:11" ht="39">
      <c r="A385" s="12" t="s">
        <v>982</v>
      </c>
      <c r="B385" s="13" t="s">
        <v>674</v>
      </c>
      <c r="C385" s="11" t="s">
        <v>33</v>
      </c>
      <c r="D385" s="14" t="s">
        <v>1487</v>
      </c>
      <c r="E385" s="14"/>
      <c r="F385" s="15"/>
      <c r="G385" s="15">
        <f>F385-E385</f>
        <v>0</v>
      </c>
      <c r="H385" s="196">
        <v>625.09</v>
      </c>
      <c r="I385" s="15">
        <f t="shared" si="173"/>
        <v>0</v>
      </c>
      <c r="J385" s="15">
        <f>H385*F385</f>
        <v>0</v>
      </c>
      <c r="K385" s="15">
        <f t="shared" ref="K385:K387" si="183">G385*H385</f>
        <v>0</v>
      </c>
    </row>
    <row r="386" spans="1:11" ht="17" customHeight="1">
      <c r="A386" s="12" t="s">
        <v>983</v>
      </c>
      <c r="B386" s="194" t="s">
        <v>680</v>
      </c>
      <c r="C386" s="11" t="s">
        <v>33</v>
      </c>
      <c r="D386" s="14" t="s">
        <v>124</v>
      </c>
      <c r="E386" s="14"/>
      <c r="F386" s="15"/>
      <c r="G386" s="15">
        <f>F386-E386</f>
        <v>0</v>
      </c>
      <c r="H386" s="196">
        <v>16.260000000000002</v>
      </c>
      <c r="I386" s="15">
        <f t="shared" si="173"/>
        <v>0</v>
      </c>
      <c r="J386" s="15">
        <f t="shared" ref="J386:J387" si="184">H386*F386</f>
        <v>0</v>
      </c>
      <c r="K386" s="15">
        <f t="shared" si="183"/>
        <v>0</v>
      </c>
    </row>
    <row r="387" spans="1:11" ht="16.5" customHeight="1">
      <c r="A387" s="12" t="s">
        <v>984</v>
      </c>
      <c r="B387" s="13" t="s">
        <v>675</v>
      </c>
      <c r="C387" s="11" t="s">
        <v>33</v>
      </c>
      <c r="D387" s="14" t="s">
        <v>124</v>
      </c>
      <c r="E387" s="14"/>
      <c r="F387" s="15"/>
      <c r="G387" s="15">
        <f>F387-E387</f>
        <v>0</v>
      </c>
      <c r="H387" s="196">
        <v>4.5599999999999996</v>
      </c>
      <c r="I387" s="15">
        <f t="shared" si="173"/>
        <v>0</v>
      </c>
      <c r="J387" s="15">
        <f t="shared" si="184"/>
        <v>0</v>
      </c>
      <c r="K387" s="15">
        <f t="shared" si="183"/>
        <v>0</v>
      </c>
    </row>
    <row r="388" spans="1:11">
      <c r="A388" s="8" t="s">
        <v>985</v>
      </c>
      <c r="B388" s="9" t="s">
        <v>678</v>
      </c>
      <c r="C388" s="8"/>
      <c r="D388" s="8"/>
      <c r="E388" s="8"/>
      <c r="F388" s="203"/>
      <c r="G388" s="203"/>
      <c r="H388" s="195"/>
      <c r="I388" s="10">
        <f>SUM(I389:I390)</f>
        <v>1021.7725</v>
      </c>
      <c r="J388" s="10">
        <f>SUM(J389:J390)</f>
        <v>1021.7725</v>
      </c>
      <c r="K388" s="10">
        <f>SUM(K389:K390)</f>
        <v>0</v>
      </c>
    </row>
    <row r="389" spans="1:11">
      <c r="A389" s="12" t="s">
        <v>986</v>
      </c>
      <c r="B389" s="13" t="s">
        <v>659</v>
      </c>
      <c r="C389" s="11" t="s">
        <v>11</v>
      </c>
      <c r="D389" s="14" t="s">
        <v>124</v>
      </c>
      <c r="E389" s="14">
        <f>F389</f>
        <v>583.87</v>
      </c>
      <c r="F389" s="15">
        <v>583.87</v>
      </c>
      <c r="G389" s="15">
        <f>F389-E389</f>
        <v>0</v>
      </c>
      <c r="H389" s="196">
        <v>1.75</v>
      </c>
      <c r="I389" s="15">
        <f t="shared" si="173"/>
        <v>1021.7725</v>
      </c>
      <c r="J389" s="15">
        <f>H389*F389</f>
        <v>1021.7725</v>
      </c>
      <c r="K389" s="15">
        <f t="shared" ref="K389:K390" si="185">G389*H389</f>
        <v>0</v>
      </c>
    </row>
    <row r="390" spans="1:11">
      <c r="A390" s="12" t="s">
        <v>987</v>
      </c>
      <c r="B390" s="13" t="s">
        <v>679</v>
      </c>
      <c r="C390" s="11" t="s">
        <v>11</v>
      </c>
      <c r="D390" s="14" t="s">
        <v>1487</v>
      </c>
      <c r="E390" s="14"/>
      <c r="F390" s="15"/>
      <c r="G390" s="15">
        <f>F390-E390</f>
        <v>0</v>
      </c>
      <c r="H390" s="196">
        <v>92.34</v>
      </c>
      <c r="I390" s="15">
        <f t="shared" si="173"/>
        <v>0</v>
      </c>
      <c r="J390" s="15">
        <f>H390*F390</f>
        <v>0</v>
      </c>
      <c r="K390" s="15">
        <f t="shared" si="185"/>
        <v>0</v>
      </c>
    </row>
    <row r="391" spans="1:11">
      <c r="A391" s="184">
        <v>15</v>
      </c>
      <c r="B391" s="191" t="s">
        <v>1468</v>
      </c>
      <c r="C391" s="184"/>
      <c r="D391" s="184"/>
      <c r="E391" s="184"/>
      <c r="F391" s="202"/>
      <c r="G391" s="202"/>
      <c r="H391" s="198"/>
      <c r="I391" s="185"/>
      <c r="J391" s="185">
        <f>SUM(J392,J395,J397,J404,J411,J415)</f>
        <v>59636.725200000008</v>
      </c>
      <c r="K391" s="185">
        <f>SUM(K392,K395,K397,K404,K411,K415)</f>
        <v>59636.725200000008</v>
      </c>
    </row>
    <row r="392" spans="1:11">
      <c r="A392" s="8" t="s">
        <v>988</v>
      </c>
      <c r="B392" s="9" t="s">
        <v>8</v>
      </c>
      <c r="C392" s="8"/>
      <c r="D392" s="8"/>
      <c r="E392" s="8"/>
      <c r="F392" s="203"/>
      <c r="G392" s="203"/>
      <c r="H392" s="195"/>
      <c r="I392" s="10"/>
      <c r="J392" s="10">
        <f>SUM(J393:J394)</f>
        <v>5439.8326999999999</v>
      </c>
      <c r="K392" s="10">
        <f>SUM(K393:K394)</f>
        <v>5439.8326999999999</v>
      </c>
    </row>
    <row r="393" spans="1:11" ht="26">
      <c r="A393" s="12" t="s">
        <v>989</v>
      </c>
      <c r="B393" s="13" t="s">
        <v>653</v>
      </c>
      <c r="C393" s="11" t="s">
        <v>13</v>
      </c>
      <c r="D393" s="14" t="s">
        <v>124</v>
      </c>
      <c r="E393" s="14"/>
      <c r="F393" s="15">
        <v>575.37</v>
      </c>
      <c r="G393" s="15">
        <f>F393-E393</f>
        <v>575.37</v>
      </c>
      <c r="H393" s="196">
        <v>0.36</v>
      </c>
      <c r="I393" s="15">
        <f>H393*E393</f>
        <v>0</v>
      </c>
      <c r="J393" s="15">
        <f>H393*F393</f>
        <v>207.13319999999999</v>
      </c>
      <c r="K393" s="15">
        <f t="shared" ref="K393:K394" si="186">G393*H393</f>
        <v>207.13319999999999</v>
      </c>
    </row>
    <row r="394" spans="1:11" ht="52">
      <c r="A394" s="12" t="s">
        <v>990</v>
      </c>
      <c r="B394" s="13" t="s">
        <v>650</v>
      </c>
      <c r="C394" s="11" t="s">
        <v>11</v>
      </c>
      <c r="D394" s="14" t="s">
        <v>124</v>
      </c>
      <c r="E394" s="14"/>
      <c r="F394" s="15">
        <v>84.85</v>
      </c>
      <c r="G394" s="15">
        <f>F394-E394</f>
        <v>84.85</v>
      </c>
      <c r="H394" s="196">
        <v>61.67</v>
      </c>
      <c r="I394" s="15">
        <f>H394*E394</f>
        <v>0</v>
      </c>
      <c r="J394" s="15">
        <f>H394*F394</f>
        <v>5232.6994999999997</v>
      </c>
      <c r="K394" s="15">
        <f t="shared" si="186"/>
        <v>5232.6994999999997</v>
      </c>
    </row>
    <row r="395" spans="1:11">
      <c r="A395" s="8" t="s">
        <v>991</v>
      </c>
      <c r="B395" s="9" t="s">
        <v>655</v>
      </c>
      <c r="C395" s="8"/>
      <c r="D395" s="8"/>
      <c r="E395" s="8"/>
      <c r="F395" s="203"/>
      <c r="G395" s="203"/>
      <c r="H395" s="195"/>
      <c r="I395" s="195"/>
      <c r="J395" s="10">
        <f>SUM(J396:J396)</f>
        <v>218.64060000000001</v>
      </c>
      <c r="K395" s="10">
        <f>SUM(K396:K396)</f>
        <v>218.64060000000001</v>
      </c>
    </row>
    <row r="396" spans="1:11" ht="26">
      <c r="A396" s="12" t="s">
        <v>992</v>
      </c>
      <c r="B396" s="13" t="s">
        <v>656</v>
      </c>
      <c r="C396" s="11"/>
      <c r="D396" s="14" t="s">
        <v>124</v>
      </c>
      <c r="E396" s="14"/>
      <c r="F396" s="15">
        <v>575.37</v>
      </c>
      <c r="G396" s="15">
        <f>F396-E396</f>
        <v>575.37</v>
      </c>
      <c r="H396" s="196">
        <v>0.38</v>
      </c>
      <c r="I396" s="15">
        <f t="shared" ref="I396:I417" si="187">H396*E396</f>
        <v>0</v>
      </c>
      <c r="J396" s="15">
        <f>H396*F396</f>
        <v>218.64060000000001</v>
      </c>
      <c r="K396" s="15">
        <f t="shared" ref="K396" si="188">G396*H396</f>
        <v>218.64060000000001</v>
      </c>
    </row>
    <row r="397" spans="1:11">
      <c r="A397" s="8" t="s">
        <v>993</v>
      </c>
      <c r="B397" s="9" t="s">
        <v>658</v>
      </c>
      <c r="C397" s="8"/>
      <c r="D397" s="8"/>
      <c r="E397" s="8"/>
      <c r="F397" s="203"/>
      <c r="G397" s="203"/>
      <c r="H397" s="195"/>
      <c r="I397" s="195"/>
      <c r="J397" s="10">
        <f>SUM(J398:J403)</f>
        <v>26485.677200000002</v>
      </c>
      <c r="K397" s="10">
        <f>SUM(K398:K403)</f>
        <v>26485.677200000002</v>
      </c>
    </row>
    <row r="398" spans="1:11">
      <c r="A398" s="12" t="s">
        <v>994</v>
      </c>
      <c r="B398" s="13" t="s">
        <v>659</v>
      </c>
      <c r="C398" s="11"/>
      <c r="D398" s="14" t="s">
        <v>124</v>
      </c>
      <c r="E398" s="14"/>
      <c r="F398" s="15">
        <v>575.37</v>
      </c>
      <c r="G398" s="15">
        <f t="shared" ref="G398:G403" si="189">F398-E398</f>
        <v>575.37</v>
      </c>
      <c r="H398" s="196">
        <v>1.75</v>
      </c>
      <c r="I398" s="15">
        <f t="shared" si="187"/>
        <v>0</v>
      </c>
      <c r="J398" s="15">
        <f>H398*F398</f>
        <v>1006.8975</v>
      </c>
      <c r="K398" s="15">
        <f t="shared" ref="K398:K403" si="190">G398*H398</f>
        <v>1006.8975</v>
      </c>
    </row>
    <row r="399" spans="1:11" ht="26">
      <c r="A399" s="12" t="s">
        <v>995</v>
      </c>
      <c r="B399" s="13" t="s">
        <v>660</v>
      </c>
      <c r="C399" s="11"/>
      <c r="D399" s="14" t="s">
        <v>87</v>
      </c>
      <c r="E399" s="14"/>
      <c r="F399" s="15">
        <v>17.260000000000002</v>
      </c>
      <c r="G399" s="15">
        <f t="shared" si="189"/>
        <v>17.260000000000002</v>
      </c>
      <c r="H399" s="196">
        <v>10.32</v>
      </c>
      <c r="I399" s="15">
        <f t="shared" si="187"/>
        <v>0</v>
      </c>
      <c r="J399" s="15">
        <f t="shared" ref="J399:J403" si="191">H399*F399</f>
        <v>178.12320000000003</v>
      </c>
      <c r="K399" s="15">
        <f t="shared" si="190"/>
        <v>178.12320000000003</v>
      </c>
    </row>
    <row r="400" spans="1:11" ht="28.5" customHeight="1">
      <c r="A400" s="12" t="s">
        <v>996</v>
      </c>
      <c r="B400" s="13" t="s">
        <v>661</v>
      </c>
      <c r="C400" s="11"/>
      <c r="D400" s="14" t="s">
        <v>1486</v>
      </c>
      <c r="E400" s="14"/>
      <c r="F400" s="15">
        <v>517.83000000000004</v>
      </c>
      <c r="G400" s="15">
        <f t="shared" si="189"/>
        <v>517.83000000000004</v>
      </c>
      <c r="H400" s="196">
        <v>2.14</v>
      </c>
      <c r="I400" s="15">
        <f t="shared" si="187"/>
        <v>0</v>
      </c>
      <c r="J400" s="15">
        <f t="shared" si="191"/>
        <v>1108.1562000000001</v>
      </c>
      <c r="K400" s="15">
        <f t="shared" si="190"/>
        <v>1108.1562000000001</v>
      </c>
    </row>
    <row r="401" spans="1:11" ht="29" customHeight="1">
      <c r="A401" s="12" t="s">
        <v>997</v>
      </c>
      <c r="B401" s="13" t="s">
        <v>669</v>
      </c>
      <c r="C401" s="11"/>
      <c r="D401" s="14" t="s">
        <v>1486</v>
      </c>
      <c r="E401" s="14"/>
      <c r="F401" s="15">
        <v>1170.94</v>
      </c>
      <c r="G401" s="15">
        <f t="shared" si="189"/>
        <v>1170.94</v>
      </c>
      <c r="H401" s="196">
        <v>0.87</v>
      </c>
      <c r="I401" s="15">
        <f t="shared" si="187"/>
        <v>0</v>
      </c>
      <c r="J401" s="15">
        <f t="shared" si="191"/>
        <v>1018.7178</v>
      </c>
      <c r="K401" s="15">
        <f t="shared" si="190"/>
        <v>1018.7178</v>
      </c>
    </row>
    <row r="402" spans="1:11" ht="28" customHeight="1">
      <c r="A402" s="12" t="s">
        <v>998</v>
      </c>
      <c r="B402" s="13" t="s">
        <v>662</v>
      </c>
      <c r="C402" s="11"/>
      <c r="D402" s="14" t="s">
        <v>87</v>
      </c>
      <c r="E402" s="14"/>
      <c r="F402" s="15">
        <v>17.260000000000002</v>
      </c>
      <c r="G402" s="15">
        <f t="shared" si="189"/>
        <v>17.260000000000002</v>
      </c>
      <c r="H402" s="196">
        <v>1248.29</v>
      </c>
      <c r="I402" s="15">
        <f t="shared" si="187"/>
        <v>0</v>
      </c>
      <c r="J402" s="15">
        <f t="shared" si="191"/>
        <v>21545.485400000001</v>
      </c>
      <c r="K402" s="15">
        <f t="shared" si="190"/>
        <v>21545.485400000001</v>
      </c>
    </row>
    <row r="403" spans="1:11" ht="17.5" customHeight="1">
      <c r="A403" s="12" t="s">
        <v>999</v>
      </c>
      <c r="B403" s="13" t="s">
        <v>663</v>
      </c>
      <c r="C403" s="11"/>
      <c r="D403" s="14" t="s">
        <v>124</v>
      </c>
      <c r="E403" s="14"/>
      <c r="F403" s="15">
        <v>575.37</v>
      </c>
      <c r="G403" s="15">
        <f t="shared" si="189"/>
        <v>575.37</v>
      </c>
      <c r="H403" s="196">
        <v>2.83</v>
      </c>
      <c r="I403" s="15">
        <f t="shared" si="187"/>
        <v>0</v>
      </c>
      <c r="J403" s="15">
        <f t="shared" si="191"/>
        <v>1628.2971</v>
      </c>
      <c r="K403" s="15">
        <f t="shared" si="190"/>
        <v>1628.2971</v>
      </c>
    </row>
    <row r="404" spans="1:11">
      <c r="A404" s="8" t="s">
        <v>1000</v>
      </c>
      <c r="B404" s="9" t="s">
        <v>670</v>
      </c>
      <c r="C404" s="8"/>
      <c r="D404" s="8"/>
      <c r="E404" s="8"/>
      <c r="F404" s="203"/>
      <c r="G404" s="203"/>
      <c r="H404" s="195"/>
      <c r="I404" s="195"/>
      <c r="J404" s="10">
        <f>SUM(J405:J410)</f>
        <v>26485.677200000002</v>
      </c>
      <c r="K404" s="10">
        <f>SUM(K405:K410)</f>
        <v>26485.677200000002</v>
      </c>
    </row>
    <row r="405" spans="1:11">
      <c r="A405" s="12" t="s">
        <v>1001</v>
      </c>
      <c r="B405" s="13" t="s">
        <v>659</v>
      </c>
      <c r="C405" s="11"/>
      <c r="D405" s="15" t="s">
        <v>124</v>
      </c>
      <c r="E405" s="14"/>
      <c r="F405" s="15">
        <v>575.37</v>
      </c>
      <c r="G405" s="15">
        <f t="shared" ref="G405:G410" si="192">F405-E405</f>
        <v>575.37</v>
      </c>
      <c r="H405" s="196">
        <v>1.75</v>
      </c>
      <c r="I405" s="15">
        <f t="shared" si="187"/>
        <v>0</v>
      </c>
      <c r="J405" s="15">
        <f>H405*F405</f>
        <v>1006.8975</v>
      </c>
      <c r="K405" s="15">
        <f t="shared" ref="K405:K410" si="193">G405*H405</f>
        <v>1006.8975</v>
      </c>
    </row>
    <row r="406" spans="1:11" ht="26">
      <c r="A406" s="12" t="s">
        <v>1002</v>
      </c>
      <c r="B406" s="13" t="s">
        <v>660</v>
      </c>
      <c r="C406" s="11"/>
      <c r="D406" s="15" t="s">
        <v>87</v>
      </c>
      <c r="E406" s="14"/>
      <c r="F406" s="15">
        <v>17.260000000000002</v>
      </c>
      <c r="G406" s="15">
        <f t="shared" si="192"/>
        <v>17.260000000000002</v>
      </c>
      <c r="H406" s="196">
        <v>10.32</v>
      </c>
      <c r="I406" s="15">
        <f t="shared" si="187"/>
        <v>0</v>
      </c>
      <c r="J406" s="15">
        <f t="shared" ref="J406:J410" si="194">H406*F406</f>
        <v>178.12320000000003</v>
      </c>
      <c r="K406" s="15">
        <f t="shared" si="193"/>
        <v>178.12320000000003</v>
      </c>
    </row>
    <row r="407" spans="1:11" ht="28.5" customHeight="1">
      <c r="A407" s="12" t="s">
        <v>1003</v>
      </c>
      <c r="B407" s="13" t="s">
        <v>661</v>
      </c>
      <c r="C407" s="11"/>
      <c r="D407" s="15" t="s">
        <v>1486</v>
      </c>
      <c r="E407" s="14"/>
      <c r="F407" s="15">
        <v>517.83000000000004</v>
      </c>
      <c r="G407" s="15">
        <f t="shared" si="192"/>
        <v>517.83000000000004</v>
      </c>
      <c r="H407" s="196">
        <v>2.14</v>
      </c>
      <c r="I407" s="15">
        <f t="shared" si="187"/>
        <v>0</v>
      </c>
      <c r="J407" s="15">
        <f t="shared" si="194"/>
        <v>1108.1562000000001</v>
      </c>
      <c r="K407" s="15">
        <f t="shared" si="193"/>
        <v>1108.1562000000001</v>
      </c>
    </row>
    <row r="408" spans="1:11" ht="32.5" customHeight="1">
      <c r="A408" s="12" t="s">
        <v>1004</v>
      </c>
      <c r="B408" s="19" t="s">
        <v>669</v>
      </c>
      <c r="C408" s="11"/>
      <c r="D408" s="192" t="s">
        <v>1486</v>
      </c>
      <c r="E408" s="193"/>
      <c r="F408" s="15">
        <v>1170.94</v>
      </c>
      <c r="G408" s="15">
        <f t="shared" si="192"/>
        <v>1170.94</v>
      </c>
      <c r="H408" s="197">
        <v>0.87</v>
      </c>
      <c r="I408" s="15">
        <f t="shared" si="187"/>
        <v>0</v>
      </c>
      <c r="J408" s="15">
        <f t="shared" si="194"/>
        <v>1018.7178</v>
      </c>
      <c r="K408" s="15">
        <f t="shared" si="193"/>
        <v>1018.7178</v>
      </c>
    </row>
    <row r="409" spans="1:11" ht="26.5">
      <c r="A409" s="12" t="s">
        <v>1005</v>
      </c>
      <c r="B409" s="19" t="s">
        <v>671</v>
      </c>
      <c r="C409" s="11"/>
      <c r="D409" s="15" t="s">
        <v>87</v>
      </c>
      <c r="E409" s="14"/>
      <c r="F409" s="15">
        <v>17.260000000000002</v>
      </c>
      <c r="G409" s="15">
        <f t="shared" si="192"/>
        <v>17.260000000000002</v>
      </c>
      <c r="H409" s="196">
        <v>1248.29</v>
      </c>
      <c r="I409" s="15">
        <f t="shared" si="187"/>
        <v>0</v>
      </c>
      <c r="J409" s="15">
        <f t="shared" si="194"/>
        <v>21545.485400000001</v>
      </c>
      <c r="K409" s="15">
        <f t="shared" si="193"/>
        <v>21545.485400000001</v>
      </c>
    </row>
    <row r="410" spans="1:11" ht="16.5" customHeight="1">
      <c r="A410" s="12" t="s">
        <v>1006</v>
      </c>
      <c r="B410" s="17" t="s">
        <v>672</v>
      </c>
      <c r="C410" s="11" t="s">
        <v>87</v>
      </c>
      <c r="D410" s="15" t="s">
        <v>124</v>
      </c>
      <c r="E410" s="14"/>
      <c r="F410" s="15">
        <v>575.37</v>
      </c>
      <c r="G410" s="15">
        <f t="shared" si="192"/>
        <v>575.37</v>
      </c>
      <c r="H410" s="196">
        <v>2.83</v>
      </c>
      <c r="I410" s="15">
        <f t="shared" si="187"/>
        <v>0</v>
      </c>
      <c r="J410" s="15">
        <f t="shared" si="194"/>
        <v>1628.2971</v>
      </c>
      <c r="K410" s="15">
        <f t="shared" si="193"/>
        <v>1628.2971</v>
      </c>
    </row>
    <row r="411" spans="1:11">
      <c r="A411" s="8" t="s">
        <v>1007</v>
      </c>
      <c r="B411" s="9" t="s">
        <v>107</v>
      </c>
      <c r="C411" s="8"/>
      <c r="D411" s="8"/>
      <c r="E411" s="8"/>
      <c r="F411" s="203"/>
      <c r="G411" s="203"/>
      <c r="H411" s="195"/>
      <c r="I411" s="195"/>
      <c r="J411" s="10">
        <f>SUM(J412:J414)</f>
        <v>0</v>
      </c>
      <c r="K411" s="10">
        <f>SUM(K412:K414)</f>
        <v>0</v>
      </c>
    </row>
    <row r="412" spans="1:11" ht="39">
      <c r="A412" s="12" t="s">
        <v>1008</v>
      </c>
      <c r="B412" s="13" t="s">
        <v>674</v>
      </c>
      <c r="C412" s="11" t="s">
        <v>33</v>
      </c>
      <c r="D412" s="14" t="s">
        <v>1487</v>
      </c>
      <c r="E412" s="14"/>
      <c r="F412" s="15"/>
      <c r="G412" s="15">
        <f>F412-E412</f>
        <v>0</v>
      </c>
      <c r="H412" s="196">
        <v>625.09</v>
      </c>
      <c r="I412" s="15">
        <f t="shared" si="187"/>
        <v>0</v>
      </c>
      <c r="J412" s="15">
        <f>H412*F412</f>
        <v>0</v>
      </c>
      <c r="K412" s="15">
        <f t="shared" ref="K412:K414" si="195">G412*H412</f>
        <v>0</v>
      </c>
    </row>
    <row r="413" spans="1:11" ht="17" customHeight="1">
      <c r="A413" s="12" t="s">
        <v>1009</v>
      </c>
      <c r="B413" s="194" t="s">
        <v>680</v>
      </c>
      <c r="C413" s="11" t="s">
        <v>33</v>
      </c>
      <c r="D413" s="14" t="s">
        <v>124</v>
      </c>
      <c r="E413" s="14"/>
      <c r="F413" s="15"/>
      <c r="G413" s="15">
        <f>F413-E413</f>
        <v>0</v>
      </c>
      <c r="H413" s="196">
        <v>16.260000000000002</v>
      </c>
      <c r="I413" s="15">
        <f t="shared" si="187"/>
        <v>0</v>
      </c>
      <c r="J413" s="15">
        <f t="shared" ref="J413:J414" si="196">H413*F413</f>
        <v>0</v>
      </c>
      <c r="K413" s="15">
        <f t="shared" si="195"/>
        <v>0</v>
      </c>
    </row>
    <row r="414" spans="1:11" ht="16.5" customHeight="1">
      <c r="A414" s="12" t="s">
        <v>1010</v>
      </c>
      <c r="B414" s="13" t="s">
        <v>675</v>
      </c>
      <c r="C414" s="11" t="s">
        <v>33</v>
      </c>
      <c r="D414" s="14" t="s">
        <v>124</v>
      </c>
      <c r="E414" s="14"/>
      <c r="F414" s="15"/>
      <c r="G414" s="15">
        <f>F414-E414</f>
        <v>0</v>
      </c>
      <c r="H414" s="196">
        <v>4.5599999999999996</v>
      </c>
      <c r="I414" s="15">
        <f t="shared" si="187"/>
        <v>0</v>
      </c>
      <c r="J414" s="15">
        <f t="shared" si="196"/>
        <v>0</v>
      </c>
      <c r="K414" s="15">
        <f t="shared" si="195"/>
        <v>0</v>
      </c>
    </row>
    <row r="415" spans="1:11">
      <c r="A415" s="8" t="s">
        <v>1011</v>
      </c>
      <c r="B415" s="9" t="s">
        <v>678</v>
      </c>
      <c r="C415" s="8"/>
      <c r="D415" s="8"/>
      <c r="E415" s="8"/>
      <c r="F415" s="203"/>
      <c r="G415" s="203"/>
      <c r="H415" s="195"/>
      <c r="I415" s="195"/>
      <c r="J415" s="10">
        <f>SUM(J416:J417)</f>
        <v>1006.8975</v>
      </c>
      <c r="K415" s="10">
        <f>SUM(K416:K417)</f>
        <v>1006.8975</v>
      </c>
    </row>
    <row r="416" spans="1:11">
      <c r="A416" s="12" t="s">
        <v>1012</v>
      </c>
      <c r="B416" s="13" t="s">
        <v>659</v>
      </c>
      <c r="C416" s="11" t="s">
        <v>11</v>
      </c>
      <c r="D416" s="14" t="s">
        <v>124</v>
      </c>
      <c r="E416" s="14"/>
      <c r="F416" s="15">
        <v>575.37</v>
      </c>
      <c r="G416" s="15">
        <f>F416-E416</f>
        <v>575.37</v>
      </c>
      <c r="H416" s="196">
        <v>1.75</v>
      </c>
      <c r="I416" s="15">
        <f t="shared" si="187"/>
        <v>0</v>
      </c>
      <c r="J416" s="15">
        <f>H416*F416</f>
        <v>1006.8975</v>
      </c>
      <c r="K416" s="15">
        <f t="shared" ref="K416:K417" si="197">G416*H416</f>
        <v>1006.8975</v>
      </c>
    </row>
    <row r="417" spans="1:11">
      <c r="A417" s="12" t="s">
        <v>1013</v>
      </c>
      <c r="B417" s="13" t="s">
        <v>679</v>
      </c>
      <c r="C417" s="11" t="s">
        <v>11</v>
      </c>
      <c r="D417" s="14" t="s">
        <v>1487</v>
      </c>
      <c r="E417" s="14"/>
      <c r="F417" s="15"/>
      <c r="G417" s="15">
        <f>F417-E417</f>
        <v>0</v>
      </c>
      <c r="H417" s="196">
        <v>92.34</v>
      </c>
      <c r="I417" s="15">
        <f t="shared" si="187"/>
        <v>0</v>
      </c>
      <c r="J417" s="15">
        <f>H417*F417</f>
        <v>0</v>
      </c>
      <c r="K417" s="15">
        <f t="shared" si="197"/>
        <v>0</v>
      </c>
    </row>
    <row r="418" spans="1:11">
      <c r="A418" s="184">
        <v>16</v>
      </c>
      <c r="B418" s="191" t="s">
        <v>1469</v>
      </c>
      <c r="C418" s="184"/>
      <c r="D418" s="184"/>
      <c r="E418" s="184"/>
      <c r="F418" s="202"/>
      <c r="G418" s="202"/>
      <c r="H418" s="198"/>
      <c r="I418" s="185"/>
      <c r="J418" s="185">
        <f>SUM(J419,J422,J424,J431,J438,J442)</f>
        <v>104811.9666</v>
      </c>
      <c r="K418" s="185">
        <f>SUM(K419,K422,K424,K431,K438,K442)</f>
        <v>104811.9666</v>
      </c>
    </row>
    <row r="419" spans="1:11">
      <c r="A419" s="8" t="s">
        <v>1014</v>
      </c>
      <c r="B419" s="9" t="s">
        <v>8</v>
      </c>
      <c r="C419" s="8"/>
      <c r="D419" s="8"/>
      <c r="E419" s="8"/>
      <c r="F419" s="203"/>
      <c r="G419" s="203"/>
      <c r="H419" s="195"/>
      <c r="I419" s="10"/>
      <c r="J419" s="10">
        <f>SUM(J420:J421)</f>
        <v>8506.5966000000008</v>
      </c>
      <c r="K419" s="10">
        <f>SUM(K420:K421)</f>
        <v>8506.5966000000008</v>
      </c>
    </row>
    <row r="420" spans="1:11" ht="26">
      <c r="A420" s="12" t="s">
        <v>1015</v>
      </c>
      <c r="B420" s="13" t="s">
        <v>653</v>
      </c>
      <c r="C420" s="11" t="s">
        <v>13</v>
      </c>
      <c r="D420" s="14" t="s">
        <v>124</v>
      </c>
      <c r="E420" s="14"/>
      <c r="F420" s="15">
        <v>1027.3800000000001</v>
      </c>
      <c r="G420" s="15">
        <f>F420-E420</f>
        <v>1027.3800000000001</v>
      </c>
      <c r="H420" s="196">
        <v>0.36</v>
      </c>
      <c r="I420" s="15">
        <f>H420*E420</f>
        <v>0</v>
      </c>
      <c r="J420" s="15">
        <f>H420*F420</f>
        <v>369.85680000000002</v>
      </c>
      <c r="K420" s="15">
        <f t="shared" ref="K420:K421" si="198">G420*H420</f>
        <v>369.85680000000002</v>
      </c>
    </row>
    <row r="421" spans="1:11" ht="52">
      <c r="A421" s="12" t="s">
        <v>1016</v>
      </c>
      <c r="B421" s="13" t="s">
        <v>650</v>
      </c>
      <c r="C421" s="11" t="s">
        <v>11</v>
      </c>
      <c r="D421" s="14" t="s">
        <v>124</v>
      </c>
      <c r="E421" s="14"/>
      <c r="F421" s="15">
        <v>131.94</v>
      </c>
      <c r="G421" s="15">
        <f>F421-E421</f>
        <v>131.94</v>
      </c>
      <c r="H421" s="196">
        <v>61.67</v>
      </c>
      <c r="I421" s="15">
        <f>H421*E421</f>
        <v>0</v>
      </c>
      <c r="J421" s="15">
        <f>H421*F421</f>
        <v>8136.7398000000003</v>
      </c>
      <c r="K421" s="15">
        <f t="shared" si="198"/>
        <v>8136.7398000000003</v>
      </c>
    </row>
    <row r="422" spans="1:11">
      <c r="A422" s="8" t="s">
        <v>1017</v>
      </c>
      <c r="B422" s="9" t="s">
        <v>655</v>
      </c>
      <c r="C422" s="8"/>
      <c r="D422" s="8"/>
      <c r="E422" s="8"/>
      <c r="F422" s="203"/>
      <c r="G422" s="203"/>
      <c r="H422" s="195"/>
      <c r="I422" s="195"/>
      <c r="J422" s="10">
        <f>SUM(J423:J423)</f>
        <v>390.40440000000007</v>
      </c>
      <c r="K422" s="10">
        <f>SUM(K423:K423)</f>
        <v>390.40440000000007</v>
      </c>
    </row>
    <row r="423" spans="1:11" ht="26">
      <c r="A423" s="12" t="s">
        <v>1018</v>
      </c>
      <c r="B423" s="13" t="s">
        <v>656</v>
      </c>
      <c r="C423" s="11"/>
      <c r="D423" s="14" t="s">
        <v>124</v>
      </c>
      <c r="E423" s="14"/>
      <c r="F423" s="15">
        <v>1027.3800000000001</v>
      </c>
      <c r="G423" s="15">
        <f>F423-E423</f>
        <v>1027.3800000000001</v>
      </c>
      <c r="H423" s="196">
        <v>0.38</v>
      </c>
      <c r="I423" s="15">
        <f t="shared" ref="I423:I444" si="199">H423*E423</f>
        <v>0</v>
      </c>
      <c r="J423" s="15">
        <f>H423*F423</f>
        <v>390.40440000000007</v>
      </c>
      <c r="K423" s="15">
        <f t="shared" ref="K423" si="200">G423*H423</f>
        <v>390.40440000000007</v>
      </c>
    </row>
    <row r="424" spans="1:11">
      <c r="A424" s="8" t="s">
        <v>1019</v>
      </c>
      <c r="B424" s="9" t="s">
        <v>658</v>
      </c>
      <c r="C424" s="8"/>
      <c r="D424" s="8"/>
      <c r="E424" s="8"/>
      <c r="F424" s="203"/>
      <c r="G424" s="203"/>
      <c r="H424" s="195"/>
      <c r="I424" s="195"/>
      <c r="J424" s="10">
        <f>SUM(J425:J430)</f>
        <v>47058.525300000001</v>
      </c>
      <c r="K424" s="10">
        <f>SUM(K425:K430)</f>
        <v>47058.525300000001</v>
      </c>
    </row>
    <row r="425" spans="1:11">
      <c r="A425" s="12" t="s">
        <v>1020</v>
      </c>
      <c r="B425" s="13" t="s">
        <v>659</v>
      </c>
      <c r="C425" s="11"/>
      <c r="D425" s="14" t="s">
        <v>124</v>
      </c>
      <c r="E425" s="14"/>
      <c r="F425" s="15">
        <v>1027.3800000000001</v>
      </c>
      <c r="G425" s="15">
        <f t="shared" ref="G425:G430" si="201">F425-E425</f>
        <v>1027.3800000000001</v>
      </c>
      <c r="H425" s="196">
        <v>1.75</v>
      </c>
      <c r="I425" s="15">
        <f t="shared" si="199"/>
        <v>0</v>
      </c>
      <c r="J425" s="15">
        <f>H425*F425</f>
        <v>1797.9150000000002</v>
      </c>
      <c r="K425" s="15">
        <f t="shared" ref="K425:K430" si="202">G425*H425</f>
        <v>1797.9150000000002</v>
      </c>
    </row>
    <row r="426" spans="1:11" ht="26">
      <c r="A426" s="12" t="s">
        <v>1021</v>
      </c>
      <c r="B426" s="13" t="s">
        <v>660</v>
      </c>
      <c r="C426" s="11"/>
      <c r="D426" s="14" t="s">
        <v>87</v>
      </c>
      <c r="E426" s="14"/>
      <c r="F426" s="15">
        <v>30.82</v>
      </c>
      <c r="G426" s="15">
        <f t="shared" si="201"/>
        <v>30.82</v>
      </c>
      <c r="H426" s="196">
        <v>10.32</v>
      </c>
      <c r="I426" s="15">
        <f t="shared" si="199"/>
        <v>0</v>
      </c>
      <c r="J426" s="15">
        <f t="shared" ref="J426:J430" si="203">H426*F426</f>
        <v>318.06240000000003</v>
      </c>
      <c r="K426" s="15">
        <f t="shared" si="202"/>
        <v>318.06240000000003</v>
      </c>
    </row>
    <row r="427" spans="1:11" ht="28.5" customHeight="1">
      <c r="A427" s="12" t="s">
        <v>1022</v>
      </c>
      <c r="B427" s="13" t="s">
        <v>661</v>
      </c>
      <c r="C427" s="11"/>
      <c r="D427" s="14" t="s">
        <v>1486</v>
      </c>
      <c r="E427" s="14"/>
      <c r="F427" s="15">
        <v>924.64</v>
      </c>
      <c r="G427" s="15">
        <f t="shared" si="201"/>
        <v>924.64</v>
      </c>
      <c r="H427" s="196">
        <v>2.14</v>
      </c>
      <c r="I427" s="15">
        <f t="shared" si="199"/>
        <v>0</v>
      </c>
      <c r="J427" s="15">
        <f t="shared" si="203"/>
        <v>1978.7296000000001</v>
      </c>
      <c r="K427" s="15">
        <f t="shared" si="202"/>
        <v>1978.7296000000001</v>
      </c>
    </row>
    <row r="428" spans="1:11" ht="29" customHeight="1">
      <c r="A428" s="12" t="s">
        <v>1023</v>
      </c>
      <c r="B428" s="13" t="s">
        <v>669</v>
      </c>
      <c r="C428" s="11"/>
      <c r="D428" s="14" t="s">
        <v>1486</v>
      </c>
      <c r="E428" s="14"/>
      <c r="F428" s="15">
        <v>1820.73</v>
      </c>
      <c r="G428" s="15">
        <f t="shared" si="201"/>
        <v>1820.73</v>
      </c>
      <c r="H428" s="196">
        <v>0.87</v>
      </c>
      <c r="I428" s="15">
        <f t="shared" si="199"/>
        <v>0</v>
      </c>
      <c r="J428" s="15">
        <f t="shared" si="203"/>
        <v>1584.0351000000001</v>
      </c>
      <c r="K428" s="15">
        <f t="shared" si="202"/>
        <v>1584.0351000000001</v>
      </c>
    </row>
    <row r="429" spans="1:11" ht="28" customHeight="1">
      <c r="A429" s="12" t="s">
        <v>1024</v>
      </c>
      <c r="B429" s="13" t="s">
        <v>662</v>
      </c>
      <c r="C429" s="11"/>
      <c r="D429" s="14" t="s">
        <v>87</v>
      </c>
      <c r="E429" s="14"/>
      <c r="F429" s="15">
        <v>30.82</v>
      </c>
      <c r="G429" s="15">
        <f t="shared" si="201"/>
        <v>30.82</v>
      </c>
      <c r="H429" s="196">
        <v>1248.29</v>
      </c>
      <c r="I429" s="15">
        <f t="shared" si="199"/>
        <v>0</v>
      </c>
      <c r="J429" s="15">
        <f t="shared" si="203"/>
        <v>38472.2978</v>
      </c>
      <c r="K429" s="15">
        <f t="shared" si="202"/>
        <v>38472.2978</v>
      </c>
    </row>
    <row r="430" spans="1:11" ht="17.5" customHeight="1">
      <c r="A430" s="12" t="s">
        <v>1025</v>
      </c>
      <c r="B430" s="13" t="s">
        <v>663</v>
      </c>
      <c r="C430" s="11"/>
      <c r="D430" s="14" t="s">
        <v>124</v>
      </c>
      <c r="E430" s="14"/>
      <c r="F430" s="15">
        <v>1027.3800000000001</v>
      </c>
      <c r="G430" s="15">
        <f t="shared" si="201"/>
        <v>1027.3800000000001</v>
      </c>
      <c r="H430" s="196">
        <v>2.83</v>
      </c>
      <c r="I430" s="15">
        <f t="shared" si="199"/>
        <v>0</v>
      </c>
      <c r="J430" s="15">
        <f t="shared" si="203"/>
        <v>2907.4854000000005</v>
      </c>
      <c r="K430" s="15">
        <f t="shared" si="202"/>
        <v>2907.4854000000005</v>
      </c>
    </row>
    <row r="431" spans="1:11">
      <c r="A431" s="8" t="s">
        <v>1026</v>
      </c>
      <c r="B431" s="9" t="s">
        <v>670</v>
      </c>
      <c r="C431" s="8"/>
      <c r="D431" s="8"/>
      <c r="E431" s="8"/>
      <c r="F431" s="203"/>
      <c r="G431" s="203"/>
      <c r="H431" s="195"/>
      <c r="I431" s="195"/>
      <c r="J431" s="10">
        <f>SUM(J432:J437)</f>
        <v>47058.525300000001</v>
      </c>
      <c r="K431" s="10">
        <f>SUM(K432:K437)</f>
        <v>47058.525300000001</v>
      </c>
    </row>
    <row r="432" spans="1:11">
      <c r="A432" s="12" t="s">
        <v>1027</v>
      </c>
      <c r="B432" s="13" t="s">
        <v>659</v>
      </c>
      <c r="C432" s="11"/>
      <c r="D432" s="15" t="s">
        <v>124</v>
      </c>
      <c r="E432" s="14"/>
      <c r="F432" s="15">
        <v>1027.3800000000001</v>
      </c>
      <c r="G432" s="15">
        <f t="shared" ref="G432:G437" si="204">F432-E432</f>
        <v>1027.3800000000001</v>
      </c>
      <c r="H432" s="196">
        <v>1.75</v>
      </c>
      <c r="I432" s="15">
        <f t="shared" si="199"/>
        <v>0</v>
      </c>
      <c r="J432" s="15">
        <f>H432*F432</f>
        <v>1797.9150000000002</v>
      </c>
      <c r="K432" s="15">
        <f t="shared" ref="K432:K437" si="205">G432*H432</f>
        <v>1797.9150000000002</v>
      </c>
    </row>
    <row r="433" spans="1:11" ht="26">
      <c r="A433" s="12" t="s">
        <v>1028</v>
      </c>
      <c r="B433" s="13" t="s">
        <v>660</v>
      </c>
      <c r="C433" s="11"/>
      <c r="D433" s="15" t="s">
        <v>87</v>
      </c>
      <c r="E433" s="14"/>
      <c r="F433" s="15">
        <v>30.82</v>
      </c>
      <c r="G433" s="15">
        <f t="shared" si="204"/>
        <v>30.82</v>
      </c>
      <c r="H433" s="196">
        <v>10.32</v>
      </c>
      <c r="I433" s="15">
        <f t="shared" si="199"/>
        <v>0</v>
      </c>
      <c r="J433" s="15">
        <f t="shared" ref="J433:J437" si="206">H433*F433</f>
        <v>318.06240000000003</v>
      </c>
      <c r="K433" s="15">
        <f t="shared" si="205"/>
        <v>318.06240000000003</v>
      </c>
    </row>
    <row r="434" spans="1:11" ht="28.5" customHeight="1">
      <c r="A434" s="12" t="s">
        <v>1029</v>
      </c>
      <c r="B434" s="13" t="s">
        <v>661</v>
      </c>
      <c r="C434" s="11"/>
      <c r="D434" s="15" t="s">
        <v>1486</v>
      </c>
      <c r="E434" s="14"/>
      <c r="F434" s="15">
        <v>924.64</v>
      </c>
      <c r="G434" s="15">
        <f t="shared" si="204"/>
        <v>924.64</v>
      </c>
      <c r="H434" s="196">
        <v>2.14</v>
      </c>
      <c r="I434" s="15">
        <f t="shared" si="199"/>
        <v>0</v>
      </c>
      <c r="J434" s="15">
        <f t="shared" si="206"/>
        <v>1978.7296000000001</v>
      </c>
      <c r="K434" s="15">
        <f t="shared" si="205"/>
        <v>1978.7296000000001</v>
      </c>
    </row>
    <row r="435" spans="1:11" ht="32.5" customHeight="1">
      <c r="A435" s="12" t="s">
        <v>1030</v>
      </c>
      <c r="B435" s="19" t="s">
        <v>669</v>
      </c>
      <c r="C435" s="11"/>
      <c r="D435" s="192" t="s">
        <v>1486</v>
      </c>
      <c r="E435" s="193"/>
      <c r="F435" s="15">
        <v>1820.73</v>
      </c>
      <c r="G435" s="15">
        <f t="shared" si="204"/>
        <v>1820.73</v>
      </c>
      <c r="H435" s="197">
        <v>0.87</v>
      </c>
      <c r="I435" s="15">
        <f t="shared" si="199"/>
        <v>0</v>
      </c>
      <c r="J435" s="15">
        <f t="shared" si="206"/>
        <v>1584.0351000000001</v>
      </c>
      <c r="K435" s="15">
        <f t="shared" si="205"/>
        <v>1584.0351000000001</v>
      </c>
    </row>
    <row r="436" spans="1:11" ht="26.5">
      <c r="A436" s="12" t="s">
        <v>1031</v>
      </c>
      <c r="B436" s="19" t="s">
        <v>671</v>
      </c>
      <c r="C436" s="11"/>
      <c r="D436" s="15" t="s">
        <v>87</v>
      </c>
      <c r="E436" s="14"/>
      <c r="F436" s="15">
        <v>30.82</v>
      </c>
      <c r="G436" s="15">
        <f t="shared" si="204"/>
        <v>30.82</v>
      </c>
      <c r="H436" s="196">
        <v>1248.29</v>
      </c>
      <c r="I436" s="15">
        <f t="shared" si="199"/>
        <v>0</v>
      </c>
      <c r="J436" s="15">
        <f t="shared" si="206"/>
        <v>38472.2978</v>
      </c>
      <c r="K436" s="15">
        <f t="shared" si="205"/>
        <v>38472.2978</v>
      </c>
    </row>
    <row r="437" spans="1:11" ht="16.5" customHeight="1">
      <c r="A437" s="12" t="s">
        <v>1032</v>
      </c>
      <c r="B437" s="17" t="s">
        <v>672</v>
      </c>
      <c r="C437" s="11" t="s">
        <v>87</v>
      </c>
      <c r="D437" s="15" t="s">
        <v>124</v>
      </c>
      <c r="E437" s="14"/>
      <c r="F437" s="15">
        <v>1027.3800000000001</v>
      </c>
      <c r="G437" s="15">
        <f t="shared" si="204"/>
        <v>1027.3800000000001</v>
      </c>
      <c r="H437" s="196">
        <v>2.83</v>
      </c>
      <c r="I437" s="15">
        <f t="shared" si="199"/>
        <v>0</v>
      </c>
      <c r="J437" s="15">
        <f t="shared" si="206"/>
        <v>2907.4854000000005</v>
      </c>
      <c r="K437" s="15">
        <f t="shared" si="205"/>
        <v>2907.4854000000005</v>
      </c>
    </row>
    <row r="438" spans="1:11">
      <c r="A438" s="8" t="s">
        <v>1033</v>
      </c>
      <c r="B438" s="9" t="s">
        <v>107</v>
      </c>
      <c r="C438" s="8"/>
      <c r="D438" s="8"/>
      <c r="E438" s="8"/>
      <c r="F438" s="203"/>
      <c r="G438" s="203"/>
      <c r="H438" s="195"/>
      <c r="I438" s="195"/>
      <c r="J438" s="10">
        <f>SUM(J439:J441)</f>
        <v>0</v>
      </c>
      <c r="K438" s="10">
        <f>SUM(K439:K441)</f>
        <v>0</v>
      </c>
    </row>
    <row r="439" spans="1:11" ht="39">
      <c r="A439" s="12" t="s">
        <v>1034</v>
      </c>
      <c r="B439" s="13" t="s">
        <v>674</v>
      </c>
      <c r="C439" s="11" t="s">
        <v>33</v>
      </c>
      <c r="D439" s="14" t="s">
        <v>1487</v>
      </c>
      <c r="E439" s="14"/>
      <c r="F439" s="15"/>
      <c r="G439" s="15">
        <f>F439-E439</f>
        <v>0</v>
      </c>
      <c r="H439" s="196">
        <v>625.09</v>
      </c>
      <c r="I439" s="15">
        <f t="shared" si="199"/>
        <v>0</v>
      </c>
      <c r="J439" s="15">
        <f>H439*F439</f>
        <v>0</v>
      </c>
      <c r="K439" s="15">
        <f t="shared" ref="K439:K441" si="207">G439*H439</f>
        <v>0</v>
      </c>
    </row>
    <row r="440" spans="1:11" ht="17" customHeight="1">
      <c r="A440" s="12" t="s">
        <v>1035</v>
      </c>
      <c r="B440" s="194" t="s">
        <v>680</v>
      </c>
      <c r="C440" s="11" t="s">
        <v>33</v>
      </c>
      <c r="D440" s="14" t="s">
        <v>124</v>
      </c>
      <c r="E440" s="14"/>
      <c r="F440" s="15"/>
      <c r="G440" s="15">
        <f>F440-E440</f>
        <v>0</v>
      </c>
      <c r="H440" s="196">
        <v>16.260000000000002</v>
      </c>
      <c r="I440" s="15">
        <f t="shared" si="199"/>
        <v>0</v>
      </c>
      <c r="J440" s="15">
        <f t="shared" ref="J440:J441" si="208">H440*F440</f>
        <v>0</v>
      </c>
      <c r="K440" s="15">
        <f t="shared" si="207"/>
        <v>0</v>
      </c>
    </row>
    <row r="441" spans="1:11" ht="16.5" customHeight="1">
      <c r="A441" s="12" t="s">
        <v>1036</v>
      </c>
      <c r="B441" s="13" t="s">
        <v>675</v>
      </c>
      <c r="C441" s="11" t="s">
        <v>33</v>
      </c>
      <c r="D441" s="14" t="s">
        <v>124</v>
      </c>
      <c r="E441" s="14"/>
      <c r="F441" s="15"/>
      <c r="G441" s="15">
        <f>F441-E441</f>
        <v>0</v>
      </c>
      <c r="H441" s="196">
        <v>4.5599999999999996</v>
      </c>
      <c r="I441" s="15">
        <f t="shared" si="199"/>
        <v>0</v>
      </c>
      <c r="J441" s="15">
        <f t="shared" si="208"/>
        <v>0</v>
      </c>
      <c r="K441" s="15">
        <f t="shared" si="207"/>
        <v>0</v>
      </c>
    </row>
    <row r="442" spans="1:11">
      <c r="A442" s="8" t="s">
        <v>1037</v>
      </c>
      <c r="B442" s="9" t="s">
        <v>678</v>
      </c>
      <c r="C442" s="8"/>
      <c r="D442" s="8"/>
      <c r="E442" s="8"/>
      <c r="F442" s="203"/>
      <c r="G442" s="203"/>
      <c r="H442" s="195"/>
      <c r="I442" s="195"/>
      <c r="J442" s="10">
        <f>SUM(J443:J444)</f>
        <v>1797.9150000000002</v>
      </c>
      <c r="K442" s="10">
        <f>SUM(K443:K444)</f>
        <v>1797.9150000000002</v>
      </c>
    </row>
    <row r="443" spans="1:11">
      <c r="A443" s="12" t="s">
        <v>1038</v>
      </c>
      <c r="B443" s="13" t="s">
        <v>659</v>
      </c>
      <c r="C443" s="11" t="s">
        <v>11</v>
      </c>
      <c r="D443" s="14" t="s">
        <v>124</v>
      </c>
      <c r="E443" s="14"/>
      <c r="F443" s="15">
        <v>1027.3800000000001</v>
      </c>
      <c r="G443" s="15">
        <f>F443-E443</f>
        <v>1027.3800000000001</v>
      </c>
      <c r="H443" s="196">
        <v>1.75</v>
      </c>
      <c r="I443" s="15">
        <f t="shared" si="199"/>
        <v>0</v>
      </c>
      <c r="J443" s="15">
        <f>H443*F443</f>
        <v>1797.9150000000002</v>
      </c>
      <c r="K443" s="15">
        <f t="shared" ref="K443:K444" si="209">G443*H443</f>
        <v>1797.9150000000002</v>
      </c>
    </row>
    <row r="444" spans="1:11">
      <c r="A444" s="12" t="s">
        <v>1039</v>
      </c>
      <c r="B444" s="13" t="s">
        <v>679</v>
      </c>
      <c r="C444" s="11" t="s">
        <v>11</v>
      </c>
      <c r="D444" s="14" t="s">
        <v>1487</v>
      </c>
      <c r="E444" s="14"/>
      <c r="F444" s="15"/>
      <c r="G444" s="15">
        <f>F444-E444</f>
        <v>0</v>
      </c>
      <c r="H444" s="196">
        <v>92.34</v>
      </c>
      <c r="I444" s="15">
        <f t="shared" si="199"/>
        <v>0</v>
      </c>
      <c r="J444" s="15">
        <f>H444*F444</f>
        <v>0</v>
      </c>
      <c r="K444" s="15">
        <f t="shared" si="209"/>
        <v>0</v>
      </c>
    </row>
    <row r="445" spans="1:11">
      <c r="A445" s="184">
        <v>17</v>
      </c>
      <c r="B445" s="191" t="s">
        <v>1470</v>
      </c>
      <c r="C445" s="184"/>
      <c r="D445" s="184"/>
      <c r="E445" s="184"/>
      <c r="F445" s="202"/>
      <c r="G445" s="202"/>
      <c r="H445" s="198"/>
      <c r="I445" s="185"/>
      <c r="J445" s="185">
        <f>SUM(J446,J449,J451,J458,J465,J469)</f>
        <v>0</v>
      </c>
      <c r="K445" s="185">
        <f>SUM(K446,K449,K451,K458,K465,K469)</f>
        <v>0</v>
      </c>
    </row>
    <row r="446" spans="1:11">
      <c r="A446" s="8" t="s">
        <v>1040</v>
      </c>
      <c r="B446" s="9" t="s">
        <v>8</v>
      </c>
      <c r="C446" s="8"/>
      <c r="D446" s="8"/>
      <c r="E446" s="8"/>
      <c r="F446" s="203"/>
      <c r="G446" s="203"/>
      <c r="H446" s="195"/>
      <c r="I446" s="10"/>
      <c r="J446" s="10">
        <f>SUM(J447:J448)</f>
        <v>0</v>
      </c>
      <c r="K446" s="10">
        <f>SUM(K447:K448)</f>
        <v>0</v>
      </c>
    </row>
    <row r="447" spans="1:11" ht="26">
      <c r="A447" s="12" t="s">
        <v>1041</v>
      </c>
      <c r="B447" s="13" t="s">
        <v>653</v>
      </c>
      <c r="C447" s="11" t="s">
        <v>13</v>
      </c>
      <c r="D447" s="14" t="s">
        <v>124</v>
      </c>
      <c r="E447" s="14"/>
      <c r="F447" s="15"/>
      <c r="G447" s="15">
        <f>F447-E447</f>
        <v>0</v>
      </c>
      <c r="H447" s="196">
        <v>0.36</v>
      </c>
      <c r="I447" s="15">
        <f>H447*E447</f>
        <v>0</v>
      </c>
      <c r="J447" s="15">
        <f>H447*F447</f>
        <v>0</v>
      </c>
      <c r="K447" s="15">
        <f t="shared" ref="K447:K448" si="210">G447*H447</f>
        <v>0</v>
      </c>
    </row>
    <row r="448" spans="1:11" ht="52">
      <c r="A448" s="12" t="s">
        <v>1042</v>
      </c>
      <c r="B448" s="13" t="s">
        <v>650</v>
      </c>
      <c r="C448" s="11" t="s">
        <v>11</v>
      </c>
      <c r="D448" s="14" t="s">
        <v>124</v>
      </c>
      <c r="E448" s="14"/>
      <c r="F448" s="15"/>
      <c r="G448" s="15">
        <f>F448-E448</f>
        <v>0</v>
      </c>
      <c r="H448" s="196">
        <v>61.67</v>
      </c>
      <c r="I448" s="15">
        <f>H448*E448</f>
        <v>0</v>
      </c>
      <c r="J448" s="15">
        <f>H448*F448</f>
        <v>0</v>
      </c>
      <c r="K448" s="15">
        <f t="shared" si="210"/>
        <v>0</v>
      </c>
    </row>
    <row r="449" spans="1:11">
      <c r="A449" s="8" t="s">
        <v>1043</v>
      </c>
      <c r="B449" s="9" t="s">
        <v>655</v>
      </c>
      <c r="C449" s="8"/>
      <c r="D449" s="8"/>
      <c r="E449" s="8"/>
      <c r="F449" s="203"/>
      <c r="G449" s="203"/>
      <c r="H449" s="195"/>
      <c r="I449" s="195"/>
      <c r="J449" s="10">
        <f>SUM(J450:J450)</f>
        <v>0</v>
      </c>
      <c r="K449" s="10">
        <f>SUM(K450:K450)</f>
        <v>0</v>
      </c>
    </row>
    <row r="450" spans="1:11" ht="26">
      <c r="A450" s="12" t="s">
        <v>1044</v>
      </c>
      <c r="B450" s="13" t="s">
        <v>656</v>
      </c>
      <c r="C450" s="11"/>
      <c r="D450" s="14" t="s">
        <v>124</v>
      </c>
      <c r="E450" s="14"/>
      <c r="F450" s="15"/>
      <c r="G450" s="15">
        <f>F450-E450</f>
        <v>0</v>
      </c>
      <c r="H450" s="196">
        <v>0.38</v>
      </c>
      <c r="I450" s="15">
        <f t="shared" ref="I450:I471" si="211">H450*E450</f>
        <v>0</v>
      </c>
      <c r="J450" s="15">
        <f>H450*F450</f>
        <v>0</v>
      </c>
      <c r="K450" s="15">
        <f t="shared" ref="K450" si="212">G450*H450</f>
        <v>0</v>
      </c>
    </row>
    <row r="451" spans="1:11">
      <c r="A451" s="8" t="s">
        <v>1045</v>
      </c>
      <c r="B451" s="9" t="s">
        <v>658</v>
      </c>
      <c r="C451" s="8"/>
      <c r="D451" s="8"/>
      <c r="E451" s="8"/>
      <c r="F451" s="203"/>
      <c r="G451" s="203"/>
      <c r="H451" s="195"/>
      <c r="I451" s="195"/>
      <c r="J451" s="10">
        <f>SUM(J452:J457)</f>
        <v>0</v>
      </c>
      <c r="K451" s="10">
        <f>SUM(K452:K457)</f>
        <v>0</v>
      </c>
    </row>
    <row r="452" spans="1:11">
      <c r="A452" s="12" t="s">
        <v>1046</v>
      </c>
      <c r="B452" s="13" t="s">
        <v>659</v>
      </c>
      <c r="C452" s="11"/>
      <c r="D452" s="14" t="s">
        <v>124</v>
      </c>
      <c r="E452" s="14"/>
      <c r="F452" s="15"/>
      <c r="G452" s="15">
        <f t="shared" ref="G452:G457" si="213">F452-E452</f>
        <v>0</v>
      </c>
      <c r="H452" s="196">
        <v>1.75</v>
      </c>
      <c r="I452" s="15">
        <f t="shared" si="211"/>
        <v>0</v>
      </c>
      <c r="J452" s="15">
        <f>H452*F452</f>
        <v>0</v>
      </c>
      <c r="K452" s="15">
        <f t="shared" ref="K452:K457" si="214">G452*H452</f>
        <v>0</v>
      </c>
    </row>
    <row r="453" spans="1:11" ht="26">
      <c r="A453" s="12" t="s">
        <v>1047</v>
      </c>
      <c r="B453" s="13" t="s">
        <v>660</v>
      </c>
      <c r="C453" s="11"/>
      <c r="D453" s="14" t="s">
        <v>87</v>
      </c>
      <c r="E453" s="14"/>
      <c r="F453" s="15"/>
      <c r="G453" s="15">
        <f t="shared" si="213"/>
        <v>0</v>
      </c>
      <c r="H453" s="196">
        <v>10.32</v>
      </c>
      <c r="I453" s="15">
        <f t="shared" si="211"/>
        <v>0</v>
      </c>
      <c r="J453" s="15">
        <f t="shared" ref="J453:J457" si="215">H453*F453</f>
        <v>0</v>
      </c>
      <c r="K453" s="15">
        <f t="shared" si="214"/>
        <v>0</v>
      </c>
    </row>
    <row r="454" spans="1:11" ht="28.5" customHeight="1">
      <c r="A454" s="12" t="s">
        <v>1048</v>
      </c>
      <c r="B454" s="13" t="s">
        <v>661</v>
      </c>
      <c r="C454" s="11"/>
      <c r="D454" s="14" t="s">
        <v>1486</v>
      </c>
      <c r="E454" s="14"/>
      <c r="F454" s="15"/>
      <c r="G454" s="15">
        <f t="shared" si="213"/>
        <v>0</v>
      </c>
      <c r="H454" s="196">
        <v>2.14</v>
      </c>
      <c r="I454" s="15">
        <f t="shared" si="211"/>
        <v>0</v>
      </c>
      <c r="J454" s="15">
        <f t="shared" si="215"/>
        <v>0</v>
      </c>
      <c r="K454" s="15">
        <f t="shared" si="214"/>
        <v>0</v>
      </c>
    </row>
    <row r="455" spans="1:11" ht="29" customHeight="1">
      <c r="A455" s="12" t="s">
        <v>1049</v>
      </c>
      <c r="B455" s="13" t="s">
        <v>669</v>
      </c>
      <c r="C455" s="11"/>
      <c r="D455" s="14" t="s">
        <v>1486</v>
      </c>
      <c r="E455" s="14"/>
      <c r="F455" s="15"/>
      <c r="G455" s="15">
        <f t="shared" si="213"/>
        <v>0</v>
      </c>
      <c r="H455" s="196">
        <v>0.87</v>
      </c>
      <c r="I455" s="15">
        <f t="shared" si="211"/>
        <v>0</v>
      </c>
      <c r="J455" s="15">
        <f t="shared" si="215"/>
        <v>0</v>
      </c>
      <c r="K455" s="15">
        <f t="shared" si="214"/>
        <v>0</v>
      </c>
    </row>
    <row r="456" spans="1:11" ht="28" customHeight="1">
      <c r="A456" s="12" t="s">
        <v>1050</v>
      </c>
      <c r="B456" s="13" t="s">
        <v>662</v>
      </c>
      <c r="C456" s="11"/>
      <c r="D456" s="14" t="s">
        <v>87</v>
      </c>
      <c r="E456" s="14"/>
      <c r="F456" s="15"/>
      <c r="G456" s="15">
        <f t="shared" si="213"/>
        <v>0</v>
      </c>
      <c r="H456" s="196">
        <v>1248.29</v>
      </c>
      <c r="I456" s="15">
        <f t="shared" si="211"/>
        <v>0</v>
      </c>
      <c r="J456" s="15">
        <f t="shared" si="215"/>
        <v>0</v>
      </c>
      <c r="K456" s="15">
        <f t="shared" si="214"/>
        <v>0</v>
      </c>
    </row>
    <row r="457" spans="1:11" ht="17.5" customHeight="1">
      <c r="A457" s="12" t="s">
        <v>1051</v>
      </c>
      <c r="B457" s="13" t="s">
        <v>663</v>
      </c>
      <c r="C457" s="11"/>
      <c r="D457" s="14" t="s">
        <v>124</v>
      </c>
      <c r="E457" s="14"/>
      <c r="F457" s="15"/>
      <c r="G457" s="15">
        <f t="shared" si="213"/>
        <v>0</v>
      </c>
      <c r="H457" s="196">
        <v>2.83</v>
      </c>
      <c r="I457" s="15">
        <f t="shared" si="211"/>
        <v>0</v>
      </c>
      <c r="J457" s="15">
        <f t="shared" si="215"/>
        <v>0</v>
      </c>
      <c r="K457" s="15">
        <f t="shared" si="214"/>
        <v>0</v>
      </c>
    </row>
    <row r="458" spans="1:11">
      <c r="A458" s="8" t="s">
        <v>1052</v>
      </c>
      <c r="B458" s="9" t="s">
        <v>670</v>
      </c>
      <c r="C458" s="8"/>
      <c r="D458" s="8"/>
      <c r="E458" s="8"/>
      <c r="F458" s="203"/>
      <c r="G458" s="203"/>
      <c r="H458" s="195"/>
      <c r="I458" s="195"/>
      <c r="J458" s="10">
        <f>SUM(J459:J464)</f>
        <v>0</v>
      </c>
      <c r="K458" s="10">
        <f>SUM(K459:K464)</f>
        <v>0</v>
      </c>
    </row>
    <row r="459" spans="1:11">
      <c r="A459" s="12" t="s">
        <v>1053</v>
      </c>
      <c r="B459" s="13" t="s">
        <v>659</v>
      </c>
      <c r="C459" s="11"/>
      <c r="D459" s="15" t="s">
        <v>124</v>
      </c>
      <c r="E459" s="14"/>
      <c r="F459" s="15"/>
      <c r="G459" s="15">
        <f t="shared" ref="G459:G464" si="216">F459-E459</f>
        <v>0</v>
      </c>
      <c r="H459" s="196">
        <v>1.75</v>
      </c>
      <c r="I459" s="15">
        <f t="shared" si="211"/>
        <v>0</v>
      </c>
      <c r="J459" s="15">
        <f>H459*F459</f>
        <v>0</v>
      </c>
      <c r="K459" s="15">
        <f t="shared" ref="K459:K464" si="217">G459*H459</f>
        <v>0</v>
      </c>
    </row>
    <row r="460" spans="1:11" ht="26">
      <c r="A460" s="12" t="s">
        <v>1054</v>
      </c>
      <c r="B460" s="13" t="s">
        <v>660</v>
      </c>
      <c r="C460" s="11"/>
      <c r="D460" s="15" t="s">
        <v>87</v>
      </c>
      <c r="E460" s="14"/>
      <c r="F460" s="199"/>
      <c r="G460" s="15">
        <f t="shared" si="216"/>
        <v>0</v>
      </c>
      <c r="H460" s="196">
        <v>10.32</v>
      </c>
      <c r="I460" s="15">
        <f t="shared" si="211"/>
        <v>0</v>
      </c>
      <c r="J460" s="15">
        <f t="shared" ref="J460:J464" si="218">H460*F460</f>
        <v>0</v>
      </c>
      <c r="K460" s="15">
        <f t="shared" si="217"/>
        <v>0</v>
      </c>
    </row>
    <row r="461" spans="1:11" ht="28.5" customHeight="1">
      <c r="A461" s="12" t="s">
        <v>1055</v>
      </c>
      <c r="B461" s="13" t="s">
        <v>661</v>
      </c>
      <c r="C461" s="11"/>
      <c r="D461" s="15" t="s">
        <v>1486</v>
      </c>
      <c r="E461" s="14"/>
      <c r="F461" s="199"/>
      <c r="G461" s="15">
        <f t="shared" si="216"/>
        <v>0</v>
      </c>
      <c r="H461" s="196">
        <v>2.14</v>
      </c>
      <c r="I461" s="15">
        <f t="shared" si="211"/>
        <v>0</v>
      </c>
      <c r="J461" s="15">
        <f t="shared" si="218"/>
        <v>0</v>
      </c>
      <c r="K461" s="15">
        <f t="shared" si="217"/>
        <v>0</v>
      </c>
    </row>
    <row r="462" spans="1:11" ht="32.5" customHeight="1">
      <c r="A462" s="12" t="s">
        <v>1056</v>
      </c>
      <c r="B462" s="19" t="s">
        <v>669</v>
      </c>
      <c r="C462" s="11"/>
      <c r="D462" s="192" t="s">
        <v>1486</v>
      </c>
      <c r="E462" s="193"/>
      <c r="F462" s="204"/>
      <c r="G462" s="15">
        <f t="shared" si="216"/>
        <v>0</v>
      </c>
      <c r="H462" s="197">
        <v>0.87</v>
      </c>
      <c r="I462" s="15">
        <f t="shared" si="211"/>
        <v>0</v>
      </c>
      <c r="J462" s="15">
        <f t="shared" si="218"/>
        <v>0</v>
      </c>
      <c r="K462" s="15">
        <f t="shared" si="217"/>
        <v>0</v>
      </c>
    </row>
    <row r="463" spans="1:11" ht="26.5">
      <c r="A463" s="12" t="s">
        <v>1057</v>
      </c>
      <c r="B463" s="19" t="s">
        <v>671</v>
      </c>
      <c r="C463" s="11"/>
      <c r="D463" s="15" t="s">
        <v>87</v>
      </c>
      <c r="E463" s="14"/>
      <c r="F463" s="199"/>
      <c r="G463" s="15">
        <f t="shared" si="216"/>
        <v>0</v>
      </c>
      <c r="H463" s="196">
        <v>1248.29</v>
      </c>
      <c r="I463" s="15">
        <f t="shared" si="211"/>
        <v>0</v>
      </c>
      <c r="J463" s="15">
        <f t="shared" si="218"/>
        <v>0</v>
      </c>
      <c r="K463" s="15">
        <f t="shared" si="217"/>
        <v>0</v>
      </c>
    </row>
    <row r="464" spans="1:11" ht="16.5" customHeight="1">
      <c r="A464" s="12" t="s">
        <v>1058</v>
      </c>
      <c r="B464" s="17" t="s">
        <v>672</v>
      </c>
      <c r="C464" s="11" t="s">
        <v>87</v>
      </c>
      <c r="D464" s="15" t="s">
        <v>124</v>
      </c>
      <c r="E464" s="14"/>
      <c r="F464" s="199"/>
      <c r="G464" s="15">
        <f t="shared" si="216"/>
        <v>0</v>
      </c>
      <c r="H464" s="196">
        <v>2.83</v>
      </c>
      <c r="I464" s="15">
        <f t="shared" si="211"/>
        <v>0</v>
      </c>
      <c r="J464" s="15">
        <f t="shared" si="218"/>
        <v>0</v>
      </c>
      <c r="K464" s="15">
        <f t="shared" si="217"/>
        <v>0</v>
      </c>
    </row>
    <row r="465" spans="1:11">
      <c r="A465" s="8" t="s">
        <v>1059</v>
      </c>
      <c r="B465" s="9" t="s">
        <v>107</v>
      </c>
      <c r="C465" s="8"/>
      <c r="D465" s="8"/>
      <c r="E465" s="8"/>
      <c r="F465" s="203"/>
      <c r="G465" s="203"/>
      <c r="H465" s="195"/>
      <c r="I465" s="195"/>
      <c r="J465" s="10">
        <f>SUM(J466:J468)</f>
        <v>0</v>
      </c>
      <c r="K465" s="10">
        <f>SUM(K466:K468)</f>
        <v>0</v>
      </c>
    </row>
    <row r="466" spans="1:11" ht="39">
      <c r="A466" s="12" t="s">
        <v>1060</v>
      </c>
      <c r="B466" s="13" t="s">
        <v>674</v>
      </c>
      <c r="C466" s="11" t="s">
        <v>33</v>
      </c>
      <c r="D466" s="14" t="s">
        <v>1487</v>
      </c>
      <c r="E466" s="14"/>
      <c r="F466" s="15"/>
      <c r="G466" s="15">
        <f>F466-E466</f>
        <v>0</v>
      </c>
      <c r="H466" s="196">
        <v>625.09</v>
      </c>
      <c r="I466" s="15">
        <f t="shared" si="211"/>
        <v>0</v>
      </c>
      <c r="J466" s="15">
        <f>H466*F466</f>
        <v>0</v>
      </c>
      <c r="K466" s="15">
        <f t="shared" ref="K466:K468" si="219">G466*H466</f>
        <v>0</v>
      </c>
    </row>
    <row r="467" spans="1:11" ht="17" customHeight="1">
      <c r="A467" s="12" t="s">
        <v>1061</v>
      </c>
      <c r="B467" s="194" t="s">
        <v>680</v>
      </c>
      <c r="C467" s="11" t="s">
        <v>33</v>
      </c>
      <c r="D467" s="14" t="s">
        <v>124</v>
      </c>
      <c r="E467" s="14"/>
      <c r="F467" s="15"/>
      <c r="G467" s="15">
        <f>F467-E467</f>
        <v>0</v>
      </c>
      <c r="H467" s="196">
        <v>16.260000000000002</v>
      </c>
      <c r="I467" s="15">
        <f t="shared" si="211"/>
        <v>0</v>
      </c>
      <c r="J467" s="15">
        <f t="shared" ref="J467:J468" si="220">H467*F467</f>
        <v>0</v>
      </c>
      <c r="K467" s="15">
        <f t="shared" si="219"/>
        <v>0</v>
      </c>
    </row>
    <row r="468" spans="1:11" ht="16.5" customHeight="1">
      <c r="A468" s="12" t="s">
        <v>1062</v>
      </c>
      <c r="B468" s="13" t="s">
        <v>675</v>
      </c>
      <c r="C468" s="11" t="s">
        <v>33</v>
      </c>
      <c r="D468" s="14" t="s">
        <v>124</v>
      </c>
      <c r="E468" s="14"/>
      <c r="F468" s="15"/>
      <c r="G468" s="15">
        <f>F468-E468</f>
        <v>0</v>
      </c>
      <c r="H468" s="196">
        <v>4.5599999999999996</v>
      </c>
      <c r="I468" s="15">
        <f t="shared" si="211"/>
        <v>0</v>
      </c>
      <c r="J468" s="15">
        <f t="shared" si="220"/>
        <v>0</v>
      </c>
      <c r="K468" s="15">
        <f t="shared" si="219"/>
        <v>0</v>
      </c>
    </row>
    <row r="469" spans="1:11">
      <c r="A469" s="8" t="s">
        <v>1064</v>
      </c>
      <c r="B469" s="9" t="s">
        <v>678</v>
      </c>
      <c r="C469" s="8"/>
      <c r="D469" s="8"/>
      <c r="E469" s="8"/>
      <c r="F469" s="203"/>
      <c r="G469" s="203"/>
      <c r="H469" s="195"/>
      <c r="I469" s="195"/>
      <c r="J469" s="10">
        <f>SUM(J470:J471)</f>
        <v>0</v>
      </c>
      <c r="K469" s="10">
        <f>SUM(K470:K471)</f>
        <v>0</v>
      </c>
    </row>
    <row r="470" spans="1:11">
      <c r="A470" s="12" t="s">
        <v>1063</v>
      </c>
      <c r="B470" s="13" t="s">
        <v>659</v>
      </c>
      <c r="C470" s="11" t="s">
        <v>11</v>
      </c>
      <c r="D470" s="14" t="s">
        <v>124</v>
      </c>
      <c r="E470" s="14"/>
      <c r="F470" s="15"/>
      <c r="G470" s="15">
        <f>F470-E470</f>
        <v>0</v>
      </c>
      <c r="H470" s="196">
        <v>1.75</v>
      </c>
      <c r="I470" s="15">
        <f t="shared" si="211"/>
        <v>0</v>
      </c>
      <c r="J470" s="15">
        <f>H470*F470</f>
        <v>0</v>
      </c>
      <c r="K470" s="15">
        <f t="shared" ref="K470:K471" si="221">G470*H470</f>
        <v>0</v>
      </c>
    </row>
    <row r="471" spans="1:11">
      <c r="A471" s="12" t="s">
        <v>1065</v>
      </c>
      <c r="B471" s="13" t="s">
        <v>679</v>
      </c>
      <c r="C471" s="11" t="s">
        <v>11</v>
      </c>
      <c r="D471" s="14" t="s">
        <v>1487</v>
      </c>
      <c r="E471" s="14"/>
      <c r="F471" s="15"/>
      <c r="G471" s="15">
        <f>F471-E471</f>
        <v>0</v>
      </c>
      <c r="H471" s="196">
        <v>92.34</v>
      </c>
      <c r="I471" s="15">
        <f t="shared" si="211"/>
        <v>0</v>
      </c>
      <c r="J471" s="15">
        <f>H471*F471</f>
        <v>0</v>
      </c>
      <c r="K471" s="15">
        <f t="shared" si="221"/>
        <v>0</v>
      </c>
    </row>
    <row r="472" spans="1:11">
      <c r="A472" s="184">
        <v>18</v>
      </c>
      <c r="B472" s="191" t="s">
        <v>1471</v>
      </c>
      <c r="C472" s="184"/>
      <c r="D472" s="184"/>
      <c r="E472" s="184"/>
      <c r="F472" s="202"/>
      <c r="G472" s="202"/>
      <c r="H472" s="198"/>
      <c r="I472" s="185">
        <f>SUM(I473,I476,I478,I485,I492,I496)</f>
        <v>206693.0527</v>
      </c>
      <c r="J472" s="185">
        <f>SUM(J473,J476,J478,J485,J492,J496)</f>
        <v>206693.0527</v>
      </c>
      <c r="K472" s="185">
        <f>SUM(K473,K476,K478,K485,K492,K496)</f>
        <v>0</v>
      </c>
    </row>
    <row r="473" spans="1:11">
      <c r="A473" s="8" t="s">
        <v>1066</v>
      </c>
      <c r="B473" s="9" t="s">
        <v>8</v>
      </c>
      <c r="C473" s="8"/>
      <c r="D473" s="8"/>
      <c r="E473" s="8"/>
      <c r="F473" s="203"/>
      <c r="G473" s="203"/>
      <c r="H473" s="195"/>
      <c r="I473" s="10">
        <f>SUM(I474:I475)</f>
        <v>16859.877899999999</v>
      </c>
      <c r="J473" s="10">
        <f>SUM(J474:J475)</f>
        <v>16859.877899999999</v>
      </c>
      <c r="K473" s="10">
        <f>SUM(K474:K475)</f>
        <v>0</v>
      </c>
    </row>
    <row r="474" spans="1:11" ht="26">
      <c r="A474" s="12" t="s">
        <v>1067</v>
      </c>
      <c r="B474" s="13" t="s">
        <v>653</v>
      </c>
      <c r="C474" s="11" t="s">
        <v>13</v>
      </c>
      <c r="D474" s="14" t="s">
        <v>124</v>
      </c>
      <c r="E474" s="14">
        <f>F474</f>
        <v>2024.6</v>
      </c>
      <c r="F474" s="15">
        <v>2024.6</v>
      </c>
      <c r="G474" s="15">
        <f>F474-E474</f>
        <v>0</v>
      </c>
      <c r="H474" s="196">
        <v>0.36</v>
      </c>
      <c r="I474" s="15">
        <f>H474*E474</f>
        <v>728.85599999999999</v>
      </c>
      <c r="J474" s="15">
        <f>H474*F474</f>
        <v>728.85599999999999</v>
      </c>
      <c r="K474" s="15">
        <f t="shared" ref="K474:K475" si="222">G474*H474</f>
        <v>0</v>
      </c>
    </row>
    <row r="475" spans="1:11" ht="52">
      <c r="A475" s="12" t="s">
        <v>1068</v>
      </c>
      <c r="B475" s="13" t="s">
        <v>650</v>
      </c>
      <c r="C475" s="11" t="s">
        <v>11</v>
      </c>
      <c r="D475" s="14" t="s">
        <v>124</v>
      </c>
      <c r="E475" s="14">
        <f>F475</f>
        <v>261.57</v>
      </c>
      <c r="F475" s="15">
        <v>261.57</v>
      </c>
      <c r="G475" s="15">
        <f>F475-E475</f>
        <v>0</v>
      </c>
      <c r="H475" s="196">
        <v>61.67</v>
      </c>
      <c r="I475" s="15">
        <f>H475*E475</f>
        <v>16131.0219</v>
      </c>
      <c r="J475" s="15">
        <f>H475*F475</f>
        <v>16131.0219</v>
      </c>
      <c r="K475" s="15">
        <f t="shared" si="222"/>
        <v>0</v>
      </c>
    </row>
    <row r="476" spans="1:11">
      <c r="A476" s="8" t="s">
        <v>1069</v>
      </c>
      <c r="B476" s="9" t="s">
        <v>655</v>
      </c>
      <c r="C476" s="8"/>
      <c r="D476" s="8"/>
      <c r="E476" s="8"/>
      <c r="F476" s="203"/>
      <c r="G476" s="203"/>
      <c r="H476" s="195"/>
      <c r="I476" s="10">
        <f>SUM(I477:I477)</f>
        <v>769.34799999999996</v>
      </c>
      <c r="J476" s="10">
        <f>SUM(J477:J477)</f>
        <v>769.34799999999996</v>
      </c>
      <c r="K476" s="10">
        <f>SUM(K477:K477)</f>
        <v>0</v>
      </c>
    </row>
    <row r="477" spans="1:11" ht="26">
      <c r="A477" s="12" t="s">
        <v>1070</v>
      </c>
      <c r="B477" s="13" t="s">
        <v>656</v>
      </c>
      <c r="C477" s="11"/>
      <c r="D477" s="14" t="s">
        <v>124</v>
      </c>
      <c r="E477" s="14">
        <f>F477</f>
        <v>2024.6</v>
      </c>
      <c r="F477" s="15">
        <v>2024.6</v>
      </c>
      <c r="G477" s="15">
        <f>F477-E477</f>
        <v>0</v>
      </c>
      <c r="H477" s="196">
        <v>0.38</v>
      </c>
      <c r="I477" s="15">
        <f t="shared" ref="I477:I498" si="223">H477*E477</f>
        <v>769.34799999999996</v>
      </c>
      <c r="J477" s="15">
        <f>H477*F477</f>
        <v>769.34799999999996</v>
      </c>
      <c r="K477" s="15">
        <f t="shared" ref="K477" si="224">G477*H477</f>
        <v>0</v>
      </c>
    </row>
    <row r="478" spans="1:11">
      <c r="A478" s="8" t="s">
        <v>1071</v>
      </c>
      <c r="B478" s="9" t="s">
        <v>658</v>
      </c>
      <c r="C478" s="8"/>
      <c r="D478" s="8"/>
      <c r="E478" s="8"/>
      <c r="F478" s="203"/>
      <c r="G478" s="203"/>
      <c r="H478" s="195"/>
      <c r="I478" s="10">
        <f>SUM(I479:I484)</f>
        <v>92760.388400000011</v>
      </c>
      <c r="J478" s="10">
        <f>SUM(J479:J484)</f>
        <v>92760.388400000011</v>
      </c>
      <c r="K478" s="10">
        <f>SUM(K479:K484)</f>
        <v>0</v>
      </c>
    </row>
    <row r="479" spans="1:11">
      <c r="A479" s="12" t="s">
        <v>1072</v>
      </c>
      <c r="B479" s="13" t="s">
        <v>659</v>
      </c>
      <c r="C479" s="11"/>
      <c r="D479" s="14" t="s">
        <v>124</v>
      </c>
      <c r="E479" s="14">
        <f>F479</f>
        <v>2024.6</v>
      </c>
      <c r="F479" s="15">
        <v>2024.6</v>
      </c>
      <c r="G479" s="15">
        <f t="shared" ref="G479:G484" si="225">F479-E479</f>
        <v>0</v>
      </c>
      <c r="H479" s="196">
        <v>1.75</v>
      </c>
      <c r="I479" s="15">
        <f t="shared" si="223"/>
        <v>3543.0499999999997</v>
      </c>
      <c r="J479" s="15">
        <f>H479*F479</f>
        <v>3543.0499999999997</v>
      </c>
      <c r="K479" s="15">
        <f t="shared" ref="K479:K484" si="226">G479*H479</f>
        <v>0</v>
      </c>
    </row>
    <row r="480" spans="1:11" ht="26">
      <c r="A480" s="12" t="s">
        <v>1073</v>
      </c>
      <c r="B480" s="13" t="s">
        <v>660</v>
      </c>
      <c r="C480" s="11"/>
      <c r="D480" s="14" t="s">
        <v>87</v>
      </c>
      <c r="E480" s="14">
        <f t="shared" ref="E480:E484" si="227">F480</f>
        <v>60.74</v>
      </c>
      <c r="F480" s="15">
        <v>60.74</v>
      </c>
      <c r="G480" s="15">
        <f t="shared" si="225"/>
        <v>0</v>
      </c>
      <c r="H480" s="196">
        <v>10.32</v>
      </c>
      <c r="I480" s="15">
        <f t="shared" si="223"/>
        <v>626.83680000000004</v>
      </c>
      <c r="J480" s="15">
        <f t="shared" ref="J480:J484" si="228">H480*F480</f>
        <v>626.83680000000004</v>
      </c>
      <c r="K480" s="15">
        <f t="shared" si="226"/>
        <v>0</v>
      </c>
    </row>
    <row r="481" spans="1:11" ht="28.5" customHeight="1">
      <c r="A481" s="12" t="s">
        <v>1074</v>
      </c>
      <c r="B481" s="13" t="s">
        <v>661</v>
      </c>
      <c r="C481" s="11"/>
      <c r="D481" s="14" t="s">
        <v>1486</v>
      </c>
      <c r="E481" s="14">
        <f t="shared" si="227"/>
        <v>1822.14</v>
      </c>
      <c r="F481" s="15">
        <v>1822.14</v>
      </c>
      <c r="G481" s="15">
        <f t="shared" si="225"/>
        <v>0</v>
      </c>
      <c r="H481" s="196">
        <v>2.14</v>
      </c>
      <c r="I481" s="15">
        <f t="shared" si="223"/>
        <v>3899.3796000000007</v>
      </c>
      <c r="J481" s="15">
        <f t="shared" si="228"/>
        <v>3899.3796000000007</v>
      </c>
      <c r="K481" s="15">
        <f t="shared" si="226"/>
        <v>0</v>
      </c>
    </row>
    <row r="482" spans="1:11" ht="29" customHeight="1">
      <c r="A482" s="12" t="s">
        <v>1075</v>
      </c>
      <c r="B482" s="13" t="s">
        <v>669</v>
      </c>
      <c r="C482" s="11"/>
      <c r="D482" s="14" t="s">
        <v>1486</v>
      </c>
      <c r="E482" s="14">
        <f t="shared" si="227"/>
        <v>3609.62</v>
      </c>
      <c r="F482" s="15">
        <v>3609.62</v>
      </c>
      <c r="G482" s="15">
        <f t="shared" si="225"/>
        <v>0</v>
      </c>
      <c r="H482" s="196">
        <v>0.87</v>
      </c>
      <c r="I482" s="15">
        <f t="shared" si="223"/>
        <v>3140.3694</v>
      </c>
      <c r="J482" s="15">
        <f t="shared" si="228"/>
        <v>3140.3694</v>
      </c>
      <c r="K482" s="15">
        <f t="shared" si="226"/>
        <v>0</v>
      </c>
    </row>
    <row r="483" spans="1:11" ht="28" customHeight="1">
      <c r="A483" s="12" t="s">
        <v>1076</v>
      </c>
      <c r="B483" s="13" t="s">
        <v>662</v>
      </c>
      <c r="C483" s="11"/>
      <c r="D483" s="14" t="s">
        <v>87</v>
      </c>
      <c r="E483" s="14">
        <f t="shared" si="227"/>
        <v>60.74</v>
      </c>
      <c r="F483" s="15">
        <v>60.74</v>
      </c>
      <c r="G483" s="15">
        <f t="shared" si="225"/>
        <v>0</v>
      </c>
      <c r="H483" s="196">
        <v>1248.29</v>
      </c>
      <c r="I483" s="15">
        <f t="shared" si="223"/>
        <v>75821.134600000005</v>
      </c>
      <c r="J483" s="15">
        <f t="shared" si="228"/>
        <v>75821.134600000005</v>
      </c>
      <c r="K483" s="15">
        <f t="shared" si="226"/>
        <v>0</v>
      </c>
    </row>
    <row r="484" spans="1:11" ht="17.5" customHeight="1">
      <c r="A484" s="12" t="s">
        <v>1077</v>
      </c>
      <c r="B484" s="13" t="s">
        <v>663</v>
      </c>
      <c r="C484" s="11"/>
      <c r="D484" s="14" t="s">
        <v>124</v>
      </c>
      <c r="E484" s="14">
        <f t="shared" si="227"/>
        <v>2024.6</v>
      </c>
      <c r="F484" s="15">
        <v>2024.6</v>
      </c>
      <c r="G484" s="15">
        <f t="shared" si="225"/>
        <v>0</v>
      </c>
      <c r="H484" s="196">
        <v>2.83</v>
      </c>
      <c r="I484" s="15">
        <f t="shared" si="223"/>
        <v>5729.6179999999995</v>
      </c>
      <c r="J484" s="15">
        <f t="shared" si="228"/>
        <v>5729.6179999999995</v>
      </c>
      <c r="K484" s="15">
        <f t="shared" si="226"/>
        <v>0</v>
      </c>
    </row>
    <row r="485" spans="1:11">
      <c r="A485" s="8" t="s">
        <v>1078</v>
      </c>
      <c r="B485" s="9" t="s">
        <v>670</v>
      </c>
      <c r="C485" s="8"/>
      <c r="D485" s="8"/>
      <c r="E485" s="8"/>
      <c r="F485" s="203"/>
      <c r="G485" s="203"/>
      <c r="H485" s="195"/>
      <c r="I485" s="10">
        <f>SUM(I486:I491)</f>
        <v>92760.388400000011</v>
      </c>
      <c r="J485" s="10">
        <f>SUM(J486:J491)</f>
        <v>92760.388400000011</v>
      </c>
      <c r="K485" s="10">
        <f>SUM(K486:K491)</f>
        <v>0</v>
      </c>
    </row>
    <row r="486" spans="1:11">
      <c r="A486" s="12" t="s">
        <v>1079</v>
      </c>
      <c r="B486" s="13" t="s">
        <v>659</v>
      </c>
      <c r="C486" s="11"/>
      <c r="D486" s="15" t="s">
        <v>124</v>
      </c>
      <c r="E486" s="14">
        <f>F486</f>
        <v>2024.6</v>
      </c>
      <c r="F486" s="15">
        <v>2024.6</v>
      </c>
      <c r="G486" s="15">
        <f t="shared" ref="G486:G491" si="229">F486-E486</f>
        <v>0</v>
      </c>
      <c r="H486" s="196">
        <v>1.75</v>
      </c>
      <c r="I486" s="15">
        <f t="shared" si="223"/>
        <v>3543.0499999999997</v>
      </c>
      <c r="J486" s="15">
        <f>H486*F486</f>
        <v>3543.0499999999997</v>
      </c>
      <c r="K486" s="15">
        <f t="shared" ref="K486:K491" si="230">G486*H486</f>
        <v>0</v>
      </c>
    </row>
    <row r="487" spans="1:11" ht="26">
      <c r="A487" s="12" t="s">
        <v>1080</v>
      </c>
      <c r="B487" s="13" t="s">
        <v>660</v>
      </c>
      <c r="C487" s="11"/>
      <c r="D487" s="15" t="s">
        <v>87</v>
      </c>
      <c r="E487" s="14">
        <f t="shared" ref="E487:E491" si="231">F487</f>
        <v>60.74</v>
      </c>
      <c r="F487" s="199">
        <v>60.74</v>
      </c>
      <c r="G487" s="15">
        <f t="shared" si="229"/>
        <v>0</v>
      </c>
      <c r="H487" s="196">
        <v>10.32</v>
      </c>
      <c r="I487" s="15">
        <f t="shared" si="223"/>
        <v>626.83680000000004</v>
      </c>
      <c r="J487" s="15">
        <f t="shared" ref="J487:J491" si="232">H487*F487</f>
        <v>626.83680000000004</v>
      </c>
      <c r="K487" s="15">
        <f t="shared" si="230"/>
        <v>0</v>
      </c>
    </row>
    <row r="488" spans="1:11" ht="28.5" customHeight="1">
      <c r="A488" s="12" t="s">
        <v>1081</v>
      </c>
      <c r="B488" s="13" t="s">
        <v>661</v>
      </c>
      <c r="C488" s="11"/>
      <c r="D488" s="15" t="s">
        <v>1486</v>
      </c>
      <c r="E488" s="14">
        <f t="shared" si="231"/>
        <v>1822.14</v>
      </c>
      <c r="F488" s="199">
        <v>1822.14</v>
      </c>
      <c r="G488" s="15">
        <f t="shared" si="229"/>
        <v>0</v>
      </c>
      <c r="H488" s="196">
        <v>2.14</v>
      </c>
      <c r="I488" s="15">
        <f t="shared" si="223"/>
        <v>3899.3796000000007</v>
      </c>
      <c r="J488" s="15">
        <f t="shared" si="232"/>
        <v>3899.3796000000007</v>
      </c>
      <c r="K488" s="15">
        <f t="shared" si="230"/>
        <v>0</v>
      </c>
    </row>
    <row r="489" spans="1:11" ht="32.5" customHeight="1">
      <c r="A489" s="12" t="s">
        <v>1082</v>
      </c>
      <c r="B489" s="19" t="s">
        <v>669</v>
      </c>
      <c r="C489" s="11"/>
      <c r="D489" s="192" t="s">
        <v>1486</v>
      </c>
      <c r="E489" s="14">
        <f t="shared" si="231"/>
        <v>3609.62</v>
      </c>
      <c r="F489" s="204">
        <v>3609.62</v>
      </c>
      <c r="G489" s="15">
        <f t="shared" si="229"/>
        <v>0</v>
      </c>
      <c r="H489" s="197">
        <v>0.87</v>
      </c>
      <c r="I489" s="15">
        <f t="shared" si="223"/>
        <v>3140.3694</v>
      </c>
      <c r="J489" s="15">
        <f t="shared" si="232"/>
        <v>3140.3694</v>
      </c>
      <c r="K489" s="15">
        <f t="shared" si="230"/>
        <v>0</v>
      </c>
    </row>
    <row r="490" spans="1:11" ht="26.5">
      <c r="A490" s="12" t="s">
        <v>1083</v>
      </c>
      <c r="B490" s="19" t="s">
        <v>671</v>
      </c>
      <c r="C490" s="11"/>
      <c r="D490" s="15" t="s">
        <v>87</v>
      </c>
      <c r="E490" s="14">
        <f t="shared" si="231"/>
        <v>60.74</v>
      </c>
      <c r="F490" s="199">
        <v>60.74</v>
      </c>
      <c r="G490" s="15">
        <f t="shared" si="229"/>
        <v>0</v>
      </c>
      <c r="H490" s="196">
        <v>1248.29</v>
      </c>
      <c r="I490" s="15">
        <f t="shared" si="223"/>
        <v>75821.134600000005</v>
      </c>
      <c r="J490" s="15">
        <f t="shared" si="232"/>
        <v>75821.134600000005</v>
      </c>
      <c r="K490" s="15">
        <f t="shared" si="230"/>
        <v>0</v>
      </c>
    </row>
    <row r="491" spans="1:11" ht="16.5" customHeight="1">
      <c r="A491" s="12" t="s">
        <v>1084</v>
      </c>
      <c r="B491" s="17" t="s">
        <v>672</v>
      </c>
      <c r="C491" s="11" t="s">
        <v>87</v>
      </c>
      <c r="D491" s="15" t="s">
        <v>124</v>
      </c>
      <c r="E491" s="14">
        <f t="shared" si="231"/>
        <v>2024.6</v>
      </c>
      <c r="F491" s="199">
        <v>2024.6</v>
      </c>
      <c r="G491" s="15">
        <f t="shared" si="229"/>
        <v>0</v>
      </c>
      <c r="H491" s="196">
        <v>2.83</v>
      </c>
      <c r="I491" s="15">
        <f t="shared" si="223"/>
        <v>5729.6179999999995</v>
      </c>
      <c r="J491" s="15">
        <f t="shared" si="232"/>
        <v>5729.6179999999995</v>
      </c>
      <c r="K491" s="15">
        <f t="shared" si="230"/>
        <v>0</v>
      </c>
    </row>
    <row r="492" spans="1:11">
      <c r="A492" s="8" t="s">
        <v>1085</v>
      </c>
      <c r="B492" s="9" t="s">
        <v>107</v>
      </c>
      <c r="C492" s="8"/>
      <c r="D492" s="8"/>
      <c r="E492" s="8"/>
      <c r="F492" s="203"/>
      <c r="G492" s="203"/>
      <c r="H492" s="195"/>
      <c r="I492" s="10">
        <f>SUM(I493:I495)</f>
        <v>0</v>
      </c>
      <c r="J492" s="10">
        <f>SUM(J493:J495)</f>
        <v>0</v>
      </c>
      <c r="K492" s="10">
        <f>SUM(K493:K495)</f>
        <v>0</v>
      </c>
    </row>
    <row r="493" spans="1:11" ht="39">
      <c r="A493" s="12" t="s">
        <v>1086</v>
      </c>
      <c r="B493" s="13" t="s">
        <v>674</v>
      </c>
      <c r="C493" s="11" t="s">
        <v>33</v>
      </c>
      <c r="D493" s="14" t="s">
        <v>1487</v>
      </c>
      <c r="E493" s="14"/>
      <c r="F493" s="15"/>
      <c r="G493" s="15">
        <f>F493-E493</f>
        <v>0</v>
      </c>
      <c r="H493" s="196">
        <v>625.09</v>
      </c>
      <c r="I493" s="15">
        <f t="shared" si="223"/>
        <v>0</v>
      </c>
      <c r="J493" s="15">
        <f>H493*F493</f>
        <v>0</v>
      </c>
      <c r="K493" s="15">
        <f t="shared" ref="K493:K495" si="233">G493*H493</f>
        <v>0</v>
      </c>
    </row>
    <row r="494" spans="1:11" ht="17" customHeight="1">
      <c r="A494" s="12" t="s">
        <v>1087</v>
      </c>
      <c r="B494" s="194" t="s">
        <v>680</v>
      </c>
      <c r="C494" s="11" t="s">
        <v>33</v>
      </c>
      <c r="D494" s="14" t="s">
        <v>124</v>
      </c>
      <c r="E494" s="14"/>
      <c r="F494" s="15"/>
      <c r="G494" s="15">
        <f>F494-E494</f>
        <v>0</v>
      </c>
      <c r="H494" s="196">
        <v>16.260000000000002</v>
      </c>
      <c r="I494" s="15">
        <f t="shared" si="223"/>
        <v>0</v>
      </c>
      <c r="J494" s="15">
        <f t="shared" ref="J494:J495" si="234">H494*F494</f>
        <v>0</v>
      </c>
      <c r="K494" s="15">
        <f t="shared" si="233"/>
        <v>0</v>
      </c>
    </row>
    <row r="495" spans="1:11" ht="16.5" customHeight="1">
      <c r="A495" s="12" t="s">
        <v>1088</v>
      </c>
      <c r="B495" s="13" t="s">
        <v>675</v>
      </c>
      <c r="C495" s="11" t="s">
        <v>33</v>
      </c>
      <c r="D495" s="14" t="s">
        <v>124</v>
      </c>
      <c r="E495" s="14"/>
      <c r="F495" s="15"/>
      <c r="G495" s="15">
        <f>F495-E495</f>
        <v>0</v>
      </c>
      <c r="H495" s="196">
        <v>4.5599999999999996</v>
      </c>
      <c r="I495" s="15">
        <f t="shared" si="223"/>
        <v>0</v>
      </c>
      <c r="J495" s="15">
        <f t="shared" si="234"/>
        <v>0</v>
      </c>
      <c r="K495" s="15">
        <f t="shared" si="233"/>
        <v>0</v>
      </c>
    </row>
    <row r="496" spans="1:11">
      <c r="A496" s="8" t="s">
        <v>1089</v>
      </c>
      <c r="B496" s="9" t="s">
        <v>678</v>
      </c>
      <c r="C496" s="8"/>
      <c r="D496" s="8"/>
      <c r="E496" s="8"/>
      <c r="F496" s="203"/>
      <c r="G496" s="203"/>
      <c r="H496" s="195"/>
      <c r="I496" s="10">
        <f>SUM(I497:I498)</f>
        <v>3543.0499999999997</v>
      </c>
      <c r="J496" s="10">
        <f>SUM(J497:J498)</f>
        <v>3543.0499999999997</v>
      </c>
      <c r="K496" s="10">
        <f>SUM(K497:K498)</f>
        <v>0</v>
      </c>
    </row>
    <row r="497" spans="1:11">
      <c r="A497" s="12" t="s">
        <v>1090</v>
      </c>
      <c r="B497" s="13" t="s">
        <v>659</v>
      </c>
      <c r="C497" s="11" t="s">
        <v>11</v>
      </c>
      <c r="D497" s="14" t="s">
        <v>124</v>
      </c>
      <c r="E497" s="14">
        <f>F497</f>
        <v>2024.6</v>
      </c>
      <c r="F497" s="15">
        <v>2024.6</v>
      </c>
      <c r="G497" s="15">
        <f>F497-E497</f>
        <v>0</v>
      </c>
      <c r="H497" s="196">
        <v>1.75</v>
      </c>
      <c r="I497" s="15">
        <f t="shared" si="223"/>
        <v>3543.0499999999997</v>
      </c>
      <c r="J497" s="15">
        <f>H497*F497</f>
        <v>3543.0499999999997</v>
      </c>
      <c r="K497" s="15">
        <f t="shared" ref="K497:K498" si="235">G497*H497</f>
        <v>0</v>
      </c>
    </row>
    <row r="498" spans="1:11">
      <c r="A498" s="12" t="s">
        <v>1091</v>
      </c>
      <c r="B498" s="13" t="s">
        <v>679</v>
      </c>
      <c r="C498" s="11" t="s">
        <v>11</v>
      </c>
      <c r="D498" s="14" t="s">
        <v>1487</v>
      </c>
      <c r="E498" s="14"/>
      <c r="F498" s="15"/>
      <c r="G498" s="15">
        <f>F498-E498</f>
        <v>0</v>
      </c>
      <c r="H498" s="196">
        <v>92.34</v>
      </c>
      <c r="I498" s="15">
        <f t="shared" si="223"/>
        <v>0</v>
      </c>
      <c r="J498" s="15">
        <f>H498*F498</f>
        <v>0</v>
      </c>
      <c r="K498" s="15">
        <f t="shared" si="235"/>
        <v>0</v>
      </c>
    </row>
    <row r="499" spans="1:11">
      <c r="A499" s="184">
        <v>19</v>
      </c>
      <c r="B499" s="191" t="s">
        <v>1472</v>
      </c>
      <c r="C499" s="184"/>
      <c r="D499" s="184"/>
      <c r="E499" s="184"/>
      <c r="F499" s="202"/>
      <c r="G499" s="202"/>
      <c r="H499" s="198"/>
      <c r="I499" s="185">
        <f>SUM(I500,I503,I505,I512,I519,I523)</f>
        <v>21597.866099999999</v>
      </c>
      <c r="J499" s="185">
        <f>SUM(J500,J503,J505,J512,J519,J523)</f>
        <v>21597.866099999999</v>
      </c>
      <c r="K499" s="185">
        <f>SUM(K500,K503,K505,K512,K519,K523)</f>
        <v>0</v>
      </c>
    </row>
    <row r="500" spans="1:11">
      <c r="A500" s="8" t="s">
        <v>1092</v>
      </c>
      <c r="B500" s="9" t="s">
        <v>8</v>
      </c>
      <c r="C500" s="8"/>
      <c r="D500" s="8"/>
      <c r="E500" s="8"/>
      <c r="F500" s="203"/>
      <c r="G500" s="203"/>
      <c r="H500" s="195"/>
      <c r="I500" s="10">
        <f>SUM(I501:I502)</f>
        <v>1400.1268000000002</v>
      </c>
      <c r="J500" s="10">
        <f>SUM(J501:J502)</f>
        <v>1400.1268000000002</v>
      </c>
      <c r="K500" s="10">
        <f>SUM(K501:K502)</f>
        <v>0</v>
      </c>
    </row>
    <row r="501" spans="1:11" ht="26">
      <c r="A501" s="12" t="s">
        <v>1093</v>
      </c>
      <c r="B501" s="13" t="s">
        <v>653</v>
      </c>
      <c r="C501" s="11" t="s">
        <v>13</v>
      </c>
      <c r="D501" s="14" t="s">
        <v>124</v>
      </c>
      <c r="E501" s="14">
        <f>F501</f>
        <v>216.45</v>
      </c>
      <c r="F501" s="15">
        <v>216.45</v>
      </c>
      <c r="G501" s="15">
        <f>F501-E501</f>
        <v>0</v>
      </c>
      <c r="H501" s="196">
        <v>0.36</v>
      </c>
      <c r="I501" s="15">
        <f>H501*E501</f>
        <v>77.921999999999997</v>
      </c>
      <c r="J501" s="15">
        <f>H501*F501</f>
        <v>77.921999999999997</v>
      </c>
      <c r="K501" s="15">
        <f t="shared" ref="K501:K502" si="236">G501*H501</f>
        <v>0</v>
      </c>
    </row>
    <row r="502" spans="1:11" ht="52">
      <c r="A502" s="12" t="s">
        <v>1094</v>
      </c>
      <c r="B502" s="13" t="s">
        <v>650</v>
      </c>
      <c r="C502" s="11" t="s">
        <v>11</v>
      </c>
      <c r="D502" s="14" t="s">
        <v>124</v>
      </c>
      <c r="E502" s="14">
        <f>F502</f>
        <v>21.44</v>
      </c>
      <c r="F502" s="15">
        <v>21.44</v>
      </c>
      <c r="G502" s="15">
        <f>F502-E502</f>
        <v>0</v>
      </c>
      <c r="H502" s="196">
        <v>61.67</v>
      </c>
      <c r="I502" s="15">
        <f>H502*E502</f>
        <v>1322.2048000000002</v>
      </c>
      <c r="J502" s="15">
        <f>H502*F502</f>
        <v>1322.2048000000002</v>
      </c>
      <c r="K502" s="15">
        <f t="shared" si="236"/>
        <v>0</v>
      </c>
    </row>
    <row r="503" spans="1:11">
      <c r="A503" s="8" t="s">
        <v>1095</v>
      </c>
      <c r="B503" s="9" t="s">
        <v>655</v>
      </c>
      <c r="C503" s="8"/>
      <c r="D503" s="8"/>
      <c r="E503" s="8"/>
      <c r="F503" s="203"/>
      <c r="G503" s="203"/>
      <c r="H503" s="195"/>
      <c r="I503" s="10">
        <f>SUM(I504:I504)</f>
        <v>82.250999999999991</v>
      </c>
      <c r="J503" s="10">
        <f>SUM(J504:J504)</f>
        <v>82.250999999999991</v>
      </c>
      <c r="K503" s="10">
        <f>SUM(K504:K504)</f>
        <v>0</v>
      </c>
    </row>
    <row r="504" spans="1:11" ht="26">
      <c r="A504" s="12" t="s">
        <v>1096</v>
      </c>
      <c r="B504" s="13" t="s">
        <v>656</v>
      </c>
      <c r="C504" s="11"/>
      <c r="D504" s="14" t="s">
        <v>124</v>
      </c>
      <c r="E504" s="14">
        <f>F504</f>
        <v>216.45</v>
      </c>
      <c r="F504" s="15">
        <v>216.45</v>
      </c>
      <c r="G504" s="15">
        <f>F504-E504</f>
        <v>0</v>
      </c>
      <c r="H504" s="196">
        <v>0.38</v>
      </c>
      <c r="I504" s="15">
        <f t="shared" ref="I504:I525" si="237">H504*E504</f>
        <v>82.250999999999991</v>
      </c>
      <c r="J504" s="15">
        <f>H504*F504</f>
        <v>82.250999999999991</v>
      </c>
      <c r="K504" s="15">
        <f t="shared" ref="K504" si="238">G504*H504</f>
        <v>0</v>
      </c>
    </row>
    <row r="505" spans="1:11">
      <c r="A505" s="8" t="s">
        <v>1097</v>
      </c>
      <c r="B505" s="9" t="s">
        <v>658</v>
      </c>
      <c r="C505" s="8"/>
      <c r="D505" s="8"/>
      <c r="E505" s="8"/>
      <c r="F505" s="203"/>
      <c r="G505" s="203"/>
      <c r="H505" s="195"/>
      <c r="I505" s="10">
        <f>SUM(I506:I511)</f>
        <v>9868.3504000000012</v>
      </c>
      <c r="J505" s="10">
        <f>SUM(J506:J511)</f>
        <v>9868.3504000000012</v>
      </c>
      <c r="K505" s="10">
        <f>SUM(K506:K511)</f>
        <v>0</v>
      </c>
    </row>
    <row r="506" spans="1:11">
      <c r="A506" s="12" t="s">
        <v>1098</v>
      </c>
      <c r="B506" s="13" t="s">
        <v>659</v>
      </c>
      <c r="C506" s="11"/>
      <c r="D506" s="14" t="s">
        <v>124</v>
      </c>
      <c r="E506" s="14">
        <f>F506</f>
        <v>216.45</v>
      </c>
      <c r="F506" s="15">
        <v>216.45</v>
      </c>
      <c r="G506" s="15">
        <f t="shared" ref="G506:G511" si="239">F506-E506</f>
        <v>0</v>
      </c>
      <c r="H506" s="196">
        <v>1.75</v>
      </c>
      <c r="I506" s="15">
        <f t="shared" si="237"/>
        <v>378.78749999999997</v>
      </c>
      <c r="J506" s="15">
        <f>H506*F506</f>
        <v>378.78749999999997</v>
      </c>
      <c r="K506" s="15">
        <f t="shared" ref="K506:K511" si="240">G506*H506</f>
        <v>0</v>
      </c>
    </row>
    <row r="507" spans="1:11" ht="26">
      <c r="A507" s="12" t="s">
        <v>1099</v>
      </c>
      <c r="B507" s="13" t="s">
        <v>660</v>
      </c>
      <c r="C507" s="11"/>
      <c r="D507" s="14" t="s">
        <v>87</v>
      </c>
      <c r="E507" s="14">
        <f t="shared" ref="E507:E511" si="241">F507</f>
        <v>6.49</v>
      </c>
      <c r="F507" s="15">
        <v>6.49</v>
      </c>
      <c r="G507" s="15">
        <f t="shared" si="239"/>
        <v>0</v>
      </c>
      <c r="H507" s="196">
        <v>10.32</v>
      </c>
      <c r="I507" s="15">
        <f t="shared" si="237"/>
        <v>66.976799999999997</v>
      </c>
      <c r="J507" s="15">
        <f t="shared" ref="J507:J511" si="242">H507*F507</f>
        <v>66.976799999999997</v>
      </c>
      <c r="K507" s="15">
        <f t="shared" si="240"/>
        <v>0</v>
      </c>
    </row>
    <row r="508" spans="1:11" ht="28.5" customHeight="1">
      <c r="A508" s="12" t="s">
        <v>1100</v>
      </c>
      <c r="B508" s="13" t="s">
        <v>661</v>
      </c>
      <c r="C508" s="11"/>
      <c r="D508" s="14" t="s">
        <v>1486</v>
      </c>
      <c r="E508" s="14">
        <f t="shared" si="241"/>
        <v>194.81</v>
      </c>
      <c r="F508" s="15">
        <v>194.81</v>
      </c>
      <c r="G508" s="15">
        <f t="shared" si="239"/>
        <v>0</v>
      </c>
      <c r="H508" s="196">
        <v>2.14</v>
      </c>
      <c r="I508" s="15">
        <f t="shared" si="237"/>
        <v>416.89340000000004</v>
      </c>
      <c r="J508" s="15">
        <f t="shared" si="242"/>
        <v>416.89340000000004</v>
      </c>
      <c r="K508" s="15">
        <f t="shared" si="240"/>
        <v>0</v>
      </c>
    </row>
    <row r="509" spans="1:11" ht="29" customHeight="1">
      <c r="A509" s="12" t="s">
        <v>1101</v>
      </c>
      <c r="B509" s="13" t="s">
        <v>669</v>
      </c>
      <c r="C509" s="11"/>
      <c r="D509" s="14" t="s">
        <v>1486</v>
      </c>
      <c r="E509" s="14">
        <f t="shared" si="241"/>
        <v>335.33</v>
      </c>
      <c r="F509" s="15">
        <v>335.33</v>
      </c>
      <c r="G509" s="15">
        <f t="shared" si="239"/>
        <v>0</v>
      </c>
      <c r="H509" s="196">
        <v>0.87</v>
      </c>
      <c r="I509" s="15">
        <f t="shared" si="237"/>
        <v>291.7371</v>
      </c>
      <c r="J509" s="15">
        <f t="shared" si="242"/>
        <v>291.7371</v>
      </c>
      <c r="K509" s="15">
        <f t="shared" si="240"/>
        <v>0</v>
      </c>
    </row>
    <row r="510" spans="1:11" ht="28" customHeight="1">
      <c r="A510" s="12" t="s">
        <v>1102</v>
      </c>
      <c r="B510" s="13" t="s">
        <v>662</v>
      </c>
      <c r="C510" s="11"/>
      <c r="D510" s="14" t="s">
        <v>87</v>
      </c>
      <c r="E510" s="14">
        <f t="shared" si="241"/>
        <v>6.49</v>
      </c>
      <c r="F510" s="15">
        <v>6.49</v>
      </c>
      <c r="G510" s="15">
        <f t="shared" si="239"/>
        <v>0</v>
      </c>
      <c r="H510" s="196">
        <v>1248.29</v>
      </c>
      <c r="I510" s="15">
        <f t="shared" si="237"/>
        <v>8101.4021000000002</v>
      </c>
      <c r="J510" s="15">
        <f t="shared" si="242"/>
        <v>8101.4021000000002</v>
      </c>
      <c r="K510" s="15">
        <f t="shared" si="240"/>
        <v>0</v>
      </c>
    </row>
    <row r="511" spans="1:11" ht="17.5" customHeight="1">
      <c r="A511" s="12" t="s">
        <v>1103</v>
      </c>
      <c r="B511" s="13" t="s">
        <v>663</v>
      </c>
      <c r="C511" s="11"/>
      <c r="D511" s="14" t="s">
        <v>124</v>
      </c>
      <c r="E511" s="14">
        <f t="shared" si="241"/>
        <v>216.45</v>
      </c>
      <c r="F511" s="15">
        <v>216.45</v>
      </c>
      <c r="G511" s="15">
        <f t="shared" si="239"/>
        <v>0</v>
      </c>
      <c r="H511" s="196">
        <v>2.83</v>
      </c>
      <c r="I511" s="15">
        <f t="shared" si="237"/>
        <v>612.55349999999999</v>
      </c>
      <c r="J511" s="15">
        <f t="shared" si="242"/>
        <v>612.55349999999999</v>
      </c>
      <c r="K511" s="15">
        <f t="shared" si="240"/>
        <v>0</v>
      </c>
    </row>
    <row r="512" spans="1:11">
      <c r="A512" s="8" t="s">
        <v>1104</v>
      </c>
      <c r="B512" s="9" t="s">
        <v>670</v>
      </c>
      <c r="C512" s="8"/>
      <c r="D512" s="8"/>
      <c r="E512" s="8"/>
      <c r="F512" s="203"/>
      <c r="G512" s="203"/>
      <c r="H512" s="195"/>
      <c r="I512" s="10">
        <f>SUM(I513:I518)</f>
        <v>9868.3504000000012</v>
      </c>
      <c r="J512" s="10">
        <f>SUM(J513:J518)</f>
        <v>9868.3504000000012</v>
      </c>
      <c r="K512" s="10">
        <f>SUM(K513:K518)</f>
        <v>0</v>
      </c>
    </row>
    <row r="513" spans="1:11">
      <c r="A513" s="12" t="s">
        <v>1105</v>
      </c>
      <c r="B513" s="13" t="s">
        <v>659</v>
      </c>
      <c r="C513" s="11"/>
      <c r="D513" s="15" t="s">
        <v>124</v>
      </c>
      <c r="E513" s="14">
        <f>F513</f>
        <v>216.45</v>
      </c>
      <c r="F513" s="15">
        <v>216.45</v>
      </c>
      <c r="G513" s="15">
        <f t="shared" ref="G513:G518" si="243">F513-E513</f>
        <v>0</v>
      </c>
      <c r="H513" s="196">
        <v>1.75</v>
      </c>
      <c r="I513" s="15">
        <f t="shared" si="237"/>
        <v>378.78749999999997</v>
      </c>
      <c r="J513" s="15">
        <f>H513*F513</f>
        <v>378.78749999999997</v>
      </c>
      <c r="K513" s="15">
        <f t="shared" ref="K513:K518" si="244">G513*H513</f>
        <v>0</v>
      </c>
    </row>
    <row r="514" spans="1:11" ht="26">
      <c r="A514" s="12" t="s">
        <v>1106</v>
      </c>
      <c r="B514" s="13" t="s">
        <v>660</v>
      </c>
      <c r="C514" s="11"/>
      <c r="D514" s="15" t="s">
        <v>87</v>
      </c>
      <c r="E514" s="14">
        <f t="shared" ref="E514:E518" si="245">F514</f>
        <v>6.49</v>
      </c>
      <c r="F514" s="199">
        <v>6.49</v>
      </c>
      <c r="G514" s="15">
        <f t="shared" si="243"/>
        <v>0</v>
      </c>
      <c r="H514" s="196">
        <v>10.32</v>
      </c>
      <c r="I514" s="15">
        <f t="shared" si="237"/>
        <v>66.976799999999997</v>
      </c>
      <c r="J514" s="15">
        <f t="shared" ref="J514:J518" si="246">H514*F514</f>
        <v>66.976799999999997</v>
      </c>
      <c r="K514" s="15">
        <f t="shared" si="244"/>
        <v>0</v>
      </c>
    </row>
    <row r="515" spans="1:11" ht="28.5" customHeight="1">
      <c r="A515" s="12" t="s">
        <v>1107</v>
      </c>
      <c r="B515" s="13" t="s">
        <v>661</v>
      </c>
      <c r="C515" s="11"/>
      <c r="D515" s="15" t="s">
        <v>1486</v>
      </c>
      <c r="E515" s="14">
        <f t="shared" si="245"/>
        <v>194.81</v>
      </c>
      <c r="F515" s="199">
        <v>194.81</v>
      </c>
      <c r="G515" s="15">
        <f t="shared" si="243"/>
        <v>0</v>
      </c>
      <c r="H515" s="196">
        <v>2.14</v>
      </c>
      <c r="I515" s="15">
        <f t="shared" si="237"/>
        <v>416.89340000000004</v>
      </c>
      <c r="J515" s="15">
        <f t="shared" si="246"/>
        <v>416.89340000000004</v>
      </c>
      <c r="K515" s="15">
        <f t="shared" si="244"/>
        <v>0</v>
      </c>
    </row>
    <row r="516" spans="1:11" ht="32.5" customHeight="1">
      <c r="A516" s="12" t="s">
        <v>1108</v>
      </c>
      <c r="B516" s="19" t="s">
        <v>669</v>
      </c>
      <c r="C516" s="11"/>
      <c r="D516" s="192" t="s">
        <v>1486</v>
      </c>
      <c r="E516" s="14">
        <f t="shared" si="245"/>
        <v>335.33</v>
      </c>
      <c r="F516" s="204">
        <v>335.33</v>
      </c>
      <c r="G516" s="15">
        <f t="shared" si="243"/>
        <v>0</v>
      </c>
      <c r="H516" s="197">
        <v>0.87</v>
      </c>
      <c r="I516" s="15">
        <f t="shared" si="237"/>
        <v>291.7371</v>
      </c>
      <c r="J516" s="15">
        <f t="shared" si="246"/>
        <v>291.7371</v>
      </c>
      <c r="K516" s="15">
        <f t="shared" si="244"/>
        <v>0</v>
      </c>
    </row>
    <row r="517" spans="1:11" ht="26.5">
      <c r="A517" s="12" t="s">
        <v>1109</v>
      </c>
      <c r="B517" s="19" t="s">
        <v>671</v>
      </c>
      <c r="C517" s="11"/>
      <c r="D517" s="15" t="s">
        <v>87</v>
      </c>
      <c r="E517" s="14">
        <f t="shared" si="245"/>
        <v>6.49</v>
      </c>
      <c r="F517" s="199">
        <v>6.49</v>
      </c>
      <c r="G517" s="15">
        <f t="shared" si="243"/>
        <v>0</v>
      </c>
      <c r="H517" s="196">
        <v>1248.29</v>
      </c>
      <c r="I517" s="15">
        <f t="shared" si="237"/>
        <v>8101.4021000000002</v>
      </c>
      <c r="J517" s="15">
        <f t="shared" si="246"/>
        <v>8101.4021000000002</v>
      </c>
      <c r="K517" s="15">
        <f t="shared" si="244"/>
        <v>0</v>
      </c>
    </row>
    <row r="518" spans="1:11" ht="16.5" customHeight="1">
      <c r="A518" s="12" t="s">
        <v>1110</v>
      </c>
      <c r="B518" s="17" t="s">
        <v>672</v>
      </c>
      <c r="C518" s="11" t="s">
        <v>87</v>
      </c>
      <c r="D518" s="15" t="s">
        <v>124</v>
      </c>
      <c r="E518" s="14">
        <f t="shared" si="245"/>
        <v>216.45</v>
      </c>
      <c r="F518" s="199">
        <v>216.45</v>
      </c>
      <c r="G518" s="15">
        <f t="shared" si="243"/>
        <v>0</v>
      </c>
      <c r="H518" s="196">
        <v>2.83</v>
      </c>
      <c r="I518" s="15">
        <f t="shared" si="237"/>
        <v>612.55349999999999</v>
      </c>
      <c r="J518" s="15">
        <f t="shared" si="246"/>
        <v>612.55349999999999</v>
      </c>
      <c r="K518" s="15">
        <f t="shared" si="244"/>
        <v>0</v>
      </c>
    </row>
    <row r="519" spans="1:11">
      <c r="A519" s="8" t="s">
        <v>1111</v>
      </c>
      <c r="B519" s="9" t="s">
        <v>107</v>
      </c>
      <c r="C519" s="8"/>
      <c r="D519" s="8"/>
      <c r="E519" s="8"/>
      <c r="F519" s="203"/>
      <c r="G519" s="203"/>
      <c r="H519" s="195"/>
      <c r="I519" s="10">
        <f>SUM(I520:I522)</f>
        <v>0</v>
      </c>
      <c r="J519" s="10">
        <f>SUM(J520:J522)</f>
        <v>0</v>
      </c>
      <c r="K519" s="10">
        <f>SUM(K520:K522)</f>
        <v>0</v>
      </c>
    </row>
    <row r="520" spans="1:11" ht="39">
      <c r="A520" s="12" t="s">
        <v>1112</v>
      </c>
      <c r="B520" s="13" t="s">
        <v>674</v>
      </c>
      <c r="C520" s="11" t="s">
        <v>33</v>
      </c>
      <c r="D520" s="14" t="s">
        <v>1487</v>
      </c>
      <c r="E520" s="14"/>
      <c r="F520" s="15"/>
      <c r="G520" s="15">
        <f>F520-E520</f>
        <v>0</v>
      </c>
      <c r="H520" s="196">
        <v>625.09</v>
      </c>
      <c r="I520" s="15">
        <f t="shared" si="237"/>
        <v>0</v>
      </c>
      <c r="J520" s="15">
        <f>H520*F520</f>
        <v>0</v>
      </c>
      <c r="K520" s="15">
        <f t="shared" ref="K520:K522" si="247">G520*H520</f>
        <v>0</v>
      </c>
    </row>
    <row r="521" spans="1:11" ht="17" customHeight="1">
      <c r="A521" s="12" t="s">
        <v>1113</v>
      </c>
      <c r="B521" s="194" t="s">
        <v>680</v>
      </c>
      <c r="C521" s="11" t="s">
        <v>33</v>
      </c>
      <c r="D521" s="14" t="s">
        <v>124</v>
      </c>
      <c r="E521" s="14"/>
      <c r="F521" s="15"/>
      <c r="G521" s="15">
        <f>F521-E521</f>
        <v>0</v>
      </c>
      <c r="H521" s="196">
        <v>16.260000000000002</v>
      </c>
      <c r="I521" s="15">
        <f t="shared" si="237"/>
        <v>0</v>
      </c>
      <c r="J521" s="15">
        <f t="shared" ref="J521:J522" si="248">H521*F521</f>
        <v>0</v>
      </c>
      <c r="K521" s="15">
        <f t="shared" si="247"/>
        <v>0</v>
      </c>
    </row>
    <row r="522" spans="1:11" ht="16.5" customHeight="1">
      <c r="A522" s="12" t="s">
        <v>1114</v>
      </c>
      <c r="B522" s="13" t="s">
        <v>675</v>
      </c>
      <c r="C522" s="11" t="s">
        <v>33</v>
      </c>
      <c r="D522" s="14" t="s">
        <v>124</v>
      </c>
      <c r="E522" s="14"/>
      <c r="F522" s="15"/>
      <c r="G522" s="15">
        <f>F522-E522</f>
        <v>0</v>
      </c>
      <c r="H522" s="196">
        <v>4.5599999999999996</v>
      </c>
      <c r="I522" s="15">
        <f t="shared" si="237"/>
        <v>0</v>
      </c>
      <c r="J522" s="15">
        <f t="shared" si="248"/>
        <v>0</v>
      </c>
      <c r="K522" s="15">
        <f t="shared" si="247"/>
        <v>0</v>
      </c>
    </row>
    <row r="523" spans="1:11">
      <c r="A523" s="8" t="s">
        <v>1115</v>
      </c>
      <c r="B523" s="9" t="s">
        <v>678</v>
      </c>
      <c r="C523" s="8"/>
      <c r="D523" s="8"/>
      <c r="E523" s="8"/>
      <c r="F523" s="203"/>
      <c r="G523" s="203"/>
      <c r="H523" s="195"/>
      <c r="I523" s="10">
        <f>SUM(I524:I525)</f>
        <v>378.78749999999997</v>
      </c>
      <c r="J523" s="10">
        <f>SUM(J524:J525)</f>
        <v>378.78749999999997</v>
      </c>
      <c r="K523" s="10">
        <f>SUM(K524:K525)</f>
        <v>0</v>
      </c>
    </row>
    <row r="524" spans="1:11">
      <c r="A524" s="12" t="s">
        <v>1116</v>
      </c>
      <c r="B524" s="13" t="s">
        <v>659</v>
      </c>
      <c r="C524" s="11" t="s">
        <v>11</v>
      </c>
      <c r="D524" s="14" t="s">
        <v>124</v>
      </c>
      <c r="E524" s="14">
        <f>F524</f>
        <v>216.45</v>
      </c>
      <c r="F524" s="15">
        <v>216.45</v>
      </c>
      <c r="G524" s="15">
        <f>F524-E524</f>
        <v>0</v>
      </c>
      <c r="H524" s="196">
        <v>1.75</v>
      </c>
      <c r="I524" s="15">
        <f t="shared" si="237"/>
        <v>378.78749999999997</v>
      </c>
      <c r="J524" s="15">
        <f>H524*F524</f>
        <v>378.78749999999997</v>
      </c>
      <c r="K524" s="15">
        <f t="shared" ref="K524:K525" si="249">G524*H524</f>
        <v>0</v>
      </c>
    </row>
    <row r="525" spans="1:11">
      <c r="A525" s="12" t="s">
        <v>1117</v>
      </c>
      <c r="B525" s="13" t="s">
        <v>679</v>
      </c>
      <c r="C525" s="11" t="s">
        <v>11</v>
      </c>
      <c r="D525" s="14" t="s">
        <v>1487</v>
      </c>
      <c r="E525" s="14"/>
      <c r="F525" s="15"/>
      <c r="G525" s="15">
        <f>F525-E525</f>
        <v>0</v>
      </c>
      <c r="H525" s="196">
        <v>92.34</v>
      </c>
      <c r="I525" s="15">
        <f t="shared" si="237"/>
        <v>0</v>
      </c>
      <c r="J525" s="15">
        <f>H525*F525</f>
        <v>0</v>
      </c>
      <c r="K525" s="15">
        <f t="shared" si="249"/>
        <v>0</v>
      </c>
    </row>
    <row r="526" spans="1:11">
      <c r="A526" s="184">
        <v>20</v>
      </c>
      <c r="B526" s="191" t="s">
        <v>1473</v>
      </c>
      <c r="C526" s="184"/>
      <c r="D526" s="184"/>
      <c r="E526" s="184"/>
      <c r="F526" s="202"/>
      <c r="G526" s="202"/>
      <c r="H526" s="198"/>
      <c r="I526" s="185"/>
      <c r="J526" s="185">
        <f>SUM(J527,J530,J532,J539,J546,J550)</f>
        <v>197429.63010000001</v>
      </c>
      <c r="K526" s="185">
        <f>SUM(K527,K530,K532,K539,K546,K550)</f>
        <v>197429.63010000001</v>
      </c>
    </row>
    <row r="527" spans="1:11">
      <c r="A527" s="8" t="s">
        <v>1118</v>
      </c>
      <c r="B527" s="9" t="s">
        <v>8</v>
      </c>
      <c r="C527" s="8"/>
      <c r="D527" s="8"/>
      <c r="E527" s="8"/>
      <c r="F527" s="203"/>
      <c r="G527" s="203"/>
      <c r="H527" s="195"/>
      <c r="I527" s="10"/>
      <c r="J527" s="10">
        <f>SUM(J528:J529)</f>
        <v>15142.197199999999</v>
      </c>
      <c r="K527" s="10">
        <f>SUM(K528:K529)</f>
        <v>15142.197199999999</v>
      </c>
    </row>
    <row r="528" spans="1:11" ht="26">
      <c r="A528" s="12" t="s">
        <v>1119</v>
      </c>
      <c r="B528" s="13" t="s">
        <v>653</v>
      </c>
      <c r="C528" s="11" t="s">
        <v>13</v>
      </c>
      <c r="D528" s="14" t="s">
        <v>124</v>
      </c>
      <c r="E528" s="14"/>
      <c r="F528" s="15">
        <v>1948.75</v>
      </c>
      <c r="G528" s="15">
        <f>F528-E528</f>
        <v>1948.75</v>
      </c>
      <c r="H528" s="196">
        <v>0.36</v>
      </c>
      <c r="I528" s="15">
        <f>H528*E528</f>
        <v>0</v>
      </c>
      <c r="J528" s="15">
        <f>H528*F528</f>
        <v>701.55</v>
      </c>
      <c r="K528" s="15">
        <f t="shared" ref="K528:K529" si="250">G528*H528</f>
        <v>701.55</v>
      </c>
    </row>
    <row r="529" spans="1:11" ht="52">
      <c r="A529" s="12" t="s">
        <v>1120</v>
      </c>
      <c r="B529" s="13" t="s">
        <v>650</v>
      </c>
      <c r="C529" s="11" t="s">
        <v>11</v>
      </c>
      <c r="D529" s="14" t="s">
        <v>124</v>
      </c>
      <c r="E529" s="14"/>
      <c r="F529" s="15">
        <v>234.16</v>
      </c>
      <c r="G529" s="15">
        <f>F529-E529</f>
        <v>234.16</v>
      </c>
      <c r="H529" s="196">
        <v>61.67</v>
      </c>
      <c r="I529" s="15">
        <f>H529*E529</f>
        <v>0</v>
      </c>
      <c r="J529" s="15">
        <f>H529*F529</f>
        <v>14440.647199999999</v>
      </c>
      <c r="K529" s="15">
        <f t="shared" si="250"/>
        <v>14440.647199999999</v>
      </c>
    </row>
    <row r="530" spans="1:11">
      <c r="A530" s="8" t="s">
        <v>1121</v>
      </c>
      <c r="B530" s="9" t="s">
        <v>655</v>
      </c>
      <c r="C530" s="8"/>
      <c r="D530" s="8"/>
      <c r="E530" s="8"/>
      <c r="F530" s="203"/>
      <c r="G530" s="203"/>
      <c r="H530" s="195"/>
      <c r="I530" s="195"/>
      <c r="J530" s="10">
        <f>SUM(J531:J531)</f>
        <v>740.52499999999998</v>
      </c>
      <c r="K530" s="10">
        <f>SUM(K531:K531)</f>
        <v>740.52499999999998</v>
      </c>
    </row>
    <row r="531" spans="1:11" ht="26">
      <c r="A531" s="12" t="s">
        <v>1122</v>
      </c>
      <c r="B531" s="13" t="s">
        <v>656</v>
      </c>
      <c r="C531" s="11"/>
      <c r="D531" s="14" t="s">
        <v>124</v>
      </c>
      <c r="E531" s="14"/>
      <c r="F531" s="15">
        <v>1948.75</v>
      </c>
      <c r="G531" s="15">
        <f>F531-E531</f>
        <v>1948.75</v>
      </c>
      <c r="H531" s="196">
        <v>0.38</v>
      </c>
      <c r="I531" s="15">
        <f t="shared" ref="I531:I552" si="251">H531*E531</f>
        <v>0</v>
      </c>
      <c r="J531" s="15">
        <f>H531*F531</f>
        <v>740.52499999999998</v>
      </c>
      <c r="K531" s="15">
        <f t="shared" ref="K531" si="252">G531*H531</f>
        <v>740.52499999999998</v>
      </c>
    </row>
    <row r="532" spans="1:11">
      <c r="A532" s="8" t="s">
        <v>1123</v>
      </c>
      <c r="B532" s="9" t="s">
        <v>658</v>
      </c>
      <c r="C532" s="8"/>
      <c r="D532" s="8"/>
      <c r="E532" s="8"/>
      <c r="F532" s="203"/>
      <c r="G532" s="203"/>
      <c r="H532" s="195"/>
      <c r="I532" s="195"/>
      <c r="J532" s="10">
        <f>SUM(J533:J538)</f>
        <v>89068.297699999996</v>
      </c>
      <c r="K532" s="10">
        <f>SUM(K533:K538)</f>
        <v>89068.297699999996</v>
      </c>
    </row>
    <row r="533" spans="1:11">
      <c r="A533" s="12" t="s">
        <v>1124</v>
      </c>
      <c r="B533" s="13" t="s">
        <v>659</v>
      </c>
      <c r="C533" s="11"/>
      <c r="D533" s="14" t="s">
        <v>124</v>
      </c>
      <c r="E533" s="14"/>
      <c r="F533" s="15">
        <v>1948.75</v>
      </c>
      <c r="G533" s="15">
        <f t="shared" ref="G533:G538" si="253">F533-E533</f>
        <v>1948.75</v>
      </c>
      <c r="H533" s="196">
        <v>1.75</v>
      </c>
      <c r="I533" s="15">
        <f t="shared" si="251"/>
        <v>0</v>
      </c>
      <c r="J533" s="15">
        <f>H533*F533</f>
        <v>3410.3125</v>
      </c>
      <c r="K533" s="15">
        <f t="shared" ref="K533:K538" si="254">G533*H533</f>
        <v>3410.3125</v>
      </c>
    </row>
    <row r="534" spans="1:11" ht="26">
      <c r="A534" s="12" t="s">
        <v>1125</v>
      </c>
      <c r="B534" s="13" t="s">
        <v>660</v>
      </c>
      <c r="C534" s="11"/>
      <c r="D534" s="14" t="s">
        <v>87</v>
      </c>
      <c r="E534" s="14"/>
      <c r="F534" s="15">
        <v>58.46</v>
      </c>
      <c r="G534" s="15">
        <f t="shared" si="253"/>
        <v>58.46</v>
      </c>
      <c r="H534" s="196">
        <v>10.32</v>
      </c>
      <c r="I534" s="15">
        <f t="shared" si="251"/>
        <v>0</v>
      </c>
      <c r="J534" s="15">
        <f t="shared" ref="J534:J538" si="255">H534*F534</f>
        <v>603.30720000000008</v>
      </c>
      <c r="K534" s="15">
        <f t="shared" si="254"/>
        <v>603.30720000000008</v>
      </c>
    </row>
    <row r="535" spans="1:11" ht="28.5" customHeight="1">
      <c r="A535" s="12" t="s">
        <v>1126</v>
      </c>
      <c r="B535" s="13" t="s">
        <v>661</v>
      </c>
      <c r="C535" s="11"/>
      <c r="D535" s="14" t="s">
        <v>1486</v>
      </c>
      <c r="E535" s="14"/>
      <c r="F535" s="15">
        <v>1753.88</v>
      </c>
      <c r="G535" s="15">
        <f t="shared" si="253"/>
        <v>1753.88</v>
      </c>
      <c r="H535" s="196">
        <v>2.14</v>
      </c>
      <c r="I535" s="15">
        <f t="shared" si="251"/>
        <v>0</v>
      </c>
      <c r="J535" s="15">
        <f t="shared" si="255"/>
        <v>3753.3032000000003</v>
      </c>
      <c r="K535" s="15">
        <f t="shared" si="254"/>
        <v>3753.3032000000003</v>
      </c>
    </row>
    <row r="536" spans="1:11" ht="29" customHeight="1">
      <c r="A536" s="12" t="s">
        <v>1127</v>
      </c>
      <c r="B536" s="13" t="s">
        <v>669</v>
      </c>
      <c r="C536" s="11"/>
      <c r="D536" s="14" t="s">
        <v>1486</v>
      </c>
      <c r="E536" s="14"/>
      <c r="F536" s="15">
        <v>3231.47</v>
      </c>
      <c r="G536" s="15">
        <f t="shared" si="253"/>
        <v>3231.47</v>
      </c>
      <c r="H536" s="196">
        <v>0.87</v>
      </c>
      <c r="I536" s="15">
        <f t="shared" si="251"/>
        <v>0</v>
      </c>
      <c r="J536" s="15">
        <f t="shared" si="255"/>
        <v>2811.3788999999997</v>
      </c>
      <c r="K536" s="15">
        <f t="shared" si="254"/>
        <v>2811.3788999999997</v>
      </c>
    </row>
    <row r="537" spans="1:11" ht="28" customHeight="1">
      <c r="A537" s="12" t="s">
        <v>1128</v>
      </c>
      <c r="B537" s="13" t="s">
        <v>662</v>
      </c>
      <c r="C537" s="11"/>
      <c r="D537" s="14" t="s">
        <v>87</v>
      </c>
      <c r="E537" s="14"/>
      <c r="F537" s="15">
        <v>58.46</v>
      </c>
      <c r="G537" s="15">
        <f t="shared" si="253"/>
        <v>58.46</v>
      </c>
      <c r="H537" s="196">
        <v>1248.29</v>
      </c>
      <c r="I537" s="15">
        <f t="shared" si="251"/>
        <v>0</v>
      </c>
      <c r="J537" s="15">
        <f t="shared" si="255"/>
        <v>72975.0334</v>
      </c>
      <c r="K537" s="15">
        <f t="shared" si="254"/>
        <v>72975.0334</v>
      </c>
    </row>
    <row r="538" spans="1:11" ht="17.5" customHeight="1">
      <c r="A538" s="12" t="s">
        <v>1129</v>
      </c>
      <c r="B538" s="13" t="s">
        <v>663</v>
      </c>
      <c r="C538" s="11"/>
      <c r="D538" s="14" t="s">
        <v>124</v>
      </c>
      <c r="E538" s="14"/>
      <c r="F538" s="15">
        <v>1948.75</v>
      </c>
      <c r="G538" s="15">
        <f t="shared" si="253"/>
        <v>1948.75</v>
      </c>
      <c r="H538" s="196">
        <v>2.83</v>
      </c>
      <c r="I538" s="15">
        <f t="shared" si="251"/>
        <v>0</v>
      </c>
      <c r="J538" s="15">
        <f t="shared" si="255"/>
        <v>5514.9625000000005</v>
      </c>
      <c r="K538" s="15">
        <f t="shared" si="254"/>
        <v>5514.9625000000005</v>
      </c>
    </row>
    <row r="539" spans="1:11">
      <c r="A539" s="8" t="s">
        <v>1130</v>
      </c>
      <c r="B539" s="9" t="s">
        <v>670</v>
      </c>
      <c r="C539" s="8"/>
      <c r="D539" s="8"/>
      <c r="E539" s="8"/>
      <c r="F539" s="203"/>
      <c r="G539" s="203"/>
      <c r="H539" s="195"/>
      <c r="I539" s="195"/>
      <c r="J539" s="10">
        <f>SUM(J540:J545)</f>
        <v>89068.297699999996</v>
      </c>
      <c r="K539" s="10">
        <f>SUM(K540:K545)</f>
        <v>89068.297699999996</v>
      </c>
    </row>
    <row r="540" spans="1:11">
      <c r="A540" s="12" t="s">
        <v>1131</v>
      </c>
      <c r="B540" s="13" t="s">
        <v>659</v>
      </c>
      <c r="C540" s="11"/>
      <c r="D540" s="15" t="s">
        <v>124</v>
      </c>
      <c r="E540" s="14"/>
      <c r="F540" s="15">
        <v>1948.75</v>
      </c>
      <c r="G540" s="15">
        <f t="shared" ref="G540:G545" si="256">F540-E540</f>
        <v>1948.75</v>
      </c>
      <c r="H540" s="196">
        <v>1.75</v>
      </c>
      <c r="I540" s="15">
        <f t="shared" si="251"/>
        <v>0</v>
      </c>
      <c r="J540" s="15">
        <f>H540*F540</f>
        <v>3410.3125</v>
      </c>
      <c r="K540" s="15">
        <f t="shared" ref="K540:K545" si="257">G540*H540</f>
        <v>3410.3125</v>
      </c>
    </row>
    <row r="541" spans="1:11" ht="26">
      <c r="A541" s="12" t="s">
        <v>1132</v>
      </c>
      <c r="B541" s="13" t="s">
        <v>660</v>
      </c>
      <c r="C541" s="11"/>
      <c r="D541" s="15" t="s">
        <v>87</v>
      </c>
      <c r="E541" s="14"/>
      <c r="F541" s="15">
        <v>58.46</v>
      </c>
      <c r="G541" s="15">
        <f t="shared" si="256"/>
        <v>58.46</v>
      </c>
      <c r="H541" s="196">
        <v>10.32</v>
      </c>
      <c r="I541" s="15">
        <f t="shared" si="251"/>
        <v>0</v>
      </c>
      <c r="J541" s="15">
        <f t="shared" ref="J541:J545" si="258">H541*F541</f>
        <v>603.30720000000008</v>
      </c>
      <c r="K541" s="15">
        <f t="shared" si="257"/>
        <v>603.30720000000008</v>
      </c>
    </row>
    <row r="542" spans="1:11" ht="28.5" customHeight="1">
      <c r="A542" s="12" t="s">
        <v>1133</v>
      </c>
      <c r="B542" s="13" t="s">
        <v>661</v>
      </c>
      <c r="C542" s="11"/>
      <c r="D542" s="15" t="s">
        <v>1486</v>
      </c>
      <c r="E542" s="14"/>
      <c r="F542" s="15">
        <v>1753.88</v>
      </c>
      <c r="G542" s="15">
        <f t="shared" si="256"/>
        <v>1753.88</v>
      </c>
      <c r="H542" s="196">
        <v>2.14</v>
      </c>
      <c r="I542" s="15">
        <f t="shared" si="251"/>
        <v>0</v>
      </c>
      <c r="J542" s="15">
        <f t="shared" si="258"/>
        <v>3753.3032000000003</v>
      </c>
      <c r="K542" s="15">
        <f t="shared" si="257"/>
        <v>3753.3032000000003</v>
      </c>
    </row>
    <row r="543" spans="1:11" ht="32.5" customHeight="1">
      <c r="A543" s="12" t="s">
        <v>1134</v>
      </c>
      <c r="B543" s="19" t="s">
        <v>669</v>
      </c>
      <c r="C543" s="11"/>
      <c r="D543" s="192" t="s">
        <v>1486</v>
      </c>
      <c r="E543" s="193"/>
      <c r="F543" s="15">
        <v>3231.47</v>
      </c>
      <c r="G543" s="15">
        <f t="shared" si="256"/>
        <v>3231.47</v>
      </c>
      <c r="H543" s="197">
        <v>0.87</v>
      </c>
      <c r="I543" s="15">
        <f t="shared" si="251"/>
        <v>0</v>
      </c>
      <c r="J543" s="15">
        <f t="shared" si="258"/>
        <v>2811.3788999999997</v>
      </c>
      <c r="K543" s="15">
        <f t="shared" si="257"/>
        <v>2811.3788999999997</v>
      </c>
    </row>
    <row r="544" spans="1:11" ht="26.5">
      <c r="A544" s="12" t="s">
        <v>1135</v>
      </c>
      <c r="B544" s="19" t="s">
        <v>671</v>
      </c>
      <c r="C544" s="11"/>
      <c r="D544" s="15" t="s">
        <v>87</v>
      </c>
      <c r="E544" s="14"/>
      <c r="F544" s="15">
        <v>58.46</v>
      </c>
      <c r="G544" s="15">
        <f t="shared" si="256"/>
        <v>58.46</v>
      </c>
      <c r="H544" s="196">
        <v>1248.29</v>
      </c>
      <c r="I544" s="15">
        <f t="shared" si="251"/>
        <v>0</v>
      </c>
      <c r="J544" s="15">
        <f t="shared" si="258"/>
        <v>72975.0334</v>
      </c>
      <c r="K544" s="15">
        <f t="shared" si="257"/>
        <v>72975.0334</v>
      </c>
    </row>
    <row r="545" spans="1:11" ht="16.5" customHeight="1">
      <c r="A545" s="12" t="s">
        <v>1136</v>
      </c>
      <c r="B545" s="17" t="s">
        <v>672</v>
      </c>
      <c r="C545" s="11" t="s">
        <v>87</v>
      </c>
      <c r="D545" s="15" t="s">
        <v>124</v>
      </c>
      <c r="E545" s="14"/>
      <c r="F545" s="15">
        <v>1948.75</v>
      </c>
      <c r="G545" s="15">
        <f t="shared" si="256"/>
        <v>1948.75</v>
      </c>
      <c r="H545" s="196">
        <v>2.83</v>
      </c>
      <c r="I545" s="15">
        <f t="shared" si="251"/>
        <v>0</v>
      </c>
      <c r="J545" s="15">
        <f t="shared" si="258"/>
        <v>5514.9625000000005</v>
      </c>
      <c r="K545" s="15">
        <f t="shared" si="257"/>
        <v>5514.9625000000005</v>
      </c>
    </row>
    <row r="546" spans="1:11">
      <c r="A546" s="8" t="s">
        <v>1137</v>
      </c>
      <c r="B546" s="9" t="s">
        <v>107</v>
      </c>
      <c r="C546" s="8"/>
      <c r="D546" s="8"/>
      <c r="E546" s="8"/>
      <c r="F546" s="203"/>
      <c r="G546" s="203"/>
      <c r="H546" s="195"/>
      <c r="I546" s="195"/>
      <c r="J546" s="10">
        <f>SUM(J547:J549)</f>
        <v>0</v>
      </c>
      <c r="K546" s="10">
        <f>SUM(K547:K549)</f>
        <v>0</v>
      </c>
    </row>
    <row r="547" spans="1:11" ht="39">
      <c r="A547" s="12" t="s">
        <v>1138</v>
      </c>
      <c r="B547" s="13" t="s">
        <v>674</v>
      </c>
      <c r="C547" s="11" t="s">
        <v>33</v>
      </c>
      <c r="D547" s="14" t="s">
        <v>1487</v>
      </c>
      <c r="E547" s="14"/>
      <c r="F547" s="15"/>
      <c r="G547" s="15">
        <f>F547-E547</f>
        <v>0</v>
      </c>
      <c r="H547" s="196">
        <v>625.09</v>
      </c>
      <c r="I547" s="15">
        <f t="shared" si="251"/>
        <v>0</v>
      </c>
      <c r="J547" s="15">
        <f>H547*F547</f>
        <v>0</v>
      </c>
      <c r="K547" s="15">
        <f t="shared" ref="K547:K549" si="259">G547*H547</f>
        <v>0</v>
      </c>
    </row>
    <row r="548" spans="1:11" ht="17" customHeight="1">
      <c r="A548" s="12" t="s">
        <v>1139</v>
      </c>
      <c r="B548" s="194" t="s">
        <v>680</v>
      </c>
      <c r="C548" s="11" t="s">
        <v>33</v>
      </c>
      <c r="D548" s="14" t="s">
        <v>124</v>
      </c>
      <c r="E548" s="14"/>
      <c r="F548" s="15"/>
      <c r="G548" s="15">
        <f>F548-E548</f>
        <v>0</v>
      </c>
      <c r="H548" s="196">
        <v>16.260000000000002</v>
      </c>
      <c r="I548" s="15">
        <f t="shared" si="251"/>
        <v>0</v>
      </c>
      <c r="J548" s="15">
        <f t="shared" ref="J548:J549" si="260">H548*F548</f>
        <v>0</v>
      </c>
      <c r="K548" s="15">
        <f t="shared" si="259"/>
        <v>0</v>
      </c>
    </row>
    <row r="549" spans="1:11" ht="16.5" customHeight="1">
      <c r="A549" s="12" t="s">
        <v>1140</v>
      </c>
      <c r="B549" s="13" t="s">
        <v>675</v>
      </c>
      <c r="C549" s="11" t="s">
        <v>33</v>
      </c>
      <c r="D549" s="14" t="s">
        <v>124</v>
      </c>
      <c r="E549" s="14"/>
      <c r="F549" s="15"/>
      <c r="G549" s="15">
        <f>F549-E549</f>
        <v>0</v>
      </c>
      <c r="H549" s="196">
        <v>4.5599999999999996</v>
      </c>
      <c r="I549" s="15">
        <f t="shared" si="251"/>
        <v>0</v>
      </c>
      <c r="J549" s="15">
        <f t="shared" si="260"/>
        <v>0</v>
      </c>
      <c r="K549" s="15">
        <f t="shared" si="259"/>
        <v>0</v>
      </c>
    </row>
    <row r="550" spans="1:11">
      <c r="A550" s="8" t="s">
        <v>1141</v>
      </c>
      <c r="B550" s="9" t="s">
        <v>678</v>
      </c>
      <c r="C550" s="8"/>
      <c r="D550" s="8"/>
      <c r="E550" s="8"/>
      <c r="F550" s="203"/>
      <c r="G550" s="203"/>
      <c r="H550" s="195"/>
      <c r="I550" s="195"/>
      <c r="J550" s="10">
        <f>SUM(J551:J552)</f>
        <v>3410.3125</v>
      </c>
      <c r="K550" s="10">
        <f>SUM(K551:K552)</f>
        <v>3410.3125</v>
      </c>
    </row>
    <row r="551" spans="1:11">
      <c r="A551" s="12" t="s">
        <v>1142</v>
      </c>
      <c r="B551" s="13" t="s">
        <v>659</v>
      </c>
      <c r="C551" s="11" t="s">
        <v>11</v>
      </c>
      <c r="D551" s="14" t="s">
        <v>124</v>
      </c>
      <c r="E551" s="14"/>
      <c r="F551" s="15">
        <v>1948.75</v>
      </c>
      <c r="G551" s="15">
        <f>F551-E551</f>
        <v>1948.75</v>
      </c>
      <c r="H551" s="196">
        <v>1.75</v>
      </c>
      <c r="I551" s="15">
        <f t="shared" si="251"/>
        <v>0</v>
      </c>
      <c r="J551" s="15">
        <f>H551*F551</f>
        <v>3410.3125</v>
      </c>
      <c r="K551" s="15">
        <f t="shared" ref="K551:K552" si="261">G551*H551</f>
        <v>3410.3125</v>
      </c>
    </row>
    <row r="552" spans="1:11">
      <c r="A552" s="12" t="s">
        <v>1143</v>
      </c>
      <c r="B552" s="13" t="s">
        <v>679</v>
      </c>
      <c r="C552" s="11" t="s">
        <v>11</v>
      </c>
      <c r="D552" s="14" t="s">
        <v>1487</v>
      </c>
      <c r="E552" s="14"/>
      <c r="F552" s="15"/>
      <c r="G552" s="15">
        <f>F552-E552</f>
        <v>0</v>
      </c>
      <c r="H552" s="196">
        <v>92.34</v>
      </c>
      <c r="I552" s="15">
        <f t="shared" si="251"/>
        <v>0</v>
      </c>
      <c r="J552" s="15">
        <f>H552*F552</f>
        <v>0</v>
      </c>
      <c r="K552" s="15">
        <f t="shared" si="261"/>
        <v>0</v>
      </c>
    </row>
    <row r="553" spans="1:11">
      <c r="A553" s="184">
        <v>21</v>
      </c>
      <c r="B553" s="191" t="s">
        <v>1474</v>
      </c>
      <c r="C553" s="184"/>
      <c r="D553" s="184"/>
      <c r="E553" s="184"/>
      <c r="F553" s="202"/>
      <c r="G553" s="202"/>
      <c r="H553" s="198"/>
      <c r="I553" s="185"/>
      <c r="J553" s="185">
        <f>SUM(J554,J557,J559,J566,J573,J577)</f>
        <v>132097.96580000001</v>
      </c>
      <c r="K553" s="185">
        <f>SUM(K554,K557,K559,K566,K573,K577)</f>
        <v>132097.96580000001</v>
      </c>
    </row>
    <row r="554" spans="1:11">
      <c r="A554" s="8" t="s">
        <v>1144</v>
      </c>
      <c r="B554" s="9" t="s">
        <v>8</v>
      </c>
      <c r="C554" s="8"/>
      <c r="D554" s="8"/>
      <c r="E554" s="8"/>
      <c r="F554" s="203"/>
      <c r="G554" s="203"/>
      <c r="H554" s="195"/>
      <c r="I554" s="10"/>
      <c r="J554" s="10">
        <f>SUM(J555:J556)</f>
        <v>9839.2740999999987</v>
      </c>
      <c r="K554" s="10">
        <f>SUM(K555:K556)</f>
        <v>9839.2740999999987</v>
      </c>
    </row>
    <row r="555" spans="1:11" ht="26">
      <c r="A555" s="12" t="s">
        <v>1145</v>
      </c>
      <c r="B555" s="13" t="s">
        <v>653</v>
      </c>
      <c r="C555" s="11" t="s">
        <v>13</v>
      </c>
      <c r="D555" s="14" t="s">
        <v>124</v>
      </c>
      <c r="E555" s="14"/>
      <c r="F555" s="15">
        <v>1308.29</v>
      </c>
      <c r="G555" s="15">
        <f>F555-E555</f>
        <v>1308.29</v>
      </c>
      <c r="H555" s="196">
        <v>0.36</v>
      </c>
      <c r="I555" s="15">
        <f>H555*E555</f>
        <v>0</v>
      </c>
      <c r="J555" s="15">
        <f>H555*F555</f>
        <v>470.98439999999999</v>
      </c>
      <c r="K555" s="15">
        <f t="shared" ref="K555:K556" si="262">G555*H555</f>
        <v>470.98439999999999</v>
      </c>
    </row>
    <row r="556" spans="1:11" ht="52">
      <c r="A556" s="12" t="s">
        <v>1146</v>
      </c>
      <c r="B556" s="13" t="s">
        <v>650</v>
      </c>
      <c r="C556" s="11" t="s">
        <v>11</v>
      </c>
      <c r="D556" s="14" t="s">
        <v>124</v>
      </c>
      <c r="E556" s="14"/>
      <c r="F556" s="15">
        <v>151.91</v>
      </c>
      <c r="G556" s="15">
        <f>F556-E556</f>
        <v>151.91</v>
      </c>
      <c r="H556" s="196">
        <v>61.67</v>
      </c>
      <c r="I556" s="15">
        <f>H556*E556</f>
        <v>0</v>
      </c>
      <c r="J556" s="15">
        <f>H556*F556</f>
        <v>9368.2896999999994</v>
      </c>
      <c r="K556" s="15">
        <f t="shared" si="262"/>
        <v>9368.2896999999994</v>
      </c>
    </row>
    <row r="557" spans="1:11">
      <c r="A557" s="8" t="s">
        <v>1147</v>
      </c>
      <c r="B557" s="9" t="s">
        <v>655</v>
      </c>
      <c r="C557" s="8"/>
      <c r="D557" s="8"/>
      <c r="E557" s="8"/>
      <c r="F557" s="203"/>
      <c r="G557" s="203"/>
      <c r="H557" s="195"/>
      <c r="I557" s="195"/>
      <c r="J557" s="10">
        <f>SUM(J558:J558)</f>
        <v>497.15019999999998</v>
      </c>
      <c r="K557" s="10">
        <f>SUM(K558:K558)</f>
        <v>497.15019999999998</v>
      </c>
    </row>
    <row r="558" spans="1:11" ht="26">
      <c r="A558" s="12" t="s">
        <v>1148</v>
      </c>
      <c r="B558" s="13" t="s">
        <v>656</v>
      </c>
      <c r="C558" s="11"/>
      <c r="D558" s="14" t="s">
        <v>124</v>
      </c>
      <c r="E558" s="14"/>
      <c r="F558" s="15">
        <v>1308.29</v>
      </c>
      <c r="G558" s="15">
        <f>F558-E558</f>
        <v>1308.29</v>
      </c>
      <c r="H558" s="196">
        <v>0.38</v>
      </c>
      <c r="I558" s="15">
        <f t="shared" ref="I558:I579" si="263">H558*E558</f>
        <v>0</v>
      </c>
      <c r="J558" s="15">
        <f>H558*F558</f>
        <v>497.15019999999998</v>
      </c>
      <c r="K558" s="15">
        <f t="shared" ref="K558" si="264">G558*H558</f>
        <v>497.15019999999998</v>
      </c>
    </row>
    <row r="559" spans="1:11">
      <c r="A559" s="8" t="s">
        <v>1149</v>
      </c>
      <c r="B559" s="9" t="s">
        <v>658</v>
      </c>
      <c r="C559" s="8"/>
      <c r="D559" s="8"/>
      <c r="E559" s="8"/>
      <c r="F559" s="203"/>
      <c r="G559" s="203"/>
      <c r="H559" s="195"/>
      <c r="I559" s="195"/>
      <c r="J559" s="10">
        <f>SUM(J560:J565)</f>
        <v>59736.017</v>
      </c>
      <c r="K559" s="10">
        <f>SUM(K560:K565)</f>
        <v>59736.017</v>
      </c>
    </row>
    <row r="560" spans="1:11">
      <c r="A560" s="12" t="s">
        <v>1150</v>
      </c>
      <c r="B560" s="13" t="s">
        <v>659</v>
      </c>
      <c r="C560" s="11"/>
      <c r="D560" s="14" t="s">
        <v>124</v>
      </c>
      <c r="E560" s="14"/>
      <c r="F560" s="15">
        <v>1308.29</v>
      </c>
      <c r="G560" s="15">
        <f t="shared" ref="G560:G565" si="265">F560-E560</f>
        <v>1308.29</v>
      </c>
      <c r="H560" s="196">
        <v>1.75</v>
      </c>
      <c r="I560" s="15">
        <f t="shared" si="263"/>
        <v>0</v>
      </c>
      <c r="J560" s="15">
        <f>H560*F560</f>
        <v>2289.5074999999997</v>
      </c>
      <c r="K560" s="15">
        <f t="shared" ref="K560:K565" si="266">G560*H560</f>
        <v>2289.5074999999997</v>
      </c>
    </row>
    <row r="561" spans="1:11" ht="26">
      <c r="A561" s="12" t="s">
        <v>1151</v>
      </c>
      <c r="B561" s="13" t="s">
        <v>660</v>
      </c>
      <c r="C561" s="11"/>
      <c r="D561" s="14" t="s">
        <v>87</v>
      </c>
      <c r="E561" s="14"/>
      <c r="F561" s="15">
        <v>39.25</v>
      </c>
      <c r="G561" s="15">
        <f t="shared" si="265"/>
        <v>39.25</v>
      </c>
      <c r="H561" s="196">
        <v>10.32</v>
      </c>
      <c r="I561" s="15">
        <f t="shared" si="263"/>
        <v>0</v>
      </c>
      <c r="J561" s="15">
        <f t="shared" ref="J561:J565" si="267">H561*F561</f>
        <v>405.06</v>
      </c>
      <c r="K561" s="15">
        <f t="shared" si="266"/>
        <v>405.06</v>
      </c>
    </row>
    <row r="562" spans="1:11" ht="28.5" customHeight="1">
      <c r="A562" s="12" t="s">
        <v>1152</v>
      </c>
      <c r="B562" s="13" t="s">
        <v>661</v>
      </c>
      <c r="C562" s="11"/>
      <c r="D562" s="14" t="s">
        <v>1486</v>
      </c>
      <c r="E562" s="14"/>
      <c r="F562" s="15">
        <v>1177.46</v>
      </c>
      <c r="G562" s="15">
        <f t="shared" si="265"/>
        <v>1177.46</v>
      </c>
      <c r="H562" s="196">
        <v>2.14</v>
      </c>
      <c r="I562" s="15">
        <f t="shared" si="263"/>
        <v>0</v>
      </c>
      <c r="J562" s="15">
        <f t="shared" si="267"/>
        <v>2519.7644</v>
      </c>
      <c r="K562" s="15">
        <f t="shared" si="266"/>
        <v>2519.7644</v>
      </c>
    </row>
    <row r="563" spans="1:11" ht="29" customHeight="1">
      <c r="A563" s="12" t="s">
        <v>1153</v>
      </c>
      <c r="B563" s="13" t="s">
        <v>669</v>
      </c>
      <c r="C563" s="11"/>
      <c r="D563" s="14" t="s">
        <v>1486</v>
      </c>
      <c r="E563" s="14"/>
      <c r="F563" s="15">
        <v>2096.37</v>
      </c>
      <c r="G563" s="15">
        <f t="shared" si="265"/>
        <v>2096.37</v>
      </c>
      <c r="H563" s="196">
        <v>0.87</v>
      </c>
      <c r="I563" s="15">
        <f t="shared" si="263"/>
        <v>0</v>
      </c>
      <c r="J563" s="15">
        <f t="shared" si="267"/>
        <v>1823.8418999999999</v>
      </c>
      <c r="K563" s="15">
        <f t="shared" si="266"/>
        <v>1823.8418999999999</v>
      </c>
    </row>
    <row r="564" spans="1:11" ht="28" customHeight="1">
      <c r="A564" s="12" t="s">
        <v>1154</v>
      </c>
      <c r="B564" s="13" t="s">
        <v>662</v>
      </c>
      <c r="C564" s="11"/>
      <c r="D564" s="14" t="s">
        <v>87</v>
      </c>
      <c r="E564" s="14"/>
      <c r="F564" s="15">
        <v>39.25</v>
      </c>
      <c r="G564" s="15">
        <f t="shared" si="265"/>
        <v>39.25</v>
      </c>
      <c r="H564" s="196">
        <v>1248.29</v>
      </c>
      <c r="I564" s="15">
        <f t="shared" si="263"/>
        <v>0</v>
      </c>
      <c r="J564" s="15">
        <f t="shared" si="267"/>
        <v>48995.3825</v>
      </c>
      <c r="K564" s="15">
        <f t="shared" si="266"/>
        <v>48995.3825</v>
      </c>
    </row>
    <row r="565" spans="1:11" ht="17.5" customHeight="1">
      <c r="A565" s="12" t="s">
        <v>1155</v>
      </c>
      <c r="B565" s="13" t="s">
        <v>663</v>
      </c>
      <c r="C565" s="11"/>
      <c r="D565" s="14" t="s">
        <v>124</v>
      </c>
      <c r="E565" s="14"/>
      <c r="F565" s="15">
        <v>1308.29</v>
      </c>
      <c r="G565" s="15">
        <f t="shared" si="265"/>
        <v>1308.29</v>
      </c>
      <c r="H565" s="196">
        <v>2.83</v>
      </c>
      <c r="I565" s="15">
        <f t="shared" si="263"/>
        <v>0</v>
      </c>
      <c r="J565" s="15">
        <f t="shared" si="267"/>
        <v>3702.4607000000001</v>
      </c>
      <c r="K565" s="15">
        <f t="shared" si="266"/>
        <v>3702.4607000000001</v>
      </c>
    </row>
    <row r="566" spans="1:11">
      <c r="A566" s="8" t="s">
        <v>1156</v>
      </c>
      <c r="B566" s="9" t="s">
        <v>670</v>
      </c>
      <c r="C566" s="8"/>
      <c r="D566" s="8"/>
      <c r="E566" s="8"/>
      <c r="F566" s="203"/>
      <c r="G566" s="203"/>
      <c r="H566" s="195"/>
      <c r="I566" s="195"/>
      <c r="J566" s="10">
        <f>SUM(J567:J572)</f>
        <v>59736.017</v>
      </c>
      <c r="K566" s="10">
        <f>SUM(K567:K572)</f>
        <v>59736.017</v>
      </c>
    </row>
    <row r="567" spans="1:11">
      <c r="A567" s="12" t="s">
        <v>1157</v>
      </c>
      <c r="B567" s="13" t="s">
        <v>659</v>
      </c>
      <c r="C567" s="11"/>
      <c r="D567" s="15" t="s">
        <v>124</v>
      </c>
      <c r="E567" s="14"/>
      <c r="F567" s="15">
        <v>1308.29</v>
      </c>
      <c r="G567" s="15">
        <f t="shared" ref="G567:G572" si="268">F567-E567</f>
        <v>1308.29</v>
      </c>
      <c r="H567" s="196">
        <v>1.75</v>
      </c>
      <c r="I567" s="15">
        <f t="shared" si="263"/>
        <v>0</v>
      </c>
      <c r="J567" s="15">
        <f>H567*F567</f>
        <v>2289.5074999999997</v>
      </c>
      <c r="K567" s="15">
        <f t="shared" ref="K567:K572" si="269">G567*H567</f>
        <v>2289.5074999999997</v>
      </c>
    </row>
    <row r="568" spans="1:11" ht="26">
      <c r="A568" s="12" t="s">
        <v>1158</v>
      </c>
      <c r="B568" s="13" t="s">
        <v>660</v>
      </c>
      <c r="C568" s="11"/>
      <c r="D568" s="15" t="s">
        <v>87</v>
      </c>
      <c r="E568" s="14"/>
      <c r="F568" s="15">
        <v>39.25</v>
      </c>
      <c r="G568" s="15">
        <f t="shared" si="268"/>
        <v>39.25</v>
      </c>
      <c r="H568" s="196">
        <v>10.32</v>
      </c>
      <c r="I568" s="15">
        <f t="shared" si="263"/>
        <v>0</v>
      </c>
      <c r="J568" s="15">
        <f t="shared" ref="J568:J572" si="270">H568*F568</f>
        <v>405.06</v>
      </c>
      <c r="K568" s="15">
        <f t="shared" si="269"/>
        <v>405.06</v>
      </c>
    </row>
    <row r="569" spans="1:11" ht="28.5" customHeight="1">
      <c r="A569" s="12" t="s">
        <v>1159</v>
      </c>
      <c r="B569" s="13" t="s">
        <v>661</v>
      </c>
      <c r="C569" s="11"/>
      <c r="D569" s="15" t="s">
        <v>1486</v>
      </c>
      <c r="E569" s="14"/>
      <c r="F569" s="15">
        <v>1177.46</v>
      </c>
      <c r="G569" s="15">
        <f t="shared" si="268"/>
        <v>1177.46</v>
      </c>
      <c r="H569" s="196">
        <v>2.14</v>
      </c>
      <c r="I569" s="15">
        <f t="shared" si="263"/>
        <v>0</v>
      </c>
      <c r="J569" s="15">
        <f t="shared" si="270"/>
        <v>2519.7644</v>
      </c>
      <c r="K569" s="15">
        <f t="shared" si="269"/>
        <v>2519.7644</v>
      </c>
    </row>
    <row r="570" spans="1:11" ht="32.5" customHeight="1">
      <c r="A570" s="12" t="s">
        <v>1160</v>
      </c>
      <c r="B570" s="19" t="s">
        <v>669</v>
      </c>
      <c r="C570" s="11"/>
      <c r="D570" s="192" t="s">
        <v>1486</v>
      </c>
      <c r="E570" s="193"/>
      <c r="F570" s="15">
        <v>2096.37</v>
      </c>
      <c r="G570" s="15">
        <f t="shared" si="268"/>
        <v>2096.37</v>
      </c>
      <c r="H570" s="197">
        <v>0.87</v>
      </c>
      <c r="I570" s="15">
        <f t="shared" si="263"/>
        <v>0</v>
      </c>
      <c r="J570" s="15">
        <f t="shared" si="270"/>
        <v>1823.8418999999999</v>
      </c>
      <c r="K570" s="15">
        <f t="shared" si="269"/>
        <v>1823.8418999999999</v>
      </c>
    </row>
    <row r="571" spans="1:11" ht="26.5">
      <c r="A571" s="12" t="s">
        <v>1161</v>
      </c>
      <c r="B571" s="19" t="s">
        <v>671</v>
      </c>
      <c r="C571" s="11"/>
      <c r="D571" s="15" t="s">
        <v>87</v>
      </c>
      <c r="E571" s="14"/>
      <c r="F571" s="15">
        <v>39.25</v>
      </c>
      <c r="G571" s="15">
        <f t="shared" si="268"/>
        <v>39.25</v>
      </c>
      <c r="H571" s="196">
        <v>1248.29</v>
      </c>
      <c r="I571" s="15">
        <f t="shared" si="263"/>
        <v>0</v>
      </c>
      <c r="J571" s="15">
        <f t="shared" si="270"/>
        <v>48995.3825</v>
      </c>
      <c r="K571" s="15">
        <f t="shared" si="269"/>
        <v>48995.3825</v>
      </c>
    </row>
    <row r="572" spans="1:11" ht="16.5" customHeight="1">
      <c r="A572" s="12" t="s">
        <v>1162</v>
      </c>
      <c r="B572" s="17" t="s">
        <v>672</v>
      </c>
      <c r="C572" s="11" t="s">
        <v>87</v>
      </c>
      <c r="D572" s="15" t="s">
        <v>124</v>
      </c>
      <c r="E572" s="14"/>
      <c r="F572" s="15">
        <v>1308.29</v>
      </c>
      <c r="G572" s="15">
        <f t="shared" si="268"/>
        <v>1308.29</v>
      </c>
      <c r="H572" s="196">
        <v>2.83</v>
      </c>
      <c r="I572" s="15">
        <f t="shared" si="263"/>
        <v>0</v>
      </c>
      <c r="J572" s="15">
        <f t="shared" si="270"/>
        <v>3702.4607000000001</v>
      </c>
      <c r="K572" s="15">
        <f t="shared" si="269"/>
        <v>3702.4607000000001</v>
      </c>
    </row>
    <row r="573" spans="1:11">
      <c r="A573" s="8" t="s">
        <v>1163</v>
      </c>
      <c r="B573" s="9" t="s">
        <v>107</v>
      </c>
      <c r="C573" s="8"/>
      <c r="D573" s="8"/>
      <c r="E573" s="8"/>
      <c r="F573" s="203"/>
      <c r="G573" s="203"/>
      <c r="H573" s="195"/>
      <c r="I573" s="195"/>
      <c r="J573" s="10">
        <f>SUM(J574:J576)</f>
        <v>0</v>
      </c>
      <c r="K573" s="10">
        <f>SUM(K574:K576)</f>
        <v>0</v>
      </c>
    </row>
    <row r="574" spans="1:11" ht="39">
      <c r="A574" s="12" t="s">
        <v>1164</v>
      </c>
      <c r="B574" s="13" t="s">
        <v>674</v>
      </c>
      <c r="C574" s="11" t="s">
        <v>33</v>
      </c>
      <c r="D574" s="14" t="s">
        <v>1487</v>
      </c>
      <c r="E574" s="14"/>
      <c r="F574" s="15"/>
      <c r="G574" s="15">
        <f>F574-E574</f>
        <v>0</v>
      </c>
      <c r="H574" s="196">
        <v>625.09</v>
      </c>
      <c r="I574" s="15">
        <f t="shared" si="263"/>
        <v>0</v>
      </c>
      <c r="J574" s="15">
        <f>H574*F574</f>
        <v>0</v>
      </c>
      <c r="K574" s="15">
        <f t="shared" ref="K574:K576" si="271">G574*H574</f>
        <v>0</v>
      </c>
    </row>
    <row r="575" spans="1:11" ht="17" customHeight="1">
      <c r="A575" s="12" t="s">
        <v>1165</v>
      </c>
      <c r="B575" s="194" t="s">
        <v>680</v>
      </c>
      <c r="C575" s="11" t="s">
        <v>33</v>
      </c>
      <c r="D575" s="14" t="s">
        <v>124</v>
      </c>
      <c r="E575" s="14"/>
      <c r="F575" s="15"/>
      <c r="G575" s="15">
        <f>F575-E575</f>
        <v>0</v>
      </c>
      <c r="H575" s="196">
        <v>16.260000000000002</v>
      </c>
      <c r="I575" s="15">
        <f t="shared" si="263"/>
        <v>0</v>
      </c>
      <c r="J575" s="15">
        <f t="shared" ref="J575:J576" si="272">H575*F575</f>
        <v>0</v>
      </c>
      <c r="K575" s="15">
        <f t="shared" si="271"/>
        <v>0</v>
      </c>
    </row>
    <row r="576" spans="1:11" ht="16.5" customHeight="1">
      <c r="A576" s="12" t="s">
        <v>1166</v>
      </c>
      <c r="B576" s="13" t="s">
        <v>675</v>
      </c>
      <c r="C576" s="11" t="s">
        <v>33</v>
      </c>
      <c r="D576" s="14" t="s">
        <v>124</v>
      </c>
      <c r="E576" s="14"/>
      <c r="F576" s="15"/>
      <c r="G576" s="15">
        <f>F576-E576</f>
        <v>0</v>
      </c>
      <c r="H576" s="196">
        <v>4.5599999999999996</v>
      </c>
      <c r="I576" s="15">
        <f t="shared" si="263"/>
        <v>0</v>
      </c>
      <c r="J576" s="15">
        <f t="shared" si="272"/>
        <v>0</v>
      </c>
      <c r="K576" s="15">
        <f t="shared" si="271"/>
        <v>0</v>
      </c>
    </row>
    <row r="577" spans="1:11">
      <c r="A577" s="8" t="s">
        <v>1167</v>
      </c>
      <c r="B577" s="9" t="s">
        <v>678</v>
      </c>
      <c r="C577" s="8"/>
      <c r="D577" s="8"/>
      <c r="E577" s="8"/>
      <c r="F577" s="203"/>
      <c r="G577" s="203"/>
      <c r="H577" s="195"/>
      <c r="I577" s="195"/>
      <c r="J577" s="10">
        <f>SUM(J578:J579)</f>
        <v>2289.5074999999997</v>
      </c>
      <c r="K577" s="10">
        <f>SUM(K578:K579)</f>
        <v>2289.5074999999997</v>
      </c>
    </row>
    <row r="578" spans="1:11">
      <c r="A578" s="12" t="s">
        <v>1168</v>
      </c>
      <c r="B578" s="13" t="s">
        <v>659</v>
      </c>
      <c r="C578" s="11" t="s">
        <v>11</v>
      </c>
      <c r="D578" s="14" t="s">
        <v>124</v>
      </c>
      <c r="E578" s="14"/>
      <c r="F578" s="15">
        <v>1308.29</v>
      </c>
      <c r="G578" s="15">
        <f>F578-E578</f>
        <v>1308.29</v>
      </c>
      <c r="H578" s="196">
        <v>1.75</v>
      </c>
      <c r="I578" s="15">
        <f t="shared" si="263"/>
        <v>0</v>
      </c>
      <c r="J578" s="15">
        <f>H578*F578</f>
        <v>2289.5074999999997</v>
      </c>
      <c r="K578" s="15">
        <f t="shared" ref="K578:K579" si="273">G578*H578</f>
        <v>2289.5074999999997</v>
      </c>
    </row>
    <row r="579" spans="1:11">
      <c r="A579" s="12" t="s">
        <v>1169</v>
      </c>
      <c r="B579" s="13" t="s">
        <v>679</v>
      </c>
      <c r="C579" s="11" t="s">
        <v>11</v>
      </c>
      <c r="D579" s="14" t="s">
        <v>1487</v>
      </c>
      <c r="E579" s="14"/>
      <c r="F579" s="15"/>
      <c r="G579" s="15">
        <f>F579-E579</f>
        <v>0</v>
      </c>
      <c r="H579" s="196">
        <v>92.34</v>
      </c>
      <c r="I579" s="15">
        <f t="shared" si="263"/>
        <v>0</v>
      </c>
      <c r="J579" s="15">
        <f>H579*F579</f>
        <v>0</v>
      </c>
      <c r="K579" s="15">
        <f t="shared" si="273"/>
        <v>0</v>
      </c>
    </row>
    <row r="580" spans="1:11">
      <c r="A580" s="184">
        <v>22</v>
      </c>
      <c r="B580" s="191" t="s">
        <v>1475</v>
      </c>
      <c r="C580" s="184"/>
      <c r="D580" s="184"/>
      <c r="E580" s="184"/>
      <c r="F580" s="202"/>
      <c r="G580" s="202"/>
      <c r="H580" s="198"/>
      <c r="I580" s="185">
        <f>SUM(I581,I584,I586,I593,I600,I604)</f>
        <v>158273.88910000003</v>
      </c>
      <c r="J580" s="185">
        <f>SUM(J581,J584,J586,J593,J600,J604)</f>
        <v>158273.88910000003</v>
      </c>
      <c r="K580" s="185">
        <f>SUM(K581,K584,K586,K593,K600,K604)</f>
        <v>0</v>
      </c>
    </row>
    <row r="581" spans="1:11">
      <c r="A581" s="8" t="s">
        <v>1170</v>
      </c>
      <c r="B581" s="9" t="s">
        <v>8</v>
      </c>
      <c r="C581" s="8"/>
      <c r="D581" s="8"/>
      <c r="E581" s="8"/>
      <c r="F581" s="203"/>
      <c r="G581" s="203"/>
      <c r="H581" s="195"/>
      <c r="I581" s="10">
        <f>SUM(I582:I583)</f>
        <v>10184.765000000001</v>
      </c>
      <c r="J581" s="10">
        <f>SUM(J582:J583)</f>
        <v>10184.765000000001</v>
      </c>
      <c r="K581" s="10">
        <f>SUM(K582:K583)</f>
        <v>0</v>
      </c>
    </row>
    <row r="582" spans="1:11" ht="26">
      <c r="A582" s="12" t="s">
        <v>1171</v>
      </c>
      <c r="B582" s="13" t="s">
        <v>653</v>
      </c>
      <c r="C582" s="11" t="s">
        <v>13</v>
      </c>
      <c r="D582" s="14" t="s">
        <v>124</v>
      </c>
      <c r="E582" s="14">
        <f>F582</f>
        <v>1591.33</v>
      </c>
      <c r="F582" s="15">
        <v>1591.33</v>
      </c>
      <c r="G582" s="15">
        <f>F582-E582</f>
        <v>0</v>
      </c>
      <c r="H582" s="196">
        <v>0.36</v>
      </c>
      <c r="I582" s="15">
        <f>H582*E582</f>
        <v>572.87879999999996</v>
      </c>
      <c r="J582" s="15">
        <f>H582*F582</f>
        <v>572.87879999999996</v>
      </c>
      <c r="K582" s="15">
        <f t="shared" ref="K582:K583" si="274">G582*H582</f>
        <v>0</v>
      </c>
    </row>
    <row r="583" spans="1:11" ht="52">
      <c r="A583" s="12" t="s">
        <v>1172</v>
      </c>
      <c r="B583" s="13" t="s">
        <v>650</v>
      </c>
      <c r="C583" s="11" t="s">
        <v>11</v>
      </c>
      <c r="D583" s="14" t="s">
        <v>124</v>
      </c>
      <c r="E583" s="14">
        <f>F583</f>
        <v>155.86000000000001</v>
      </c>
      <c r="F583" s="15">
        <v>155.86000000000001</v>
      </c>
      <c r="G583" s="15">
        <f>F583-E583</f>
        <v>0</v>
      </c>
      <c r="H583" s="196">
        <v>61.67</v>
      </c>
      <c r="I583" s="15">
        <f>H583*E583</f>
        <v>9611.8862000000008</v>
      </c>
      <c r="J583" s="15">
        <f>H583*F583</f>
        <v>9611.8862000000008</v>
      </c>
      <c r="K583" s="15">
        <f t="shared" si="274"/>
        <v>0</v>
      </c>
    </row>
    <row r="584" spans="1:11">
      <c r="A584" s="8" t="s">
        <v>1173</v>
      </c>
      <c r="B584" s="9" t="s">
        <v>655</v>
      </c>
      <c r="C584" s="8"/>
      <c r="D584" s="8"/>
      <c r="E584" s="8"/>
      <c r="F584" s="203"/>
      <c r="G584" s="203"/>
      <c r="H584" s="195"/>
      <c r="I584" s="10">
        <f>SUM(I585:I585)</f>
        <v>604.70539999999994</v>
      </c>
      <c r="J584" s="10">
        <f>SUM(J585:J585)</f>
        <v>604.70539999999994</v>
      </c>
      <c r="K584" s="10">
        <f>SUM(K585:K585)</f>
        <v>0</v>
      </c>
    </row>
    <row r="585" spans="1:11" ht="26">
      <c r="A585" s="12" t="s">
        <v>1174</v>
      </c>
      <c r="B585" s="13" t="s">
        <v>656</v>
      </c>
      <c r="C585" s="11"/>
      <c r="D585" s="14" t="s">
        <v>124</v>
      </c>
      <c r="E585" s="14">
        <f>F585</f>
        <v>1591.33</v>
      </c>
      <c r="F585" s="15">
        <v>1591.33</v>
      </c>
      <c r="G585" s="15">
        <f>F585-E585</f>
        <v>0</v>
      </c>
      <c r="H585" s="196">
        <v>0.38</v>
      </c>
      <c r="I585" s="15">
        <f t="shared" ref="I585:I606" si="275">H585*E585</f>
        <v>604.70539999999994</v>
      </c>
      <c r="J585" s="15">
        <f>H585*F585</f>
        <v>604.70539999999994</v>
      </c>
      <c r="K585" s="15">
        <f t="shared" ref="K585" si="276">G585*H585</f>
        <v>0</v>
      </c>
    </row>
    <row r="586" spans="1:11">
      <c r="A586" s="8" t="s">
        <v>1175</v>
      </c>
      <c r="B586" s="9" t="s">
        <v>658</v>
      </c>
      <c r="C586" s="8"/>
      <c r="D586" s="8"/>
      <c r="E586" s="8"/>
      <c r="F586" s="203"/>
      <c r="G586" s="203"/>
      <c r="H586" s="195"/>
      <c r="I586" s="10">
        <f>SUM(I587:I592)</f>
        <v>72349.795599999998</v>
      </c>
      <c r="J586" s="10">
        <f>SUM(J587:J592)</f>
        <v>72349.795599999998</v>
      </c>
      <c r="K586" s="10">
        <f>SUM(K587:K592)</f>
        <v>0</v>
      </c>
    </row>
    <row r="587" spans="1:11">
      <c r="A587" s="12" t="s">
        <v>1176</v>
      </c>
      <c r="B587" s="13" t="s">
        <v>659</v>
      </c>
      <c r="C587" s="11"/>
      <c r="D587" s="14" t="s">
        <v>124</v>
      </c>
      <c r="E587" s="14">
        <f>F587</f>
        <v>1591.33</v>
      </c>
      <c r="F587" s="15">
        <v>1591.33</v>
      </c>
      <c r="G587" s="15">
        <f t="shared" ref="G587:G592" si="277">F587-E587</f>
        <v>0</v>
      </c>
      <c r="H587" s="196">
        <v>1.75</v>
      </c>
      <c r="I587" s="15">
        <f t="shared" si="275"/>
        <v>2784.8274999999999</v>
      </c>
      <c r="J587" s="15">
        <f>H587*F587</f>
        <v>2784.8274999999999</v>
      </c>
      <c r="K587" s="15">
        <f t="shared" ref="K587:K592" si="278">G587*H587</f>
        <v>0</v>
      </c>
    </row>
    <row r="588" spans="1:11" ht="26">
      <c r="A588" s="12" t="s">
        <v>1177</v>
      </c>
      <c r="B588" s="13" t="s">
        <v>660</v>
      </c>
      <c r="C588" s="11"/>
      <c r="D588" s="14" t="s">
        <v>87</v>
      </c>
      <c r="E588" s="14">
        <f t="shared" ref="E588:E592" si="279">F588</f>
        <v>47.74</v>
      </c>
      <c r="F588" s="15">
        <v>47.74</v>
      </c>
      <c r="G588" s="15">
        <f t="shared" si="277"/>
        <v>0</v>
      </c>
      <c r="H588" s="196">
        <v>10.32</v>
      </c>
      <c r="I588" s="15">
        <f t="shared" si="275"/>
        <v>492.67680000000001</v>
      </c>
      <c r="J588" s="15">
        <f t="shared" ref="J588:J592" si="280">H588*F588</f>
        <v>492.67680000000001</v>
      </c>
      <c r="K588" s="15">
        <f t="shared" si="278"/>
        <v>0</v>
      </c>
    </row>
    <row r="589" spans="1:11" ht="28.5" customHeight="1">
      <c r="A589" s="12" t="s">
        <v>1178</v>
      </c>
      <c r="B589" s="13" t="s">
        <v>661</v>
      </c>
      <c r="C589" s="11"/>
      <c r="D589" s="14" t="s">
        <v>1486</v>
      </c>
      <c r="E589" s="14">
        <f t="shared" si="279"/>
        <v>1432.2</v>
      </c>
      <c r="F589" s="15">
        <v>1432.2</v>
      </c>
      <c r="G589" s="15">
        <f t="shared" si="277"/>
        <v>0</v>
      </c>
      <c r="H589" s="196">
        <v>2.14</v>
      </c>
      <c r="I589" s="15">
        <f t="shared" si="275"/>
        <v>3064.9080000000004</v>
      </c>
      <c r="J589" s="15">
        <f t="shared" si="280"/>
        <v>3064.9080000000004</v>
      </c>
      <c r="K589" s="15">
        <f t="shared" si="278"/>
        <v>0</v>
      </c>
    </row>
    <row r="590" spans="1:11" ht="29" customHeight="1">
      <c r="A590" s="12" t="s">
        <v>1179</v>
      </c>
      <c r="B590" s="13" t="s">
        <v>669</v>
      </c>
      <c r="C590" s="11"/>
      <c r="D590" s="14" t="s">
        <v>1486</v>
      </c>
      <c r="E590" s="14">
        <f t="shared" si="279"/>
        <v>2196.04</v>
      </c>
      <c r="F590" s="15">
        <v>2196.04</v>
      </c>
      <c r="G590" s="15">
        <f t="shared" si="277"/>
        <v>0</v>
      </c>
      <c r="H590" s="196">
        <v>0.87</v>
      </c>
      <c r="I590" s="15">
        <f t="shared" si="275"/>
        <v>1910.5547999999999</v>
      </c>
      <c r="J590" s="15">
        <f t="shared" si="280"/>
        <v>1910.5547999999999</v>
      </c>
      <c r="K590" s="15">
        <f t="shared" si="278"/>
        <v>0</v>
      </c>
    </row>
    <row r="591" spans="1:11" ht="28" customHeight="1">
      <c r="A591" s="12" t="s">
        <v>1180</v>
      </c>
      <c r="B591" s="13" t="s">
        <v>662</v>
      </c>
      <c r="C591" s="11"/>
      <c r="D591" s="14" t="s">
        <v>87</v>
      </c>
      <c r="E591" s="14">
        <f t="shared" si="279"/>
        <v>47.74</v>
      </c>
      <c r="F591" s="15">
        <v>47.74</v>
      </c>
      <c r="G591" s="15">
        <f t="shared" si="277"/>
        <v>0</v>
      </c>
      <c r="H591" s="196">
        <v>1248.29</v>
      </c>
      <c r="I591" s="15">
        <f t="shared" si="275"/>
        <v>59593.364600000001</v>
      </c>
      <c r="J591" s="15">
        <f t="shared" si="280"/>
        <v>59593.364600000001</v>
      </c>
      <c r="K591" s="15">
        <f t="shared" si="278"/>
        <v>0</v>
      </c>
    </row>
    <row r="592" spans="1:11" ht="17.5" customHeight="1">
      <c r="A592" s="12" t="s">
        <v>1181</v>
      </c>
      <c r="B592" s="13" t="s">
        <v>663</v>
      </c>
      <c r="C592" s="11"/>
      <c r="D592" s="14" t="s">
        <v>124</v>
      </c>
      <c r="E592" s="14">
        <f t="shared" si="279"/>
        <v>1591.33</v>
      </c>
      <c r="F592" s="15">
        <v>1591.33</v>
      </c>
      <c r="G592" s="15">
        <f t="shared" si="277"/>
        <v>0</v>
      </c>
      <c r="H592" s="196">
        <v>2.83</v>
      </c>
      <c r="I592" s="15">
        <f t="shared" si="275"/>
        <v>4503.4638999999997</v>
      </c>
      <c r="J592" s="15">
        <f t="shared" si="280"/>
        <v>4503.4638999999997</v>
      </c>
      <c r="K592" s="15">
        <f t="shared" si="278"/>
        <v>0</v>
      </c>
    </row>
    <row r="593" spans="1:11">
      <c r="A593" s="8" t="s">
        <v>1182</v>
      </c>
      <c r="B593" s="9" t="s">
        <v>670</v>
      </c>
      <c r="C593" s="8"/>
      <c r="D593" s="8"/>
      <c r="E593" s="8"/>
      <c r="F593" s="203"/>
      <c r="G593" s="203"/>
      <c r="H593" s="195"/>
      <c r="I593" s="10">
        <f>SUM(I594:I599)</f>
        <v>72349.795599999998</v>
      </c>
      <c r="J593" s="10">
        <f>SUM(J594:J599)</f>
        <v>72349.795599999998</v>
      </c>
      <c r="K593" s="10">
        <f>SUM(K594:K599)</f>
        <v>0</v>
      </c>
    </row>
    <row r="594" spans="1:11">
      <c r="A594" s="12" t="s">
        <v>1183</v>
      </c>
      <c r="B594" s="13" t="s">
        <v>659</v>
      </c>
      <c r="C594" s="11"/>
      <c r="D594" s="15" t="s">
        <v>124</v>
      </c>
      <c r="E594" s="14">
        <f>F594</f>
        <v>1591.33</v>
      </c>
      <c r="F594" s="15">
        <v>1591.33</v>
      </c>
      <c r="G594" s="15">
        <f t="shared" ref="G594:G599" si="281">F594-E594</f>
        <v>0</v>
      </c>
      <c r="H594" s="196">
        <v>1.75</v>
      </c>
      <c r="I594" s="15">
        <f t="shared" si="275"/>
        <v>2784.8274999999999</v>
      </c>
      <c r="J594" s="15">
        <f>H594*F594</f>
        <v>2784.8274999999999</v>
      </c>
      <c r="K594" s="15">
        <f t="shared" ref="K594:K599" si="282">G594*H594</f>
        <v>0</v>
      </c>
    </row>
    <row r="595" spans="1:11" ht="26">
      <c r="A595" s="12" t="s">
        <v>1184</v>
      </c>
      <c r="B595" s="13" t="s">
        <v>660</v>
      </c>
      <c r="C595" s="11"/>
      <c r="D595" s="15" t="s">
        <v>87</v>
      </c>
      <c r="E595" s="14">
        <f t="shared" ref="E595:E599" si="283">F595</f>
        <v>47.74</v>
      </c>
      <c r="F595" s="199">
        <v>47.74</v>
      </c>
      <c r="G595" s="15">
        <f t="shared" si="281"/>
        <v>0</v>
      </c>
      <c r="H595" s="196">
        <v>10.32</v>
      </c>
      <c r="I595" s="15">
        <f t="shared" si="275"/>
        <v>492.67680000000001</v>
      </c>
      <c r="J595" s="15">
        <f t="shared" ref="J595:J599" si="284">H595*F595</f>
        <v>492.67680000000001</v>
      </c>
      <c r="K595" s="15">
        <f t="shared" si="282"/>
        <v>0</v>
      </c>
    </row>
    <row r="596" spans="1:11" ht="28.5" customHeight="1">
      <c r="A596" s="12" t="s">
        <v>1185</v>
      </c>
      <c r="B596" s="13" t="s">
        <v>661</v>
      </c>
      <c r="C596" s="11"/>
      <c r="D596" s="15" t="s">
        <v>1486</v>
      </c>
      <c r="E596" s="14">
        <f t="shared" si="283"/>
        <v>1432.2</v>
      </c>
      <c r="F596" s="199">
        <v>1432.2</v>
      </c>
      <c r="G596" s="15">
        <f t="shared" si="281"/>
        <v>0</v>
      </c>
      <c r="H596" s="196">
        <v>2.14</v>
      </c>
      <c r="I596" s="15">
        <f t="shared" si="275"/>
        <v>3064.9080000000004</v>
      </c>
      <c r="J596" s="15">
        <f t="shared" si="284"/>
        <v>3064.9080000000004</v>
      </c>
      <c r="K596" s="15">
        <f t="shared" si="282"/>
        <v>0</v>
      </c>
    </row>
    <row r="597" spans="1:11" ht="32.5" customHeight="1">
      <c r="A597" s="12" t="s">
        <v>1186</v>
      </c>
      <c r="B597" s="19" t="s">
        <v>669</v>
      </c>
      <c r="C597" s="11"/>
      <c r="D597" s="192" t="s">
        <v>1486</v>
      </c>
      <c r="E597" s="14">
        <f t="shared" si="283"/>
        <v>2196.04</v>
      </c>
      <c r="F597" s="204">
        <v>2196.04</v>
      </c>
      <c r="G597" s="15">
        <f t="shared" si="281"/>
        <v>0</v>
      </c>
      <c r="H597" s="197">
        <v>0.87</v>
      </c>
      <c r="I597" s="15">
        <f t="shared" si="275"/>
        <v>1910.5547999999999</v>
      </c>
      <c r="J597" s="15">
        <f t="shared" si="284"/>
        <v>1910.5547999999999</v>
      </c>
      <c r="K597" s="15">
        <f t="shared" si="282"/>
        <v>0</v>
      </c>
    </row>
    <row r="598" spans="1:11" ht="26.5">
      <c r="A598" s="12" t="s">
        <v>1187</v>
      </c>
      <c r="B598" s="19" t="s">
        <v>671</v>
      </c>
      <c r="C598" s="11"/>
      <c r="D598" s="15" t="s">
        <v>87</v>
      </c>
      <c r="E598" s="14">
        <f t="shared" si="283"/>
        <v>47.74</v>
      </c>
      <c r="F598" s="199">
        <v>47.74</v>
      </c>
      <c r="G598" s="15">
        <f t="shared" si="281"/>
        <v>0</v>
      </c>
      <c r="H598" s="196">
        <v>1248.29</v>
      </c>
      <c r="I598" s="15">
        <f t="shared" si="275"/>
        <v>59593.364600000001</v>
      </c>
      <c r="J598" s="15">
        <f t="shared" si="284"/>
        <v>59593.364600000001</v>
      </c>
      <c r="K598" s="15">
        <f t="shared" si="282"/>
        <v>0</v>
      </c>
    </row>
    <row r="599" spans="1:11" ht="16.5" customHeight="1">
      <c r="A599" s="12" t="s">
        <v>1188</v>
      </c>
      <c r="B599" s="17" t="s">
        <v>672</v>
      </c>
      <c r="C599" s="11" t="s">
        <v>87</v>
      </c>
      <c r="D599" s="15" t="s">
        <v>124</v>
      </c>
      <c r="E599" s="14">
        <f t="shared" si="283"/>
        <v>1591.33</v>
      </c>
      <c r="F599" s="199">
        <v>1591.33</v>
      </c>
      <c r="G599" s="15">
        <f t="shared" si="281"/>
        <v>0</v>
      </c>
      <c r="H599" s="196">
        <v>2.83</v>
      </c>
      <c r="I599" s="15">
        <f t="shared" si="275"/>
        <v>4503.4638999999997</v>
      </c>
      <c r="J599" s="15">
        <f t="shared" si="284"/>
        <v>4503.4638999999997</v>
      </c>
      <c r="K599" s="15">
        <f t="shared" si="282"/>
        <v>0</v>
      </c>
    </row>
    <row r="600" spans="1:11">
      <c r="A600" s="8" t="s">
        <v>1189</v>
      </c>
      <c r="B600" s="9" t="s">
        <v>107</v>
      </c>
      <c r="C600" s="8"/>
      <c r="D600" s="8"/>
      <c r="E600" s="8"/>
      <c r="F600" s="203"/>
      <c r="G600" s="203"/>
      <c r="H600" s="195"/>
      <c r="I600" s="10">
        <f>SUM(I601:I603)</f>
        <v>0</v>
      </c>
      <c r="J600" s="10">
        <f>SUM(J601:J603)</f>
        <v>0</v>
      </c>
      <c r="K600" s="10">
        <f>SUM(K601:K603)</f>
        <v>0</v>
      </c>
    </row>
    <row r="601" spans="1:11" ht="39">
      <c r="A601" s="12" t="s">
        <v>1190</v>
      </c>
      <c r="B601" s="13" t="s">
        <v>674</v>
      </c>
      <c r="C601" s="11" t="s">
        <v>33</v>
      </c>
      <c r="D601" s="14" t="s">
        <v>1487</v>
      </c>
      <c r="E601" s="14"/>
      <c r="F601" s="15"/>
      <c r="G601" s="15">
        <f>F601-E601</f>
        <v>0</v>
      </c>
      <c r="H601" s="196">
        <v>625.09</v>
      </c>
      <c r="I601" s="15">
        <f t="shared" si="275"/>
        <v>0</v>
      </c>
      <c r="J601" s="15">
        <f>H601*F601</f>
        <v>0</v>
      </c>
      <c r="K601" s="15">
        <f t="shared" ref="K601:K603" si="285">G601*H601</f>
        <v>0</v>
      </c>
    </row>
    <row r="602" spans="1:11" ht="17" customHeight="1">
      <c r="A602" s="12" t="s">
        <v>1191</v>
      </c>
      <c r="B602" s="194" t="s">
        <v>680</v>
      </c>
      <c r="C602" s="11" t="s">
        <v>33</v>
      </c>
      <c r="D602" s="14" t="s">
        <v>124</v>
      </c>
      <c r="E602" s="14"/>
      <c r="F602" s="15"/>
      <c r="G602" s="15">
        <f>F602-E602</f>
        <v>0</v>
      </c>
      <c r="H602" s="196">
        <v>16.260000000000002</v>
      </c>
      <c r="I602" s="15">
        <f t="shared" si="275"/>
        <v>0</v>
      </c>
      <c r="J602" s="15">
        <f t="shared" ref="J602:J603" si="286">H602*F602</f>
        <v>0</v>
      </c>
      <c r="K602" s="15">
        <f t="shared" si="285"/>
        <v>0</v>
      </c>
    </row>
    <row r="603" spans="1:11" ht="16.5" customHeight="1">
      <c r="A603" s="12" t="s">
        <v>1192</v>
      </c>
      <c r="B603" s="13" t="s">
        <v>675</v>
      </c>
      <c r="C603" s="11" t="s">
        <v>33</v>
      </c>
      <c r="D603" s="14" t="s">
        <v>124</v>
      </c>
      <c r="E603" s="14"/>
      <c r="F603" s="15"/>
      <c r="G603" s="15">
        <f>F603-E603</f>
        <v>0</v>
      </c>
      <c r="H603" s="196">
        <v>4.5599999999999996</v>
      </c>
      <c r="I603" s="15">
        <f t="shared" si="275"/>
        <v>0</v>
      </c>
      <c r="J603" s="15">
        <f t="shared" si="286"/>
        <v>0</v>
      </c>
      <c r="K603" s="15">
        <f t="shared" si="285"/>
        <v>0</v>
      </c>
    </row>
    <row r="604" spans="1:11">
      <c r="A604" s="8" t="s">
        <v>1193</v>
      </c>
      <c r="B604" s="9" t="s">
        <v>678</v>
      </c>
      <c r="C604" s="8"/>
      <c r="D604" s="8"/>
      <c r="E604" s="8"/>
      <c r="F604" s="203"/>
      <c r="G604" s="203"/>
      <c r="H604" s="195"/>
      <c r="I604" s="10">
        <f>SUM(I605:I606)</f>
        <v>2784.8274999999999</v>
      </c>
      <c r="J604" s="10">
        <f>SUM(J605:J606)</f>
        <v>2784.8274999999999</v>
      </c>
      <c r="K604" s="10">
        <f>SUM(K605:K606)</f>
        <v>0</v>
      </c>
    </row>
    <row r="605" spans="1:11">
      <c r="A605" s="12" t="s">
        <v>1194</v>
      </c>
      <c r="B605" s="13" t="s">
        <v>659</v>
      </c>
      <c r="C605" s="11" t="s">
        <v>11</v>
      </c>
      <c r="D605" s="14" t="s">
        <v>124</v>
      </c>
      <c r="E605" s="14">
        <f>F605</f>
        <v>1591.33</v>
      </c>
      <c r="F605" s="15">
        <v>1591.33</v>
      </c>
      <c r="G605" s="15">
        <f>F605-E605</f>
        <v>0</v>
      </c>
      <c r="H605" s="196">
        <v>1.75</v>
      </c>
      <c r="I605" s="15">
        <f t="shared" si="275"/>
        <v>2784.8274999999999</v>
      </c>
      <c r="J605" s="15">
        <f>H605*F605</f>
        <v>2784.8274999999999</v>
      </c>
      <c r="K605" s="15">
        <f t="shared" ref="K605:K606" si="287">G605*H605</f>
        <v>0</v>
      </c>
    </row>
    <row r="606" spans="1:11">
      <c r="A606" s="12" t="s">
        <v>1195</v>
      </c>
      <c r="B606" s="13" t="s">
        <v>679</v>
      </c>
      <c r="C606" s="11" t="s">
        <v>11</v>
      </c>
      <c r="D606" s="14" t="s">
        <v>1487</v>
      </c>
      <c r="E606" s="14"/>
      <c r="F606" s="15"/>
      <c r="G606" s="15">
        <f>F606-E606</f>
        <v>0</v>
      </c>
      <c r="H606" s="196">
        <v>92.34</v>
      </c>
      <c r="I606" s="15">
        <f t="shared" si="275"/>
        <v>0</v>
      </c>
      <c r="J606" s="15">
        <f>H606*F606</f>
        <v>0</v>
      </c>
      <c r="K606" s="15">
        <f t="shared" si="287"/>
        <v>0</v>
      </c>
    </row>
    <row r="607" spans="1:11">
      <c r="A607" s="184">
        <v>23</v>
      </c>
      <c r="B607" s="191" t="s">
        <v>1476</v>
      </c>
      <c r="C607" s="184"/>
      <c r="D607" s="184"/>
      <c r="E607" s="184"/>
      <c r="F607" s="202"/>
      <c r="G607" s="202"/>
      <c r="H607" s="198"/>
      <c r="I607" s="185"/>
      <c r="J607" s="185">
        <f>SUM(J608,J611,J613,J620,J627,J631)</f>
        <v>348572.77089999994</v>
      </c>
      <c r="K607" s="185">
        <f>SUM(K608,K611,K613,K620,K627,K631)</f>
        <v>348572.77089999994</v>
      </c>
    </row>
    <row r="608" spans="1:11">
      <c r="A608" s="8" t="s">
        <v>1196</v>
      </c>
      <c r="B608" s="9" t="s">
        <v>8</v>
      </c>
      <c r="C608" s="8"/>
      <c r="D608" s="8"/>
      <c r="E608" s="8"/>
      <c r="F608" s="203"/>
      <c r="G608" s="203"/>
      <c r="H608" s="195"/>
      <c r="I608" s="10"/>
      <c r="J608" s="10">
        <f>SUM(J609:J610)</f>
        <v>30808.371900000006</v>
      </c>
      <c r="K608" s="10">
        <f>SUM(K609:K610)</f>
        <v>30808.371900000006</v>
      </c>
    </row>
    <row r="609" spans="1:11" ht="26">
      <c r="A609" s="12" t="s">
        <v>1197</v>
      </c>
      <c r="B609" s="13" t="s">
        <v>653</v>
      </c>
      <c r="C609" s="11" t="s">
        <v>13</v>
      </c>
      <c r="D609" s="14" t="s">
        <v>124</v>
      </c>
      <c r="E609" s="14"/>
      <c r="F609" s="15">
        <v>3377.84</v>
      </c>
      <c r="G609" s="15">
        <f>F609-E609</f>
        <v>3377.84</v>
      </c>
      <c r="H609" s="196">
        <v>0.36</v>
      </c>
      <c r="I609" s="15">
        <f>H609*E609</f>
        <v>0</v>
      </c>
      <c r="J609" s="15">
        <f>H609*F609</f>
        <v>1216.0224000000001</v>
      </c>
      <c r="K609" s="15">
        <f t="shared" ref="K609:K610" si="288">G609*H609</f>
        <v>1216.0224000000001</v>
      </c>
    </row>
    <row r="610" spans="1:11" ht="52">
      <c r="A610" s="12" t="s">
        <v>1198</v>
      </c>
      <c r="B610" s="13" t="s">
        <v>650</v>
      </c>
      <c r="C610" s="11" t="s">
        <v>11</v>
      </c>
      <c r="D610" s="14" t="s">
        <v>124</v>
      </c>
      <c r="E610" s="14"/>
      <c r="F610" s="15">
        <v>479.85</v>
      </c>
      <c r="G610" s="15">
        <f>F610-E610</f>
        <v>479.85</v>
      </c>
      <c r="H610" s="196">
        <v>61.67</v>
      </c>
      <c r="I610" s="15">
        <f>H610*E610</f>
        <v>0</v>
      </c>
      <c r="J610" s="15">
        <f>H610*F610</f>
        <v>29592.349500000004</v>
      </c>
      <c r="K610" s="15">
        <f t="shared" si="288"/>
        <v>29592.349500000004</v>
      </c>
    </row>
    <row r="611" spans="1:11">
      <c r="A611" s="8" t="s">
        <v>1199</v>
      </c>
      <c r="B611" s="9" t="s">
        <v>655</v>
      </c>
      <c r="C611" s="8"/>
      <c r="D611" s="8"/>
      <c r="E611" s="8"/>
      <c r="F611" s="203"/>
      <c r="G611" s="203"/>
      <c r="H611" s="195"/>
      <c r="I611" s="195"/>
      <c r="J611" s="10">
        <f>SUM(J612:J612)</f>
        <v>1283.5792000000001</v>
      </c>
      <c r="K611" s="10">
        <f>SUM(K612:K612)</f>
        <v>1283.5792000000001</v>
      </c>
    </row>
    <row r="612" spans="1:11" ht="26">
      <c r="A612" s="12" t="s">
        <v>1200</v>
      </c>
      <c r="B612" s="13" t="s">
        <v>656</v>
      </c>
      <c r="C612" s="11"/>
      <c r="D612" s="14" t="s">
        <v>124</v>
      </c>
      <c r="E612" s="14"/>
      <c r="F612" s="15">
        <v>3377.84</v>
      </c>
      <c r="G612" s="15">
        <f>F612-E612</f>
        <v>3377.84</v>
      </c>
      <c r="H612" s="196">
        <v>0.38</v>
      </c>
      <c r="I612" s="15">
        <f t="shared" ref="I612:I633" si="289">H612*E612</f>
        <v>0</v>
      </c>
      <c r="J612" s="15">
        <f>H612*F612</f>
        <v>1283.5792000000001</v>
      </c>
      <c r="K612" s="15">
        <f t="shared" ref="K612" si="290">G612*H612</f>
        <v>1283.5792000000001</v>
      </c>
    </row>
    <row r="613" spans="1:11">
      <c r="A613" s="8" t="s">
        <v>1201</v>
      </c>
      <c r="B613" s="9" t="s">
        <v>658</v>
      </c>
      <c r="C613" s="8"/>
      <c r="D613" s="8"/>
      <c r="E613" s="8"/>
      <c r="F613" s="203"/>
      <c r="G613" s="203"/>
      <c r="H613" s="195"/>
      <c r="I613" s="195"/>
      <c r="J613" s="10">
        <f>SUM(J614:J619)</f>
        <v>155284.79989999998</v>
      </c>
      <c r="K613" s="10">
        <f>SUM(K614:K619)</f>
        <v>155284.79989999998</v>
      </c>
    </row>
    <row r="614" spans="1:11">
      <c r="A614" s="12" t="s">
        <v>1202</v>
      </c>
      <c r="B614" s="13" t="s">
        <v>659</v>
      </c>
      <c r="C614" s="11"/>
      <c r="D614" s="14" t="s">
        <v>124</v>
      </c>
      <c r="E614" s="14"/>
      <c r="F614" s="15">
        <v>3377.84</v>
      </c>
      <c r="G614" s="15">
        <f t="shared" ref="G614:G619" si="291">F614-E614</f>
        <v>3377.84</v>
      </c>
      <c r="H614" s="196">
        <v>1.75</v>
      </c>
      <c r="I614" s="15">
        <f t="shared" si="289"/>
        <v>0</v>
      </c>
      <c r="J614" s="15">
        <f>H614*F614</f>
        <v>5911.22</v>
      </c>
      <c r="K614" s="15">
        <f t="shared" ref="K614:K619" si="292">G614*H614</f>
        <v>5911.22</v>
      </c>
    </row>
    <row r="615" spans="1:11" ht="26">
      <c r="A615" s="12" t="s">
        <v>1203</v>
      </c>
      <c r="B615" s="13" t="s">
        <v>660</v>
      </c>
      <c r="C615" s="11"/>
      <c r="D615" s="14" t="s">
        <v>87</v>
      </c>
      <c r="E615" s="14"/>
      <c r="F615" s="15">
        <v>101.34</v>
      </c>
      <c r="G615" s="15">
        <f t="shared" si="291"/>
        <v>101.34</v>
      </c>
      <c r="H615" s="196">
        <v>10.32</v>
      </c>
      <c r="I615" s="15">
        <f t="shared" si="289"/>
        <v>0</v>
      </c>
      <c r="J615" s="15">
        <f t="shared" ref="J615:J619" si="293">H615*F615</f>
        <v>1045.8288</v>
      </c>
      <c r="K615" s="15">
        <f t="shared" si="292"/>
        <v>1045.8288</v>
      </c>
    </row>
    <row r="616" spans="1:11" ht="28.5" customHeight="1">
      <c r="A616" s="12" t="s">
        <v>1204</v>
      </c>
      <c r="B616" s="13" t="s">
        <v>661</v>
      </c>
      <c r="C616" s="11"/>
      <c r="D616" s="14" t="s">
        <v>1486</v>
      </c>
      <c r="E616" s="14"/>
      <c r="F616" s="15">
        <v>3040.06</v>
      </c>
      <c r="G616" s="15">
        <f t="shared" si="291"/>
        <v>3040.06</v>
      </c>
      <c r="H616" s="196">
        <v>2.14</v>
      </c>
      <c r="I616" s="15">
        <f t="shared" si="289"/>
        <v>0</v>
      </c>
      <c r="J616" s="15">
        <f t="shared" si="293"/>
        <v>6505.7284</v>
      </c>
      <c r="K616" s="15">
        <f t="shared" si="292"/>
        <v>6505.7284</v>
      </c>
    </row>
    <row r="617" spans="1:11" ht="29" customHeight="1">
      <c r="A617" s="12" t="s">
        <v>1205</v>
      </c>
      <c r="B617" s="13" t="s">
        <v>669</v>
      </c>
      <c r="C617" s="11"/>
      <c r="D617" s="14" t="s">
        <v>1486</v>
      </c>
      <c r="E617" s="14"/>
      <c r="F617" s="15">
        <v>6621.87</v>
      </c>
      <c r="G617" s="15">
        <f t="shared" si="291"/>
        <v>6621.87</v>
      </c>
      <c r="H617" s="196">
        <v>0.87</v>
      </c>
      <c r="I617" s="15">
        <f t="shared" si="289"/>
        <v>0</v>
      </c>
      <c r="J617" s="15">
        <f t="shared" si="293"/>
        <v>5761.0268999999998</v>
      </c>
      <c r="K617" s="15">
        <f t="shared" si="292"/>
        <v>5761.0268999999998</v>
      </c>
    </row>
    <row r="618" spans="1:11" ht="28" customHeight="1">
      <c r="A618" s="12" t="s">
        <v>1206</v>
      </c>
      <c r="B618" s="13" t="s">
        <v>662</v>
      </c>
      <c r="C618" s="11"/>
      <c r="D618" s="14" t="s">
        <v>87</v>
      </c>
      <c r="E618" s="14"/>
      <c r="F618" s="15">
        <v>101.34</v>
      </c>
      <c r="G618" s="15">
        <f t="shared" si="291"/>
        <v>101.34</v>
      </c>
      <c r="H618" s="196">
        <v>1248.29</v>
      </c>
      <c r="I618" s="15">
        <f t="shared" si="289"/>
        <v>0</v>
      </c>
      <c r="J618" s="15">
        <f t="shared" si="293"/>
        <v>126501.7086</v>
      </c>
      <c r="K618" s="15">
        <f t="shared" si="292"/>
        <v>126501.7086</v>
      </c>
    </row>
    <row r="619" spans="1:11" ht="17.5" customHeight="1">
      <c r="A619" s="12" t="s">
        <v>1207</v>
      </c>
      <c r="B619" s="13" t="s">
        <v>663</v>
      </c>
      <c r="C619" s="11"/>
      <c r="D619" s="14" t="s">
        <v>124</v>
      </c>
      <c r="E619" s="14"/>
      <c r="F619" s="15">
        <v>3377.84</v>
      </c>
      <c r="G619" s="15">
        <f t="shared" si="291"/>
        <v>3377.84</v>
      </c>
      <c r="H619" s="196">
        <v>2.83</v>
      </c>
      <c r="I619" s="15">
        <f t="shared" si="289"/>
        <v>0</v>
      </c>
      <c r="J619" s="15">
        <f t="shared" si="293"/>
        <v>9559.2872000000007</v>
      </c>
      <c r="K619" s="15">
        <f t="shared" si="292"/>
        <v>9559.2872000000007</v>
      </c>
    </row>
    <row r="620" spans="1:11">
      <c r="A620" s="8" t="s">
        <v>1208</v>
      </c>
      <c r="B620" s="9" t="s">
        <v>670</v>
      </c>
      <c r="C620" s="8"/>
      <c r="D620" s="8"/>
      <c r="E620" s="8"/>
      <c r="F620" s="203"/>
      <c r="G620" s="203"/>
      <c r="H620" s="195"/>
      <c r="I620" s="195"/>
      <c r="J620" s="10">
        <f>SUM(J621:J626)</f>
        <v>155284.79989999998</v>
      </c>
      <c r="K620" s="10">
        <f>SUM(K621:K626)</f>
        <v>155284.79989999998</v>
      </c>
    </row>
    <row r="621" spans="1:11">
      <c r="A621" s="12" t="s">
        <v>1209</v>
      </c>
      <c r="B621" s="13" t="s">
        <v>659</v>
      </c>
      <c r="C621" s="11"/>
      <c r="D621" s="15" t="s">
        <v>124</v>
      </c>
      <c r="E621" s="14"/>
      <c r="F621" s="15">
        <v>3377.84</v>
      </c>
      <c r="G621" s="15">
        <f t="shared" ref="G621:G626" si="294">F621-E621</f>
        <v>3377.84</v>
      </c>
      <c r="H621" s="196">
        <v>1.75</v>
      </c>
      <c r="I621" s="15">
        <f t="shared" si="289"/>
        <v>0</v>
      </c>
      <c r="J621" s="15">
        <f>H621*F621</f>
        <v>5911.22</v>
      </c>
      <c r="K621" s="15">
        <f t="shared" ref="K621:K626" si="295">G621*H621</f>
        <v>5911.22</v>
      </c>
    </row>
    <row r="622" spans="1:11" ht="26">
      <c r="A622" s="12" t="s">
        <v>1210</v>
      </c>
      <c r="B622" s="13" t="s">
        <v>660</v>
      </c>
      <c r="C622" s="11"/>
      <c r="D622" s="15" t="s">
        <v>87</v>
      </c>
      <c r="E622" s="14"/>
      <c r="F622" s="15">
        <v>101.34</v>
      </c>
      <c r="G622" s="15">
        <f t="shared" si="294"/>
        <v>101.34</v>
      </c>
      <c r="H622" s="196">
        <v>10.32</v>
      </c>
      <c r="I622" s="15">
        <f t="shared" si="289"/>
        <v>0</v>
      </c>
      <c r="J622" s="15">
        <f t="shared" ref="J622:J626" si="296">H622*F622</f>
        <v>1045.8288</v>
      </c>
      <c r="K622" s="15">
        <f t="shared" si="295"/>
        <v>1045.8288</v>
      </c>
    </row>
    <row r="623" spans="1:11" ht="28.5" customHeight="1">
      <c r="A623" s="12" t="s">
        <v>1211</v>
      </c>
      <c r="B623" s="13" t="s">
        <v>661</v>
      </c>
      <c r="C623" s="11"/>
      <c r="D623" s="15" t="s">
        <v>1486</v>
      </c>
      <c r="E623" s="14"/>
      <c r="F623" s="15">
        <v>3040.06</v>
      </c>
      <c r="G623" s="15">
        <f t="shared" si="294"/>
        <v>3040.06</v>
      </c>
      <c r="H623" s="196">
        <v>2.14</v>
      </c>
      <c r="I623" s="15">
        <f t="shared" si="289"/>
        <v>0</v>
      </c>
      <c r="J623" s="15">
        <f t="shared" si="296"/>
        <v>6505.7284</v>
      </c>
      <c r="K623" s="15">
        <f t="shared" si="295"/>
        <v>6505.7284</v>
      </c>
    </row>
    <row r="624" spans="1:11" ht="32.5" customHeight="1">
      <c r="A624" s="12" t="s">
        <v>1212</v>
      </c>
      <c r="B624" s="19" t="s">
        <v>669</v>
      </c>
      <c r="C624" s="11"/>
      <c r="D624" s="192" t="s">
        <v>1486</v>
      </c>
      <c r="E624" s="193"/>
      <c r="F624" s="15">
        <v>6621.87</v>
      </c>
      <c r="G624" s="15">
        <f t="shared" si="294"/>
        <v>6621.87</v>
      </c>
      <c r="H624" s="197">
        <v>0.87</v>
      </c>
      <c r="I624" s="15">
        <f t="shared" si="289"/>
        <v>0</v>
      </c>
      <c r="J624" s="15">
        <f t="shared" si="296"/>
        <v>5761.0268999999998</v>
      </c>
      <c r="K624" s="15">
        <f t="shared" si="295"/>
        <v>5761.0268999999998</v>
      </c>
    </row>
    <row r="625" spans="1:11" ht="26.5">
      <c r="A625" s="12" t="s">
        <v>1213</v>
      </c>
      <c r="B625" s="19" t="s">
        <v>671</v>
      </c>
      <c r="C625" s="11"/>
      <c r="D625" s="15" t="s">
        <v>87</v>
      </c>
      <c r="E625" s="14"/>
      <c r="F625" s="15">
        <v>101.34</v>
      </c>
      <c r="G625" s="15">
        <f t="shared" si="294"/>
        <v>101.34</v>
      </c>
      <c r="H625" s="196">
        <v>1248.29</v>
      </c>
      <c r="I625" s="15">
        <f t="shared" si="289"/>
        <v>0</v>
      </c>
      <c r="J625" s="15">
        <f t="shared" si="296"/>
        <v>126501.7086</v>
      </c>
      <c r="K625" s="15">
        <f t="shared" si="295"/>
        <v>126501.7086</v>
      </c>
    </row>
    <row r="626" spans="1:11" ht="16.5" customHeight="1">
      <c r="A626" s="12" t="s">
        <v>1214</v>
      </c>
      <c r="B626" s="17" t="s">
        <v>672</v>
      </c>
      <c r="C626" s="11" t="s">
        <v>87</v>
      </c>
      <c r="D626" s="15" t="s">
        <v>124</v>
      </c>
      <c r="E626" s="14"/>
      <c r="F626" s="15">
        <v>3377.84</v>
      </c>
      <c r="G626" s="15">
        <f t="shared" si="294"/>
        <v>3377.84</v>
      </c>
      <c r="H626" s="196">
        <v>2.83</v>
      </c>
      <c r="I626" s="15">
        <f t="shared" si="289"/>
        <v>0</v>
      </c>
      <c r="J626" s="15">
        <f t="shared" si="296"/>
        <v>9559.2872000000007</v>
      </c>
      <c r="K626" s="15">
        <f t="shared" si="295"/>
        <v>9559.2872000000007</v>
      </c>
    </row>
    <row r="627" spans="1:11">
      <c r="A627" s="8" t="s">
        <v>1215</v>
      </c>
      <c r="B627" s="9" t="s">
        <v>107</v>
      </c>
      <c r="C627" s="8"/>
      <c r="D627" s="8"/>
      <c r="E627" s="8"/>
      <c r="F627" s="203"/>
      <c r="G627" s="203"/>
      <c r="H627" s="195"/>
      <c r="I627" s="195"/>
      <c r="J627" s="10">
        <f>SUM(J628:J630)</f>
        <v>0</v>
      </c>
      <c r="K627" s="10">
        <f>SUM(K628:K630)</f>
        <v>0</v>
      </c>
    </row>
    <row r="628" spans="1:11" ht="39">
      <c r="A628" s="12" t="s">
        <v>1216</v>
      </c>
      <c r="B628" s="13" t="s">
        <v>674</v>
      </c>
      <c r="C628" s="11" t="s">
        <v>33</v>
      </c>
      <c r="D628" s="14" t="s">
        <v>1487</v>
      </c>
      <c r="E628" s="14"/>
      <c r="F628" s="15"/>
      <c r="G628" s="15">
        <f>F628-E628</f>
        <v>0</v>
      </c>
      <c r="H628" s="196">
        <v>625.09</v>
      </c>
      <c r="I628" s="15">
        <f t="shared" si="289"/>
        <v>0</v>
      </c>
      <c r="J628" s="15">
        <f>H628*F628</f>
        <v>0</v>
      </c>
      <c r="K628" s="15">
        <f t="shared" ref="K628:K630" si="297">G628*H628</f>
        <v>0</v>
      </c>
    </row>
    <row r="629" spans="1:11" ht="17" customHeight="1">
      <c r="A629" s="12" t="s">
        <v>1217</v>
      </c>
      <c r="B629" s="194" t="s">
        <v>680</v>
      </c>
      <c r="C629" s="11" t="s">
        <v>33</v>
      </c>
      <c r="D629" s="14" t="s">
        <v>124</v>
      </c>
      <c r="E629" s="14"/>
      <c r="F629" s="15"/>
      <c r="G629" s="15">
        <f>F629-E629</f>
        <v>0</v>
      </c>
      <c r="H629" s="196">
        <v>16.260000000000002</v>
      </c>
      <c r="I629" s="15">
        <f t="shared" si="289"/>
        <v>0</v>
      </c>
      <c r="J629" s="15">
        <f t="shared" ref="J629:J630" si="298">H629*F629</f>
        <v>0</v>
      </c>
      <c r="K629" s="15">
        <f t="shared" si="297"/>
        <v>0</v>
      </c>
    </row>
    <row r="630" spans="1:11" ht="16.5" customHeight="1">
      <c r="A630" s="12" t="s">
        <v>1218</v>
      </c>
      <c r="B630" s="13" t="s">
        <v>675</v>
      </c>
      <c r="C630" s="11" t="s">
        <v>33</v>
      </c>
      <c r="D630" s="14" t="s">
        <v>124</v>
      </c>
      <c r="E630" s="14"/>
      <c r="F630" s="15"/>
      <c r="G630" s="15">
        <f>F630-E630</f>
        <v>0</v>
      </c>
      <c r="H630" s="196">
        <v>4.5599999999999996</v>
      </c>
      <c r="I630" s="15">
        <f t="shared" si="289"/>
        <v>0</v>
      </c>
      <c r="J630" s="15">
        <f t="shared" si="298"/>
        <v>0</v>
      </c>
      <c r="K630" s="15">
        <f t="shared" si="297"/>
        <v>0</v>
      </c>
    </row>
    <row r="631" spans="1:11">
      <c r="A631" s="8" t="s">
        <v>1219</v>
      </c>
      <c r="B631" s="9" t="s">
        <v>678</v>
      </c>
      <c r="C631" s="8"/>
      <c r="D631" s="8"/>
      <c r="E631" s="8"/>
      <c r="F631" s="203"/>
      <c r="G631" s="203"/>
      <c r="H631" s="195"/>
      <c r="I631" s="195"/>
      <c r="J631" s="10">
        <f>SUM(J632:J633)</f>
        <v>5911.22</v>
      </c>
      <c r="K631" s="10">
        <f>SUM(K632:K633)</f>
        <v>5911.22</v>
      </c>
    </row>
    <row r="632" spans="1:11">
      <c r="A632" s="12" t="s">
        <v>1220</v>
      </c>
      <c r="B632" s="13" t="s">
        <v>659</v>
      </c>
      <c r="C632" s="11" t="s">
        <v>11</v>
      </c>
      <c r="D632" s="14" t="s">
        <v>124</v>
      </c>
      <c r="E632" s="14"/>
      <c r="F632" s="15">
        <v>3377.84</v>
      </c>
      <c r="G632" s="15">
        <f>F632-E632</f>
        <v>3377.84</v>
      </c>
      <c r="H632" s="196">
        <v>1.75</v>
      </c>
      <c r="I632" s="15">
        <f t="shared" si="289"/>
        <v>0</v>
      </c>
      <c r="J632" s="15">
        <f>H632*F632</f>
        <v>5911.22</v>
      </c>
      <c r="K632" s="15">
        <f t="shared" ref="K632:K633" si="299">G632*H632</f>
        <v>5911.22</v>
      </c>
    </row>
    <row r="633" spans="1:11">
      <c r="A633" s="12" t="s">
        <v>1221</v>
      </c>
      <c r="B633" s="13" t="s">
        <v>679</v>
      </c>
      <c r="C633" s="11" t="s">
        <v>11</v>
      </c>
      <c r="D633" s="14" t="s">
        <v>1487</v>
      </c>
      <c r="E633" s="14"/>
      <c r="F633" s="15"/>
      <c r="G633" s="15">
        <f>F633-E633</f>
        <v>0</v>
      </c>
      <c r="H633" s="196">
        <v>92.34</v>
      </c>
      <c r="I633" s="15">
        <f t="shared" si="289"/>
        <v>0</v>
      </c>
      <c r="J633" s="15">
        <f>H633*F633</f>
        <v>0</v>
      </c>
      <c r="K633" s="15">
        <f t="shared" si="299"/>
        <v>0</v>
      </c>
    </row>
    <row r="634" spans="1:11">
      <c r="A634" s="184">
        <v>24</v>
      </c>
      <c r="B634" s="191" t="s">
        <v>1477</v>
      </c>
      <c r="C634" s="184"/>
      <c r="D634" s="184"/>
      <c r="E634" s="184"/>
      <c r="F634" s="202"/>
      <c r="G634" s="202"/>
      <c r="H634" s="198"/>
      <c r="I634" s="185"/>
      <c r="J634" s="185">
        <f>SUM(J635,J638,J640,J647,J654,J658)</f>
        <v>244923.08089999994</v>
      </c>
      <c r="K634" s="185">
        <f>SUM(K635,K638,K640,K647,K654,K658)</f>
        <v>244923.08089999994</v>
      </c>
    </row>
    <row r="635" spans="1:11">
      <c r="A635" s="8" t="s">
        <v>1222</v>
      </c>
      <c r="B635" s="9" t="s">
        <v>8</v>
      </c>
      <c r="C635" s="8"/>
      <c r="D635" s="8"/>
      <c r="E635" s="8"/>
      <c r="F635" s="203"/>
      <c r="G635" s="203"/>
      <c r="H635" s="195"/>
      <c r="I635" s="10"/>
      <c r="J635" s="10">
        <f>SUM(J636:J637)</f>
        <v>20053.105100000001</v>
      </c>
      <c r="K635" s="10">
        <f>SUM(K636:K637)</f>
        <v>20053.105100000001</v>
      </c>
    </row>
    <row r="636" spans="1:11" ht="26">
      <c r="A636" s="12" t="s">
        <v>1223</v>
      </c>
      <c r="B636" s="13" t="s">
        <v>653</v>
      </c>
      <c r="C636" s="11" t="s">
        <v>13</v>
      </c>
      <c r="D636" s="14" t="s">
        <v>124</v>
      </c>
      <c r="E636" s="14"/>
      <c r="F636" s="15">
        <v>2397.92</v>
      </c>
      <c r="G636" s="15">
        <f>F636-E636</f>
        <v>2397.92</v>
      </c>
      <c r="H636" s="196">
        <v>0.36</v>
      </c>
      <c r="I636" s="15">
        <f>H636*E636</f>
        <v>0</v>
      </c>
      <c r="J636" s="15">
        <f>H636*F636</f>
        <v>863.25120000000004</v>
      </c>
      <c r="K636" s="15">
        <f t="shared" ref="K636:K637" si="300">G636*H636</f>
        <v>863.25120000000004</v>
      </c>
    </row>
    <row r="637" spans="1:11" ht="52">
      <c r="A637" s="12" t="s">
        <v>1224</v>
      </c>
      <c r="B637" s="13" t="s">
        <v>650</v>
      </c>
      <c r="C637" s="11" t="s">
        <v>11</v>
      </c>
      <c r="D637" s="14" t="s">
        <v>124</v>
      </c>
      <c r="E637" s="14"/>
      <c r="F637" s="15">
        <v>311.17</v>
      </c>
      <c r="G637" s="15">
        <f>F637-E637</f>
        <v>311.17</v>
      </c>
      <c r="H637" s="196">
        <v>61.67</v>
      </c>
      <c r="I637" s="15">
        <f>H637*E637</f>
        <v>0</v>
      </c>
      <c r="J637" s="15">
        <f>H637*F637</f>
        <v>19189.853900000002</v>
      </c>
      <c r="K637" s="15">
        <f t="shared" si="300"/>
        <v>19189.853900000002</v>
      </c>
    </row>
    <row r="638" spans="1:11">
      <c r="A638" s="8" t="s">
        <v>1225</v>
      </c>
      <c r="B638" s="9" t="s">
        <v>655</v>
      </c>
      <c r="C638" s="8"/>
      <c r="D638" s="8"/>
      <c r="E638" s="8"/>
      <c r="F638" s="203"/>
      <c r="G638" s="203"/>
      <c r="H638" s="195"/>
      <c r="I638" s="195"/>
      <c r="J638" s="10">
        <f>SUM(J639:J639)</f>
        <v>911.20960000000002</v>
      </c>
      <c r="K638" s="10">
        <f>SUM(K639:K639)</f>
        <v>911.20960000000002</v>
      </c>
    </row>
    <row r="639" spans="1:11" ht="26">
      <c r="A639" s="12" t="s">
        <v>1226</v>
      </c>
      <c r="B639" s="13" t="s">
        <v>656</v>
      </c>
      <c r="C639" s="11"/>
      <c r="D639" s="14" t="s">
        <v>124</v>
      </c>
      <c r="E639" s="14"/>
      <c r="F639" s="15">
        <v>2397.92</v>
      </c>
      <c r="G639" s="15">
        <f>F639-E639</f>
        <v>2397.92</v>
      </c>
      <c r="H639" s="196">
        <v>0.38</v>
      </c>
      <c r="I639" s="15">
        <f t="shared" ref="I639:I660" si="301">H639*E639</f>
        <v>0</v>
      </c>
      <c r="J639" s="15">
        <f>H639*F639</f>
        <v>911.20960000000002</v>
      </c>
      <c r="K639" s="15">
        <f t="shared" ref="K639" si="302">G639*H639</f>
        <v>911.20960000000002</v>
      </c>
    </row>
    <row r="640" spans="1:11">
      <c r="A640" s="8" t="s">
        <v>1227</v>
      </c>
      <c r="B640" s="9" t="s">
        <v>658</v>
      </c>
      <c r="C640" s="8"/>
      <c r="D640" s="8"/>
      <c r="E640" s="8"/>
      <c r="F640" s="203"/>
      <c r="G640" s="203"/>
      <c r="H640" s="195"/>
      <c r="I640" s="195"/>
      <c r="J640" s="10">
        <f>SUM(J641:J646)</f>
        <v>109881.20309999998</v>
      </c>
      <c r="K640" s="10">
        <f>SUM(K641:K646)</f>
        <v>109881.20309999998</v>
      </c>
    </row>
    <row r="641" spans="1:11">
      <c r="A641" s="12" t="s">
        <v>1228</v>
      </c>
      <c r="B641" s="13" t="s">
        <v>659</v>
      </c>
      <c r="C641" s="11"/>
      <c r="D641" s="14" t="s">
        <v>124</v>
      </c>
      <c r="E641" s="14"/>
      <c r="F641" s="15">
        <v>2397.92</v>
      </c>
      <c r="G641" s="15">
        <f t="shared" ref="G641:G646" si="303">F641-E641</f>
        <v>2397.92</v>
      </c>
      <c r="H641" s="196">
        <v>1.75</v>
      </c>
      <c r="I641" s="15">
        <f t="shared" si="301"/>
        <v>0</v>
      </c>
      <c r="J641" s="15">
        <f>H641*F641</f>
        <v>4196.3600000000006</v>
      </c>
      <c r="K641" s="15">
        <f t="shared" ref="K641:K646" si="304">G641*H641</f>
        <v>4196.3600000000006</v>
      </c>
    </row>
    <row r="642" spans="1:11" ht="26">
      <c r="A642" s="12" t="s">
        <v>1229</v>
      </c>
      <c r="B642" s="13" t="s">
        <v>660</v>
      </c>
      <c r="C642" s="11"/>
      <c r="D642" s="14" t="s">
        <v>87</v>
      </c>
      <c r="E642" s="14"/>
      <c r="F642" s="15">
        <v>71.94</v>
      </c>
      <c r="G642" s="15">
        <f t="shared" si="303"/>
        <v>71.94</v>
      </c>
      <c r="H642" s="196">
        <v>10.32</v>
      </c>
      <c r="I642" s="15">
        <f t="shared" si="301"/>
        <v>0</v>
      </c>
      <c r="J642" s="15">
        <f t="shared" ref="J642:J646" si="305">H642*F642</f>
        <v>742.42079999999999</v>
      </c>
      <c r="K642" s="15">
        <f t="shared" si="304"/>
        <v>742.42079999999999</v>
      </c>
    </row>
    <row r="643" spans="1:11" ht="28.5" customHeight="1">
      <c r="A643" s="12" t="s">
        <v>1230</v>
      </c>
      <c r="B643" s="13" t="s">
        <v>661</v>
      </c>
      <c r="C643" s="11"/>
      <c r="D643" s="14" t="s">
        <v>1486</v>
      </c>
      <c r="E643" s="14"/>
      <c r="F643" s="15">
        <v>2158.13</v>
      </c>
      <c r="G643" s="15">
        <f t="shared" si="303"/>
        <v>2158.13</v>
      </c>
      <c r="H643" s="196">
        <v>2.14</v>
      </c>
      <c r="I643" s="15">
        <f t="shared" si="301"/>
        <v>0</v>
      </c>
      <c r="J643" s="15">
        <f t="shared" si="305"/>
        <v>4618.3982000000005</v>
      </c>
      <c r="K643" s="15">
        <f t="shared" si="304"/>
        <v>4618.3982000000005</v>
      </c>
    </row>
    <row r="644" spans="1:11" ht="29" customHeight="1">
      <c r="A644" s="12" t="s">
        <v>1231</v>
      </c>
      <c r="B644" s="13" t="s">
        <v>669</v>
      </c>
      <c r="C644" s="11"/>
      <c r="D644" s="14" t="s">
        <v>1486</v>
      </c>
      <c r="E644" s="14"/>
      <c r="F644" s="15">
        <v>4294.17</v>
      </c>
      <c r="G644" s="15">
        <f t="shared" si="303"/>
        <v>4294.17</v>
      </c>
      <c r="H644" s="196">
        <v>0.87</v>
      </c>
      <c r="I644" s="15">
        <f t="shared" si="301"/>
        <v>0</v>
      </c>
      <c r="J644" s="15">
        <f t="shared" si="305"/>
        <v>3735.9279000000001</v>
      </c>
      <c r="K644" s="15">
        <f t="shared" si="304"/>
        <v>3735.9279000000001</v>
      </c>
    </row>
    <row r="645" spans="1:11" ht="28" customHeight="1">
      <c r="A645" s="12" t="s">
        <v>1232</v>
      </c>
      <c r="B645" s="13" t="s">
        <v>662</v>
      </c>
      <c r="C645" s="11"/>
      <c r="D645" s="14" t="s">
        <v>87</v>
      </c>
      <c r="E645" s="14"/>
      <c r="F645" s="15">
        <v>71.94</v>
      </c>
      <c r="G645" s="15">
        <f t="shared" si="303"/>
        <v>71.94</v>
      </c>
      <c r="H645" s="196">
        <v>1248.29</v>
      </c>
      <c r="I645" s="15">
        <f t="shared" si="301"/>
        <v>0</v>
      </c>
      <c r="J645" s="15">
        <f t="shared" si="305"/>
        <v>89801.982599999988</v>
      </c>
      <c r="K645" s="15">
        <f t="shared" si="304"/>
        <v>89801.982599999988</v>
      </c>
    </row>
    <row r="646" spans="1:11" ht="17.5" customHeight="1">
      <c r="A646" s="12" t="s">
        <v>1233</v>
      </c>
      <c r="B646" s="13" t="s">
        <v>663</v>
      </c>
      <c r="C646" s="11"/>
      <c r="D646" s="14" t="s">
        <v>124</v>
      </c>
      <c r="E646" s="14"/>
      <c r="F646" s="15">
        <v>2397.92</v>
      </c>
      <c r="G646" s="15">
        <f t="shared" si="303"/>
        <v>2397.92</v>
      </c>
      <c r="H646" s="196">
        <v>2.83</v>
      </c>
      <c r="I646" s="15">
        <f t="shared" si="301"/>
        <v>0</v>
      </c>
      <c r="J646" s="15">
        <f t="shared" si="305"/>
        <v>6786.1136000000006</v>
      </c>
      <c r="K646" s="15">
        <f t="shared" si="304"/>
        <v>6786.1136000000006</v>
      </c>
    </row>
    <row r="647" spans="1:11">
      <c r="A647" s="8" t="s">
        <v>1234</v>
      </c>
      <c r="B647" s="9" t="s">
        <v>670</v>
      </c>
      <c r="C647" s="8"/>
      <c r="D647" s="8"/>
      <c r="E647" s="8"/>
      <c r="F647" s="203"/>
      <c r="G647" s="203"/>
      <c r="H647" s="195"/>
      <c r="I647" s="195"/>
      <c r="J647" s="10">
        <f>SUM(J648:J653)</f>
        <v>109881.20309999998</v>
      </c>
      <c r="K647" s="10">
        <f>SUM(K648:K653)</f>
        <v>109881.20309999998</v>
      </c>
    </row>
    <row r="648" spans="1:11">
      <c r="A648" s="12" t="s">
        <v>1235</v>
      </c>
      <c r="B648" s="13" t="s">
        <v>659</v>
      </c>
      <c r="C648" s="11"/>
      <c r="D648" s="15" t="s">
        <v>124</v>
      </c>
      <c r="E648" s="14"/>
      <c r="F648" s="15">
        <v>2397.92</v>
      </c>
      <c r="G648" s="15">
        <f t="shared" ref="G648:G653" si="306">F648-E648</f>
        <v>2397.92</v>
      </c>
      <c r="H648" s="196">
        <v>1.75</v>
      </c>
      <c r="I648" s="15">
        <f t="shared" si="301"/>
        <v>0</v>
      </c>
      <c r="J648" s="15">
        <f>H648*F648</f>
        <v>4196.3600000000006</v>
      </c>
      <c r="K648" s="15">
        <f t="shared" ref="K648:K653" si="307">G648*H648</f>
        <v>4196.3600000000006</v>
      </c>
    </row>
    <row r="649" spans="1:11" ht="26">
      <c r="A649" s="12" t="s">
        <v>1236</v>
      </c>
      <c r="B649" s="13" t="s">
        <v>660</v>
      </c>
      <c r="C649" s="11"/>
      <c r="D649" s="15" t="s">
        <v>87</v>
      </c>
      <c r="E649" s="14"/>
      <c r="F649" s="15">
        <v>71.94</v>
      </c>
      <c r="G649" s="15">
        <f t="shared" si="306"/>
        <v>71.94</v>
      </c>
      <c r="H649" s="196">
        <v>10.32</v>
      </c>
      <c r="I649" s="15">
        <f t="shared" si="301"/>
        <v>0</v>
      </c>
      <c r="J649" s="15">
        <f>H649*F649</f>
        <v>742.42079999999999</v>
      </c>
      <c r="K649" s="15">
        <f t="shared" si="307"/>
        <v>742.42079999999999</v>
      </c>
    </row>
    <row r="650" spans="1:11" ht="28.5" customHeight="1">
      <c r="A650" s="12" t="s">
        <v>1237</v>
      </c>
      <c r="B650" s="13" t="s">
        <v>661</v>
      </c>
      <c r="C650" s="11"/>
      <c r="D650" s="15" t="s">
        <v>1486</v>
      </c>
      <c r="E650" s="14"/>
      <c r="F650" s="15">
        <v>2158.13</v>
      </c>
      <c r="G650" s="15">
        <f t="shared" si="306"/>
        <v>2158.13</v>
      </c>
      <c r="H650" s="196">
        <v>2.14</v>
      </c>
      <c r="I650" s="15">
        <f t="shared" si="301"/>
        <v>0</v>
      </c>
      <c r="J650" s="15">
        <f t="shared" ref="J650:J653" si="308">H650*F650</f>
        <v>4618.3982000000005</v>
      </c>
      <c r="K650" s="15">
        <f t="shared" si="307"/>
        <v>4618.3982000000005</v>
      </c>
    </row>
    <row r="651" spans="1:11" ht="32.5" customHeight="1">
      <c r="A651" s="12" t="s">
        <v>1238</v>
      </c>
      <c r="B651" s="19" t="s">
        <v>669</v>
      </c>
      <c r="C651" s="11"/>
      <c r="D651" s="192" t="s">
        <v>1486</v>
      </c>
      <c r="E651" s="193"/>
      <c r="F651" s="15">
        <v>4294.17</v>
      </c>
      <c r="G651" s="15">
        <f t="shared" si="306"/>
        <v>4294.17</v>
      </c>
      <c r="H651" s="197">
        <v>0.87</v>
      </c>
      <c r="I651" s="15">
        <f t="shared" si="301"/>
        <v>0</v>
      </c>
      <c r="J651" s="15">
        <f t="shared" si="308"/>
        <v>3735.9279000000001</v>
      </c>
      <c r="K651" s="15">
        <f t="shared" si="307"/>
        <v>3735.9279000000001</v>
      </c>
    </row>
    <row r="652" spans="1:11" ht="26.5">
      <c r="A652" s="12" t="s">
        <v>1239</v>
      </c>
      <c r="B652" s="19" t="s">
        <v>671</v>
      </c>
      <c r="C652" s="11"/>
      <c r="D652" s="15" t="s">
        <v>87</v>
      </c>
      <c r="E652" s="14"/>
      <c r="F652" s="15">
        <v>71.94</v>
      </c>
      <c r="G652" s="15">
        <f t="shared" si="306"/>
        <v>71.94</v>
      </c>
      <c r="H652" s="196">
        <v>1248.29</v>
      </c>
      <c r="I652" s="15">
        <f t="shared" si="301"/>
        <v>0</v>
      </c>
      <c r="J652" s="15">
        <f t="shared" si="308"/>
        <v>89801.982599999988</v>
      </c>
      <c r="K652" s="15">
        <f t="shared" si="307"/>
        <v>89801.982599999988</v>
      </c>
    </row>
    <row r="653" spans="1:11" ht="16.5" customHeight="1">
      <c r="A653" s="12" t="s">
        <v>1240</v>
      </c>
      <c r="B653" s="17" t="s">
        <v>672</v>
      </c>
      <c r="C653" s="11" t="s">
        <v>87</v>
      </c>
      <c r="D653" s="15" t="s">
        <v>124</v>
      </c>
      <c r="E653" s="14"/>
      <c r="F653" s="15">
        <v>2397.92</v>
      </c>
      <c r="G653" s="15">
        <f t="shared" si="306"/>
        <v>2397.92</v>
      </c>
      <c r="H653" s="196">
        <v>2.83</v>
      </c>
      <c r="I653" s="15">
        <f t="shared" si="301"/>
        <v>0</v>
      </c>
      <c r="J653" s="15">
        <f t="shared" si="308"/>
        <v>6786.1136000000006</v>
      </c>
      <c r="K653" s="15">
        <f t="shared" si="307"/>
        <v>6786.1136000000006</v>
      </c>
    </row>
    <row r="654" spans="1:11">
      <c r="A654" s="8" t="s">
        <v>1241</v>
      </c>
      <c r="B654" s="9" t="s">
        <v>107</v>
      </c>
      <c r="C654" s="8"/>
      <c r="D654" s="8"/>
      <c r="E654" s="8"/>
      <c r="F654" s="203"/>
      <c r="G654" s="203"/>
      <c r="H654" s="195"/>
      <c r="I654" s="195"/>
      <c r="J654" s="10">
        <f>SUM(J655:J657)</f>
        <v>0</v>
      </c>
      <c r="K654" s="10">
        <f>SUM(K655:K657)</f>
        <v>0</v>
      </c>
    </row>
    <row r="655" spans="1:11" ht="39">
      <c r="A655" s="12" t="s">
        <v>1242</v>
      </c>
      <c r="B655" s="13" t="s">
        <v>674</v>
      </c>
      <c r="C655" s="11" t="s">
        <v>33</v>
      </c>
      <c r="D655" s="14" t="s">
        <v>1487</v>
      </c>
      <c r="E655" s="14"/>
      <c r="F655" s="15"/>
      <c r="G655" s="15">
        <f>F655-E655</f>
        <v>0</v>
      </c>
      <c r="H655" s="196">
        <v>625.09</v>
      </c>
      <c r="I655" s="15">
        <f t="shared" si="301"/>
        <v>0</v>
      </c>
      <c r="J655" s="15">
        <f>H655*F655</f>
        <v>0</v>
      </c>
      <c r="K655" s="15">
        <f t="shared" ref="K655:K657" si="309">G655*H655</f>
        <v>0</v>
      </c>
    </row>
    <row r="656" spans="1:11" ht="17" customHeight="1">
      <c r="A656" s="12" t="s">
        <v>1243</v>
      </c>
      <c r="B656" s="194" t="s">
        <v>680</v>
      </c>
      <c r="C656" s="11" t="s">
        <v>33</v>
      </c>
      <c r="D656" s="14" t="s">
        <v>124</v>
      </c>
      <c r="E656" s="14"/>
      <c r="F656" s="15"/>
      <c r="G656" s="15">
        <f>F656-E656</f>
        <v>0</v>
      </c>
      <c r="H656" s="196">
        <v>16.260000000000002</v>
      </c>
      <c r="I656" s="15">
        <f t="shared" si="301"/>
        <v>0</v>
      </c>
      <c r="J656" s="15">
        <f t="shared" ref="J656:J657" si="310">H656*F656</f>
        <v>0</v>
      </c>
      <c r="K656" s="15">
        <f t="shared" si="309"/>
        <v>0</v>
      </c>
    </row>
    <row r="657" spans="1:11" ht="16.5" customHeight="1">
      <c r="A657" s="12" t="s">
        <v>1244</v>
      </c>
      <c r="B657" s="13" t="s">
        <v>675</v>
      </c>
      <c r="C657" s="11" t="s">
        <v>33</v>
      </c>
      <c r="D657" s="14" t="s">
        <v>124</v>
      </c>
      <c r="E657" s="14"/>
      <c r="F657" s="15"/>
      <c r="G657" s="15">
        <f>F657-E657</f>
        <v>0</v>
      </c>
      <c r="H657" s="196">
        <v>4.5599999999999996</v>
      </c>
      <c r="I657" s="15">
        <f t="shared" si="301"/>
        <v>0</v>
      </c>
      <c r="J657" s="15">
        <f t="shared" si="310"/>
        <v>0</v>
      </c>
      <c r="K657" s="15">
        <f t="shared" si="309"/>
        <v>0</v>
      </c>
    </row>
    <row r="658" spans="1:11">
      <c r="A658" s="8" t="s">
        <v>1245</v>
      </c>
      <c r="B658" s="9" t="s">
        <v>678</v>
      </c>
      <c r="C658" s="8"/>
      <c r="D658" s="8"/>
      <c r="E658" s="8"/>
      <c r="F658" s="203"/>
      <c r="G658" s="203"/>
      <c r="H658" s="195"/>
      <c r="I658" s="195"/>
      <c r="J658" s="10">
        <f>SUM(J659:J660)</f>
        <v>4196.3600000000006</v>
      </c>
      <c r="K658" s="10">
        <f>SUM(K659:K660)</f>
        <v>4196.3600000000006</v>
      </c>
    </row>
    <row r="659" spans="1:11">
      <c r="A659" s="12" t="s">
        <v>1246</v>
      </c>
      <c r="B659" s="13" t="s">
        <v>659</v>
      </c>
      <c r="C659" s="11" t="s">
        <v>11</v>
      </c>
      <c r="D659" s="14" t="s">
        <v>124</v>
      </c>
      <c r="E659" s="14"/>
      <c r="F659" s="15">
        <v>2397.92</v>
      </c>
      <c r="G659" s="15">
        <f>F659-E659</f>
        <v>2397.92</v>
      </c>
      <c r="H659" s="196">
        <v>1.75</v>
      </c>
      <c r="I659" s="15">
        <f t="shared" si="301"/>
        <v>0</v>
      </c>
      <c r="J659" s="15">
        <f>H659*F659</f>
        <v>4196.3600000000006</v>
      </c>
      <c r="K659" s="15">
        <f t="shared" ref="K659:K660" si="311">G659*H659</f>
        <v>4196.3600000000006</v>
      </c>
    </row>
    <row r="660" spans="1:11">
      <c r="A660" s="12" t="s">
        <v>1247</v>
      </c>
      <c r="B660" s="13" t="s">
        <v>679</v>
      </c>
      <c r="C660" s="11" t="s">
        <v>11</v>
      </c>
      <c r="D660" s="14" t="s">
        <v>1487</v>
      </c>
      <c r="E660" s="14"/>
      <c r="F660" s="15"/>
      <c r="G660" s="15">
        <f>F660-E660</f>
        <v>0</v>
      </c>
      <c r="H660" s="196">
        <v>92.34</v>
      </c>
      <c r="I660" s="15">
        <f t="shared" si="301"/>
        <v>0</v>
      </c>
      <c r="J660" s="15">
        <f>H660*F660</f>
        <v>0</v>
      </c>
      <c r="K660" s="15">
        <f t="shared" si="311"/>
        <v>0</v>
      </c>
    </row>
    <row r="661" spans="1:11">
      <c r="A661" s="184">
        <v>25</v>
      </c>
      <c r="B661" s="191" t="s">
        <v>1478</v>
      </c>
      <c r="C661" s="184"/>
      <c r="D661" s="184"/>
      <c r="E661" s="184"/>
      <c r="F661" s="202"/>
      <c r="G661" s="202"/>
      <c r="H661" s="198"/>
      <c r="I661" s="185">
        <f>SUM(I662,I665,I667,I674,I681,I685)</f>
        <v>52946.750400000004</v>
      </c>
      <c r="J661" s="185">
        <f>SUM(J662,J665,J667,J674,J681,J685)</f>
        <v>52946.750400000004</v>
      </c>
      <c r="K661" s="185">
        <f>SUM(K662,K665,K667,K674,K681,K685)</f>
        <v>0</v>
      </c>
    </row>
    <row r="662" spans="1:11">
      <c r="A662" s="8" t="s">
        <v>1248</v>
      </c>
      <c r="B662" s="9" t="s">
        <v>8</v>
      </c>
      <c r="C662" s="8"/>
      <c r="D662" s="8"/>
      <c r="E662" s="8"/>
      <c r="F662" s="203"/>
      <c r="G662" s="203"/>
      <c r="H662" s="195"/>
      <c r="I662" s="10">
        <f>SUM(I663:I664)</f>
        <v>4135.7957999999999</v>
      </c>
      <c r="J662" s="10">
        <f>SUM(J663:J664)</f>
        <v>4135.7957999999999</v>
      </c>
      <c r="K662" s="10">
        <f>SUM(K663:K664)</f>
        <v>0</v>
      </c>
    </row>
    <row r="663" spans="1:11" ht="26">
      <c r="A663" s="12" t="s">
        <v>1249</v>
      </c>
      <c r="B663" s="13" t="s">
        <v>653</v>
      </c>
      <c r="C663" s="11" t="s">
        <v>13</v>
      </c>
      <c r="D663" s="14" t="s">
        <v>124</v>
      </c>
      <c r="E663" s="14">
        <f>F663</f>
        <v>521.34</v>
      </c>
      <c r="F663" s="15">
        <v>521.34</v>
      </c>
      <c r="G663" s="15">
        <f>F663-E663</f>
        <v>0</v>
      </c>
      <c r="H663" s="196">
        <v>0.36</v>
      </c>
      <c r="I663" s="15">
        <f>H663*E663</f>
        <v>187.6824</v>
      </c>
      <c r="J663" s="15">
        <f>H663*F663</f>
        <v>187.6824</v>
      </c>
      <c r="K663" s="15">
        <f t="shared" ref="K663:K664" si="312">G663*H663</f>
        <v>0</v>
      </c>
    </row>
    <row r="664" spans="1:11" ht="52">
      <c r="A664" s="12" t="s">
        <v>1250</v>
      </c>
      <c r="B664" s="13" t="s">
        <v>650</v>
      </c>
      <c r="C664" s="11" t="s">
        <v>11</v>
      </c>
      <c r="D664" s="14" t="s">
        <v>124</v>
      </c>
      <c r="E664" s="14">
        <f>F664</f>
        <v>64.02</v>
      </c>
      <c r="F664" s="15">
        <v>64.02</v>
      </c>
      <c r="G664" s="15">
        <f>F664-E664</f>
        <v>0</v>
      </c>
      <c r="H664" s="196">
        <v>61.67</v>
      </c>
      <c r="I664" s="15">
        <f>H664*E664</f>
        <v>3948.1133999999997</v>
      </c>
      <c r="J664" s="15">
        <f>H664*F664</f>
        <v>3948.1133999999997</v>
      </c>
      <c r="K664" s="15">
        <f t="shared" si="312"/>
        <v>0</v>
      </c>
    </row>
    <row r="665" spans="1:11">
      <c r="A665" s="8" t="s">
        <v>1251</v>
      </c>
      <c r="B665" s="9" t="s">
        <v>655</v>
      </c>
      <c r="C665" s="8"/>
      <c r="D665" s="8"/>
      <c r="E665" s="8"/>
      <c r="F665" s="203"/>
      <c r="G665" s="203"/>
      <c r="H665" s="195"/>
      <c r="I665" s="10">
        <f>SUM(I666:I666)</f>
        <v>198.10920000000002</v>
      </c>
      <c r="J665" s="10">
        <f>SUM(J666:J666)</f>
        <v>198.10920000000002</v>
      </c>
      <c r="K665" s="10">
        <f>SUM(K666:K666)</f>
        <v>0</v>
      </c>
    </row>
    <row r="666" spans="1:11" ht="26">
      <c r="A666" s="12" t="s">
        <v>1252</v>
      </c>
      <c r="B666" s="13" t="s">
        <v>656</v>
      </c>
      <c r="C666" s="11"/>
      <c r="D666" s="14" t="s">
        <v>124</v>
      </c>
      <c r="E666" s="14">
        <f>F666</f>
        <v>521.34</v>
      </c>
      <c r="F666" s="15">
        <v>521.34</v>
      </c>
      <c r="G666" s="15">
        <f>F666-E666</f>
        <v>0</v>
      </c>
      <c r="H666" s="196">
        <v>0.38</v>
      </c>
      <c r="I666" s="15">
        <f t="shared" ref="I666:I687" si="313">H666*E666</f>
        <v>198.10920000000002</v>
      </c>
      <c r="J666" s="15">
        <f>H666*F666</f>
        <v>198.10920000000002</v>
      </c>
      <c r="K666" s="15">
        <f t="shared" ref="K666" si="314">G666*H666</f>
        <v>0</v>
      </c>
    </row>
    <row r="667" spans="1:11">
      <c r="A667" s="8" t="s">
        <v>1253</v>
      </c>
      <c r="B667" s="9" t="s">
        <v>658</v>
      </c>
      <c r="C667" s="8"/>
      <c r="D667" s="8"/>
      <c r="E667" s="8"/>
      <c r="F667" s="203"/>
      <c r="G667" s="203"/>
      <c r="H667" s="195"/>
      <c r="I667" s="10">
        <f>SUM(I668:I673)</f>
        <v>23850.250200000002</v>
      </c>
      <c r="J667" s="10">
        <f>SUM(J668:J673)</f>
        <v>23850.250200000002</v>
      </c>
      <c r="K667" s="10">
        <f>SUM(K668:K673)</f>
        <v>0</v>
      </c>
    </row>
    <row r="668" spans="1:11">
      <c r="A668" s="12" t="s">
        <v>1254</v>
      </c>
      <c r="B668" s="13" t="s">
        <v>659</v>
      </c>
      <c r="C668" s="11"/>
      <c r="D668" s="14" t="s">
        <v>124</v>
      </c>
      <c r="E668" s="14">
        <f>F668</f>
        <v>521.34</v>
      </c>
      <c r="F668" s="15">
        <v>521.34</v>
      </c>
      <c r="G668" s="15">
        <f t="shared" ref="G668:G673" si="315">F668-E668</f>
        <v>0</v>
      </c>
      <c r="H668" s="196">
        <v>1.75</v>
      </c>
      <c r="I668" s="15">
        <f t="shared" si="313"/>
        <v>912.34500000000003</v>
      </c>
      <c r="J668" s="15">
        <f>H668*F668</f>
        <v>912.34500000000003</v>
      </c>
      <c r="K668" s="15">
        <f t="shared" ref="K668:K673" si="316">G668*H668</f>
        <v>0</v>
      </c>
    </row>
    <row r="669" spans="1:11" ht="26">
      <c r="A669" s="12" t="s">
        <v>1255</v>
      </c>
      <c r="B669" s="13" t="s">
        <v>660</v>
      </c>
      <c r="C669" s="11"/>
      <c r="D669" s="14" t="s">
        <v>87</v>
      </c>
      <c r="E669" s="14">
        <f t="shared" ref="E669:E673" si="317">F669</f>
        <v>15.64</v>
      </c>
      <c r="F669" s="15">
        <v>15.64</v>
      </c>
      <c r="G669" s="15">
        <f t="shared" si="315"/>
        <v>0</v>
      </c>
      <c r="H669" s="196">
        <v>10.32</v>
      </c>
      <c r="I669" s="15">
        <f t="shared" si="313"/>
        <v>161.40480000000002</v>
      </c>
      <c r="J669" s="15">
        <f t="shared" ref="J669:J673" si="318">H669*F669</f>
        <v>161.40480000000002</v>
      </c>
      <c r="K669" s="15">
        <f t="shared" si="316"/>
        <v>0</v>
      </c>
    </row>
    <row r="670" spans="1:11" ht="28.5" customHeight="1">
      <c r="A670" s="12" t="s">
        <v>1256</v>
      </c>
      <c r="B670" s="13" t="s">
        <v>661</v>
      </c>
      <c r="C670" s="11"/>
      <c r="D670" s="14" t="s">
        <v>1486</v>
      </c>
      <c r="E670" s="14">
        <f t="shared" si="317"/>
        <v>469.21</v>
      </c>
      <c r="F670" s="15">
        <v>469.21</v>
      </c>
      <c r="G670" s="15">
        <f t="shared" si="315"/>
        <v>0</v>
      </c>
      <c r="H670" s="196">
        <v>2.14</v>
      </c>
      <c r="I670" s="15">
        <f t="shared" si="313"/>
        <v>1004.1094000000001</v>
      </c>
      <c r="J670" s="15">
        <f t="shared" si="318"/>
        <v>1004.1094000000001</v>
      </c>
      <c r="K670" s="15">
        <f t="shared" si="316"/>
        <v>0</v>
      </c>
    </row>
    <row r="671" spans="1:11" ht="29" customHeight="1">
      <c r="A671" s="12" t="s">
        <v>1257</v>
      </c>
      <c r="B671" s="13" t="s">
        <v>669</v>
      </c>
      <c r="C671" s="11"/>
      <c r="D671" s="14" t="s">
        <v>1486</v>
      </c>
      <c r="E671" s="14">
        <f t="shared" si="317"/>
        <v>889.36</v>
      </c>
      <c r="F671" s="15">
        <v>889.36</v>
      </c>
      <c r="G671" s="15">
        <f t="shared" si="315"/>
        <v>0</v>
      </c>
      <c r="H671" s="196">
        <v>0.87</v>
      </c>
      <c r="I671" s="15">
        <f t="shared" si="313"/>
        <v>773.7432</v>
      </c>
      <c r="J671" s="15">
        <f t="shared" si="318"/>
        <v>773.7432</v>
      </c>
      <c r="K671" s="15">
        <f t="shared" si="316"/>
        <v>0</v>
      </c>
    </row>
    <row r="672" spans="1:11" ht="28" customHeight="1">
      <c r="A672" s="12" t="s">
        <v>1258</v>
      </c>
      <c r="B672" s="13" t="s">
        <v>662</v>
      </c>
      <c r="C672" s="11"/>
      <c r="D672" s="14" t="s">
        <v>87</v>
      </c>
      <c r="E672" s="14">
        <f t="shared" si="317"/>
        <v>15.64</v>
      </c>
      <c r="F672" s="15">
        <v>15.64</v>
      </c>
      <c r="G672" s="15">
        <f t="shared" si="315"/>
        <v>0</v>
      </c>
      <c r="H672" s="196">
        <v>1248.29</v>
      </c>
      <c r="I672" s="15">
        <f t="shared" si="313"/>
        <v>19523.2556</v>
      </c>
      <c r="J672" s="15">
        <f t="shared" si="318"/>
        <v>19523.2556</v>
      </c>
      <c r="K672" s="15">
        <f t="shared" si="316"/>
        <v>0</v>
      </c>
    </row>
    <row r="673" spans="1:11" ht="17.5" customHeight="1">
      <c r="A673" s="12" t="s">
        <v>1259</v>
      </c>
      <c r="B673" s="13" t="s">
        <v>663</v>
      </c>
      <c r="C673" s="11"/>
      <c r="D673" s="14" t="s">
        <v>124</v>
      </c>
      <c r="E673" s="14">
        <f t="shared" si="317"/>
        <v>521.34</v>
      </c>
      <c r="F673" s="15">
        <v>521.34</v>
      </c>
      <c r="G673" s="15">
        <f t="shared" si="315"/>
        <v>0</v>
      </c>
      <c r="H673" s="196">
        <v>2.83</v>
      </c>
      <c r="I673" s="15">
        <f t="shared" si="313"/>
        <v>1475.3922000000002</v>
      </c>
      <c r="J673" s="15">
        <f t="shared" si="318"/>
        <v>1475.3922000000002</v>
      </c>
      <c r="K673" s="15">
        <f t="shared" si="316"/>
        <v>0</v>
      </c>
    </row>
    <row r="674" spans="1:11">
      <c r="A674" s="8" t="s">
        <v>1260</v>
      </c>
      <c r="B674" s="9" t="s">
        <v>670</v>
      </c>
      <c r="C674" s="8"/>
      <c r="D674" s="8"/>
      <c r="E674" s="8"/>
      <c r="F674" s="203"/>
      <c r="G674" s="203"/>
      <c r="H674" s="195"/>
      <c r="I674" s="10">
        <f>SUM(I675:I680)</f>
        <v>23850.250200000002</v>
      </c>
      <c r="J674" s="10">
        <f>SUM(J675:J680)</f>
        <v>23850.250200000002</v>
      </c>
      <c r="K674" s="10">
        <f>SUM(K675:K680)</f>
        <v>0</v>
      </c>
    </row>
    <row r="675" spans="1:11">
      <c r="A675" s="12" t="s">
        <v>1261</v>
      </c>
      <c r="B675" s="13" t="s">
        <v>659</v>
      </c>
      <c r="C675" s="11"/>
      <c r="D675" s="15" t="s">
        <v>124</v>
      </c>
      <c r="E675" s="14">
        <f>F675</f>
        <v>521.34</v>
      </c>
      <c r="F675" s="15">
        <v>521.34</v>
      </c>
      <c r="G675" s="15">
        <f t="shared" ref="G675:G680" si="319">F675-E675</f>
        <v>0</v>
      </c>
      <c r="H675" s="196">
        <v>1.75</v>
      </c>
      <c r="I675" s="15">
        <f t="shared" si="313"/>
        <v>912.34500000000003</v>
      </c>
      <c r="J675" s="15">
        <f>H675*F675</f>
        <v>912.34500000000003</v>
      </c>
      <c r="K675" s="15">
        <f t="shared" ref="K675:K680" si="320">G675*H675</f>
        <v>0</v>
      </c>
    </row>
    <row r="676" spans="1:11" ht="26">
      <c r="A676" s="12" t="s">
        <v>1262</v>
      </c>
      <c r="B676" s="13" t="s">
        <v>660</v>
      </c>
      <c r="C676" s="11"/>
      <c r="D676" s="15" t="s">
        <v>87</v>
      </c>
      <c r="E676" s="14">
        <f t="shared" ref="E676:E680" si="321">F676</f>
        <v>15.64</v>
      </c>
      <c r="F676" s="199">
        <v>15.64</v>
      </c>
      <c r="G676" s="15">
        <f t="shared" si="319"/>
        <v>0</v>
      </c>
      <c r="H676" s="196">
        <v>10.32</v>
      </c>
      <c r="I676" s="15">
        <f t="shared" si="313"/>
        <v>161.40480000000002</v>
      </c>
      <c r="J676" s="15">
        <f t="shared" ref="J676:J680" si="322">H676*F676</f>
        <v>161.40480000000002</v>
      </c>
      <c r="K676" s="15">
        <f t="shared" si="320"/>
        <v>0</v>
      </c>
    </row>
    <row r="677" spans="1:11" ht="28.5" customHeight="1">
      <c r="A677" s="12" t="s">
        <v>1263</v>
      </c>
      <c r="B677" s="13" t="s">
        <v>661</v>
      </c>
      <c r="C677" s="11"/>
      <c r="D677" s="15" t="s">
        <v>1486</v>
      </c>
      <c r="E677" s="14">
        <f t="shared" si="321"/>
        <v>469.21</v>
      </c>
      <c r="F677" s="199">
        <v>469.21</v>
      </c>
      <c r="G677" s="15">
        <f t="shared" si="319"/>
        <v>0</v>
      </c>
      <c r="H677" s="196">
        <v>2.14</v>
      </c>
      <c r="I677" s="15">
        <f t="shared" si="313"/>
        <v>1004.1094000000001</v>
      </c>
      <c r="J677" s="15">
        <f t="shared" si="322"/>
        <v>1004.1094000000001</v>
      </c>
      <c r="K677" s="15">
        <f t="shared" si="320"/>
        <v>0</v>
      </c>
    </row>
    <row r="678" spans="1:11" ht="32.5" customHeight="1">
      <c r="A678" s="12" t="s">
        <v>1264</v>
      </c>
      <c r="B678" s="19" t="s">
        <v>669</v>
      </c>
      <c r="C678" s="11"/>
      <c r="D678" s="192" t="s">
        <v>1486</v>
      </c>
      <c r="E678" s="14">
        <f t="shared" si="321"/>
        <v>889.36</v>
      </c>
      <c r="F678" s="204">
        <v>889.36</v>
      </c>
      <c r="G678" s="15">
        <f t="shared" si="319"/>
        <v>0</v>
      </c>
      <c r="H678" s="197">
        <v>0.87</v>
      </c>
      <c r="I678" s="15">
        <f t="shared" si="313"/>
        <v>773.7432</v>
      </c>
      <c r="J678" s="15">
        <f t="shared" si="322"/>
        <v>773.7432</v>
      </c>
      <c r="K678" s="15">
        <f t="shared" si="320"/>
        <v>0</v>
      </c>
    </row>
    <row r="679" spans="1:11" ht="26.5">
      <c r="A679" s="12" t="s">
        <v>1265</v>
      </c>
      <c r="B679" s="19" t="s">
        <v>671</v>
      </c>
      <c r="C679" s="11"/>
      <c r="D679" s="15" t="s">
        <v>87</v>
      </c>
      <c r="E679" s="14">
        <f t="shared" si="321"/>
        <v>15.64</v>
      </c>
      <c r="F679" s="199">
        <v>15.64</v>
      </c>
      <c r="G679" s="15">
        <f t="shared" si="319"/>
        <v>0</v>
      </c>
      <c r="H679" s="196">
        <v>1248.29</v>
      </c>
      <c r="I679" s="15">
        <f t="shared" si="313"/>
        <v>19523.2556</v>
      </c>
      <c r="J679" s="15">
        <f t="shared" si="322"/>
        <v>19523.2556</v>
      </c>
      <c r="K679" s="15">
        <f t="shared" si="320"/>
        <v>0</v>
      </c>
    </row>
    <row r="680" spans="1:11" ht="16.5" customHeight="1">
      <c r="A680" s="12" t="s">
        <v>1266</v>
      </c>
      <c r="B680" s="17" t="s">
        <v>672</v>
      </c>
      <c r="C680" s="11" t="s">
        <v>87</v>
      </c>
      <c r="D680" s="15" t="s">
        <v>124</v>
      </c>
      <c r="E680" s="14">
        <f t="shared" si="321"/>
        <v>521.34</v>
      </c>
      <c r="F680" s="199">
        <v>521.34</v>
      </c>
      <c r="G680" s="15">
        <f t="shared" si="319"/>
        <v>0</v>
      </c>
      <c r="H680" s="196">
        <v>2.83</v>
      </c>
      <c r="I680" s="15">
        <f t="shared" si="313"/>
        <v>1475.3922000000002</v>
      </c>
      <c r="J680" s="15">
        <f t="shared" si="322"/>
        <v>1475.3922000000002</v>
      </c>
      <c r="K680" s="15">
        <f t="shared" si="320"/>
        <v>0</v>
      </c>
    </row>
    <row r="681" spans="1:11">
      <c r="A681" s="8" t="s">
        <v>1267</v>
      </c>
      <c r="B681" s="9" t="s">
        <v>107</v>
      </c>
      <c r="C681" s="8"/>
      <c r="D681" s="8"/>
      <c r="E681" s="8"/>
      <c r="F681" s="203"/>
      <c r="G681" s="203"/>
      <c r="H681" s="195"/>
      <c r="I681" s="10">
        <f>SUM(I682:I684)</f>
        <v>0</v>
      </c>
      <c r="J681" s="10">
        <f>SUM(J682:J684)</f>
        <v>0</v>
      </c>
      <c r="K681" s="10">
        <f>SUM(K682:K684)</f>
        <v>0</v>
      </c>
    </row>
    <row r="682" spans="1:11" ht="39">
      <c r="A682" s="12" t="s">
        <v>1268</v>
      </c>
      <c r="B682" s="13" t="s">
        <v>674</v>
      </c>
      <c r="C682" s="11" t="s">
        <v>33</v>
      </c>
      <c r="D682" s="14" t="s">
        <v>1487</v>
      </c>
      <c r="E682" s="14"/>
      <c r="F682" s="15"/>
      <c r="G682" s="15">
        <f>F682-E682</f>
        <v>0</v>
      </c>
      <c r="H682" s="196">
        <v>625.09</v>
      </c>
      <c r="I682" s="15">
        <f t="shared" si="313"/>
        <v>0</v>
      </c>
      <c r="J682" s="15">
        <f>H682*F682</f>
        <v>0</v>
      </c>
      <c r="K682" s="15">
        <f t="shared" ref="K682:K684" si="323">G682*H682</f>
        <v>0</v>
      </c>
    </row>
    <row r="683" spans="1:11" ht="17" customHeight="1">
      <c r="A683" s="12" t="s">
        <v>1269</v>
      </c>
      <c r="B683" s="194" t="s">
        <v>680</v>
      </c>
      <c r="C683" s="11" t="s">
        <v>33</v>
      </c>
      <c r="D683" s="14" t="s">
        <v>124</v>
      </c>
      <c r="E683" s="14"/>
      <c r="F683" s="15"/>
      <c r="G683" s="15">
        <f>F683-E683</f>
        <v>0</v>
      </c>
      <c r="H683" s="196">
        <v>16.260000000000002</v>
      </c>
      <c r="I683" s="15">
        <f t="shared" si="313"/>
        <v>0</v>
      </c>
      <c r="J683" s="15">
        <f t="shared" ref="J683:J684" si="324">H683*F683</f>
        <v>0</v>
      </c>
      <c r="K683" s="15">
        <f t="shared" si="323"/>
        <v>0</v>
      </c>
    </row>
    <row r="684" spans="1:11" ht="16.5" customHeight="1">
      <c r="A684" s="12" t="s">
        <v>1270</v>
      </c>
      <c r="B684" s="13" t="s">
        <v>675</v>
      </c>
      <c r="C684" s="11" t="s">
        <v>33</v>
      </c>
      <c r="D684" s="14" t="s">
        <v>124</v>
      </c>
      <c r="E684" s="14"/>
      <c r="F684" s="15"/>
      <c r="G684" s="15">
        <f>F684-E684</f>
        <v>0</v>
      </c>
      <c r="H684" s="196">
        <v>4.5599999999999996</v>
      </c>
      <c r="I684" s="15">
        <f t="shared" si="313"/>
        <v>0</v>
      </c>
      <c r="J684" s="15">
        <f t="shared" si="324"/>
        <v>0</v>
      </c>
      <c r="K684" s="15">
        <f t="shared" si="323"/>
        <v>0</v>
      </c>
    </row>
    <row r="685" spans="1:11">
      <c r="A685" s="8" t="s">
        <v>1271</v>
      </c>
      <c r="B685" s="9" t="s">
        <v>678</v>
      </c>
      <c r="C685" s="8"/>
      <c r="D685" s="8"/>
      <c r="E685" s="8"/>
      <c r="F685" s="203"/>
      <c r="G685" s="203"/>
      <c r="H685" s="195"/>
      <c r="I685" s="10">
        <f>SUM(I686:I687)</f>
        <v>912.34500000000003</v>
      </c>
      <c r="J685" s="10">
        <f>SUM(J686:J687)</f>
        <v>912.34500000000003</v>
      </c>
      <c r="K685" s="10">
        <f>SUM(K686:K687)</f>
        <v>0</v>
      </c>
    </row>
    <row r="686" spans="1:11">
      <c r="A686" s="12" t="s">
        <v>1272</v>
      </c>
      <c r="B686" s="13" t="s">
        <v>659</v>
      </c>
      <c r="C686" s="11" t="s">
        <v>11</v>
      </c>
      <c r="D686" s="14" t="s">
        <v>124</v>
      </c>
      <c r="E686" s="14">
        <f>F686</f>
        <v>521.34</v>
      </c>
      <c r="F686" s="15">
        <v>521.34</v>
      </c>
      <c r="G686" s="15">
        <f>F686-E686</f>
        <v>0</v>
      </c>
      <c r="H686" s="196">
        <v>1.75</v>
      </c>
      <c r="I686" s="15">
        <f t="shared" si="313"/>
        <v>912.34500000000003</v>
      </c>
      <c r="J686" s="15">
        <f>H686*F686</f>
        <v>912.34500000000003</v>
      </c>
      <c r="K686" s="15">
        <f t="shared" ref="K686:K687" si="325">G686*H686</f>
        <v>0</v>
      </c>
    </row>
    <row r="687" spans="1:11">
      <c r="A687" s="12" t="s">
        <v>1273</v>
      </c>
      <c r="B687" s="13" t="s">
        <v>679</v>
      </c>
      <c r="C687" s="11" t="s">
        <v>11</v>
      </c>
      <c r="D687" s="14" t="s">
        <v>1487</v>
      </c>
      <c r="E687" s="14"/>
      <c r="F687" s="15"/>
      <c r="G687" s="15">
        <f>F687-E687</f>
        <v>0</v>
      </c>
      <c r="H687" s="196">
        <v>92.34</v>
      </c>
      <c r="I687" s="15">
        <f t="shared" si="313"/>
        <v>0</v>
      </c>
      <c r="J687" s="15">
        <f>H687*F687</f>
        <v>0</v>
      </c>
      <c r="K687" s="15">
        <f t="shared" si="325"/>
        <v>0</v>
      </c>
    </row>
    <row r="688" spans="1:11">
      <c r="A688" s="184">
        <v>26</v>
      </c>
      <c r="B688" s="191" t="s">
        <v>1479</v>
      </c>
      <c r="C688" s="184"/>
      <c r="D688" s="184"/>
      <c r="E688" s="184"/>
      <c r="F688" s="202"/>
      <c r="G688" s="202"/>
      <c r="H688" s="198"/>
      <c r="I688" s="185"/>
      <c r="J688" s="185">
        <f>SUM(J689,J692,J694,J701,J708,J712)</f>
        <v>229623.658</v>
      </c>
      <c r="K688" s="185">
        <f>SUM(K689,K692,K694,K701,K708,K712)</f>
        <v>229623.658</v>
      </c>
    </row>
    <row r="689" spans="1:11">
      <c r="A689" s="8" t="s">
        <v>1274</v>
      </c>
      <c r="B689" s="9" t="s">
        <v>8</v>
      </c>
      <c r="C689" s="8"/>
      <c r="D689" s="8"/>
      <c r="E689" s="8"/>
      <c r="F689" s="203"/>
      <c r="G689" s="203"/>
      <c r="H689" s="195"/>
      <c r="I689" s="10"/>
      <c r="J689" s="10">
        <f>SUM(J690:J691)</f>
        <v>17294.016700000004</v>
      </c>
      <c r="K689" s="10">
        <f>SUM(K690:K691)</f>
        <v>17294.016700000004</v>
      </c>
    </row>
    <row r="690" spans="1:11" ht="26">
      <c r="A690" s="12" t="s">
        <v>1275</v>
      </c>
      <c r="B690" s="13" t="s">
        <v>653</v>
      </c>
      <c r="C690" s="11" t="s">
        <v>13</v>
      </c>
      <c r="D690" s="14" t="s">
        <v>124</v>
      </c>
      <c r="E690" s="14"/>
      <c r="F690" s="15">
        <v>2271.23</v>
      </c>
      <c r="G690" s="15">
        <f>F690-E690</f>
        <v>2271.23</v>
      </c>
      <c r="H690" s="196">
        <v>0.36</v>
      </c>
      <c r="I690" s="15">
        <f>H690*E690</f>
        <v>0</v>
      </c>
      <c r="J690" s="15">
        <f>H690*F690</f>
        <v>817.64279999999997</v>
      </c>
      <c r="K690" s="15">
        <f t="shared" ref="K690:K691" si="326">G690*H690</f>
        <v>817.64279999999997</v>
      </c>
    </row>
    <row r="691" spans="1:11" ht="52">
      <c r="A691" s="12" t="s">
        <v>1276</v>
      </c>
      <c r="B691" s="13" t="s">
        <v>650</v>
      </c>
      <c r="C691" s="11" t="s">
        <v>11</v>
      </c>
      <c r="D691" s="14" t="s">
        <v>124</v>
      </c>
      <c r="E691" s="14"/>
      <c r="F691" s="15">
        <v>267.17</v>
      </c>
      <c r="G691" s="15">
        <f>F691-E691</f>
        <v>267.17</v>
      </c>
      <c r="H691" s="196">
        <v>61.67</v>
      </c>
      <c r="I691" s="15">
        <f>H691*E691</f>
        <v>0</v>
      </c>
      <c r="J691" s="15">
        <f>H691*F691</f>
        <v>16476.373900000002</v>
      </c>
      <c r="K691" s="15">
        <f t="shared" si="326"/>
        <v>16476.373900000002</v>
      </c>
    </row>
    <row r="692" spans="1:11">
      <c r="A692" s="8" t="s">
        <v>1277</v>
      </c>
      <c r="B692" s="9" t="s">
        <v>655</v>
      </c>
      <c r="C692" s="8"/>
      <c r="D692" s="8"/>
      <c r="E692" s="8"/>
      <c r="F692" s="203"/>
      <c r="G692" s="203"/>
      <c r="H692" s="195"/>
      <c r="I692" s="195"/>
      <c r="J692" s="10">
        <f>SUM(J693:J693)</f>
        <v>863.06740000000002</v>
      </c>
      <c r="K692" s="10">
        <f>SUM(K693:K693)</f>
        <v>863.06740000000002</v>
      </c>
    </row>
    <row r="693" spans="1:11" ht="26">
      <c r="A693" s="12" t="s">
        <v>1278</v>
      </c>
      <c r="B693" s="13" t="s">
        <v>656</v>
      </c>
      <c r="C693" s="11"/>
      <c r="D693" s="14" t="s">
        <v>124</v>
      </c>
      <c r="E693" s="14"/>
      <c r="F693" s="15">
        <v>2271.23</v>
      </c>
      <c r="G693" s="15">
        <f>F693-E693</f>
        <v>2271.23</v>
      </c>
      <c r="H693" s="196">
        <v>0.38</v>
      </c>
      <c r="I693" s="15">
        <f t="shared" ref="I693:I714" si="327">H693*E693</f>
        <v>0</v>
      </c>
      <c r="J693" s="15">
        <f>H693*F693</f>
        <v>863.06740000000002</v>
      </c>
      <c r="K693" s="15">
        <f t="shared" ref="K693" si="328">G693*H693</f>
        <v>863.06740000000002</v>
      </c>
    </row>
    <row r="694" spans="1:11">
      <c r="A694" s="8" t="s">
        <v>1279</v>
      </c>
      <c r="B694" s="9" t="s">
        <v>658</v>
      </c>
      <c r="C694" s="8"/>
      <c r="D694" s="8"/>
      <c r="E694" s="8"/>
      <c r="F694" s="203"/>
      <c r="G694" s="203"/>
      <c r="H694" s="195"/>
      <c r="I694" s="195"/>
      <c r="J694" s="10">
        <f>SUM(J695:J700)</f>
        <v>103745.9607</v>
      </c>
      <c r="K694" s="10">
        <f>SUM(K695:K700)</f>
        <v>103745.9607</v>
      </c>
    </row>
    <row r="695" spans="1:11">
      <c r="A695" s="12" t="s">
        <v>1280</v>
      </c>
      <c r="B695" s="13" t="s">
        <v>659</v>
      </c>
      <c r="C695" s="11"/>
      <c r="D695" s="14" t="s">
        <v>124</v>
      </c>
      <c r="E695" s="14"/>
      <c r="F695" s="15">
        <v>2271.23</v>
      </c>
      <c r="G695" s="15">
        <f t="shared" ref="G695:G700" si="329">F695-E695</f>
        <v>2271.23</v>
      </c>
      <c r="H695" s="196">
        <v>1.75</v>
      </c>
      <c r="I695" s="15">
        <f t="shared" si="327"/>
        <v>0</v>
      </c>
      <c r="J695" s="15">
        <f>H695*F695</f>
        <v>3974.6525000000001</v>
      </c>
      <c r="K695" s="15">
        <f t="shared" ref="K695:K700" si="330">G695*H695</f>
        <v>3974.6525000000001</v>
      </c>
    </row>
    <row r="696" spans="1:11" ht="26">
      <c r="A696" s="12" t="s">
        <v>1281</v>
      </c>
      <c r="B696" s="13" t="s">
        <v>660</v>
      </c>
      <c r="C696" s="11"/>
      <c r="D696" s="14" t="s">
        <v>87</v>
      </c>
      <c r="E696" s="14"/>
      <c r="F696" s="15">
        <v>68.14</v>
      </c>
      <c r="G696" s="15">
        <f t="shared" si="329"/>
        <v>68.14</v>
      </c>
      <c r="H696" s="196">
        <v>10.32</v>
      </c>
      <c r="I696" s="15">
        <f t="shared" si="327"/>
        <v>0</v>
      </c>
      <c r="J696" s="15">
        <f t="shared" ref="J696:J700" si="331">H696*F696</f>
        <v>703.20479999999998</v>
      </c>
      <c r="K696" s="15">
        <f t="shared" si="330"/>
        <v>703.20479999999998</v>
      </c>
    </row>
    <row r="697" spans="1:11" ht="28.5" customHeight="1">
      <c r="A697" s="12" t="s">
        <v>1282</v>
      </c>
      <c r="B697" s="13" t="s">
        <v>661</v>
      </c>
      <c r="C697" s="11"/>
      <c r="D697" s="14" t="s">
        <v>1486</v>
      </c>
      <c r="E697" s="14"/>
      <c r="F697" s="15">
        <v>2044.11</v>
      </c>
      <c r="G697" s="15">
        <f t="shared" si="329"/>
        <v>2044.11</v>
      </c>
      <c r="H697" s="196">
        <v>2.14</v>
      </c>
      <c r="I697" s="15">
        <f t="shared" si="327"/>
        <v>0</v>
      </c>
      <c r="J697" s="15">
        <f t="shared" si="331"/>
        <v>4374.3954000000003</v>
      </c>
      <c r="K697" s="15">
        <f t="shared" si="330"/>
        <v>4374.3954000000003</v>
      </c>
    </row>
    <row r="698" spans="1:11" ht="29" customHeight="1">
      <c r="A698" s="12" t="s">
        <v>1283</v>
      </c>
      <c r="B698" s="13" t="s">
        <v>669</v>
      </c>
      <c r="C698" s="11"/>
      <c r="D698" s="14" t="s">
        <v>1486</v>
      </c>
      <c r="E698" s="14"/>
      <c r="F698" s="15">
        <v>3686.95</v>
      </c>
      <c r="G698" s="15">
        <f t="shared" si="329"/>
        <v>3686.95</v>
      </c>
      <c r="H698" s="196">
        <v>0.87</v>
      </c>
      <c r="I698" s="15">
        <f t="shared" si="327"/>
        <v>0</v>
      </c>
      <c r="J698" s="15">
        <f t="shared" si="331"/>
        <v>3207.6464999999998</v>
      </c>
      <c r="K698" s="15">
        <f t="shared" si="330"/>
        <v>3207.6464999999998</v>
      </c>
    </row>
    <row r="699" spans="1:11" ht="28" customHeight="1">
      <c r="A699" s="12" t="s">
        <v>1284</v>
      </c>
      <c r="B699" s="13" t="s">
        <v>662</v>
      </c>
      <c r="C699" s="11"/>
      <c r="D699" s="14" t="s">
        <v>87</v>
      </c>
      <c r="E699" s="14"/>
      <c r="F699" s="15">
        <v>68.14</v>
      </c>
      <c r="G699" s="15">
        <f t="shared" si="329"/>
        <v>68.14</v>
      </c>
      <c r="H699" s="196">
        <v>1248.29</v>
      </c>
      <c r="I699" s="15">
        <f t="shared" si="327"/>
        <v>0</v>
      </c>
      <c r="J699" s="15">
        <f t="shared" si="331"/>
        <v>85058.480599999995</v>
      </c>
      <c r="K699" s="15">
        <f t="shared" si="330"/>
        <v>85058.480599999995</v>
      </c>
    </row>
    <row r="700" spans="1:11" ht="17.5" customHeight="1">
      <c r="A700" s="12" t="s">
        <v>1285</v>
      </c>
      <c r="B700" s="13" t="s">
        <v>663</v>
      </c>
      <c r="C700" s="11"/>
      <c r="D700" s="14" t="s">
        <v>124</v>
      </c>
      <c r="E700" s="14"/>
      <c r="F700" s="15">
        <v>2271.23</v>
      </c>
      <c r="G700" s="15">
        <f t="shared" si="329"/>
        <v>2271.23</v>
      </c>
      <c r="H700" s="196">
        <v>2.83</v>
      </c>
      <c r="I700" s="15">
        <f t="shared" si="327"/>
        <v>0</v>
      </c>
      <c r="J700" s="15">
        <f t="shared" si="331"/>
        <v>6427.5808999999999</v>
      </c>
      <c r="K700" s="15">
        <f t="shared" si="330"/>
        <v>6427.5808999999999</v>
      </c>
    </row>
    <row r="701" spans="1:11">
      <c r="A701" s="8" t="s">
        <v>1286</v>
      </c>
      <c r="B701" s="9" t="s">
        <v>670</v>
      </c>
      <c r="C701" s="8"/>
      <c r="D701" s="8"/>
      <c r="E701" s="8"/>
      <c r="F701" s="203"/>
      <c r="G701" s="203"/>
      <c r="H701" s="195"/>
      <c r="I701" s="195"/>
      <c r="J701" s="10">
        <f>SUM(J702:J707)</f>
        <v>103745.9607</v>
      </c>
      <c r="K701" s="10">
        <f>SUM(K702:K707)</f>
        <v>103745.9607</v>
      </c>
    </row>
    <row r="702" spans="1:11">
      <c r="A702" s="12" t="s">
        <v>1287</v>
      </c>
      <c r="B702" s="13" t="s">
        <v>659</v>
      </c>
      <c r="C702" s="11"/>
      <c r="D702" s="15" t="s">
        <v>124</v>
      </c>
      <c r="E702" s="14"/>
      <c r="F702" s="15">
        <v>2271.23</v>
      </c>
      <c r="G702" s="15">
        <f t="shared" ref="G702:G707" si="332">F702-E702</f>
        <v>2271.23</v>
      </c>
      <c r="H702" s="196">
        <v>1.75</v>
      </c>
      <c r="I702" s="15">
        <f t="shared" si="327"/>
        <v>0</v>
      </c>
      <c r="J702" s="15">
        <f>H702*F702</f>
        <v>3974.6525000000001</v>
      </c>
      <c r="K702" s="15">
        <f t="shared" ref="K702:K707" si="333">G702*H702</f>
        <v>3974.6525000000001</v>
      </c>
    </row>
    <row r="703" spans="1:11" ht="26">
      <c r="A703" s="12" t="s">
        <v>1288</v>
      </c>
      <c r="B703" s="13" t="s">
        <v>660</v>
      </c>
      <c r="C703" s="11"/>
      <c r="D703" s="15" t="s">
        <v>87</v>
      </c>
      <c r="E703" s="14"/>
      <c r="F703" s="15">
        <v>68.14</v>
      </c>
      <c r="G703" s="15">
        <f t="shared" si="332"/>
        <v>68.14</v>
      </c>
      <c r="H703" s="196">
        <v>10.32</v>
      </c>
      <c r="I703" s="15">
        <f t="shared" si="327"/>
        <v>0</v>
      </c>
      <c r="J703" s="15">
        <f t="shared" ref="J703:J707" si="334">H703*F703</f>
        <v>703.20479999999998</v>
      </c>
      <c r="K703" s="15">
        <f t="shared" si="333"/>
        <v>703.20479999999998</v>
      </c>
    </row>
    <row r="704" spans="1:11" ht="28.5" customHeight="1">
      <c r="A704" s="12" t="s">
        <v>1289</v>
      </c>
      <c r="B704" s="13" t="s">
        <v>661</v>
      </c>
      <c r="C704" s="11"/>
      <c r="D704" s="15" t="s">
        <v>1486</v>
      </c>
      <c r="E704" s="14"/>
      <c r="F704" s="15">
        <v>2044.11</v>
      </c>
      <c r="G704" s="15">
        <f t="shared" si="332"/>
        <v>2044.11</v>
      </c>
      <c r="H704" s="196">
        <v>2.14</v>
      </c>
      <c r="I704" s="15">
        <f t="shared" si="327"/>
        <v>0</v>
      </c>
      <c r="J704" s="15">
        <f t="shared" si="334"/>
        <v>4374.3954000000003</v>
      </c>
      <c r="K704" s="15">
        <f t="shared" si="333"/>
        <v>4374.3954000000003</v>
      </c>
    </row>
    <row r="705" spans="1:11" ht="32.5" customHeight="1">
      <c r="A705" s="12" t="s">
        <v>1290</v>
      </c>
      <c r="B705" s="19" t="s">
        <v>669</v>
      </c>
      <c r="C705" s="11"/>
      <c r="D705" s="192" t="s">
        <v>1486</v>
      </c>
      <c r="E705" s="193"/>
      <c r="F705" s="15">
        <v>3686.95</v>
      </c>
      <c r="G705" s="15">
        <f t="shared" si="332"/>
        <v>3686.95</v>
      </c>
      <c r="H705" s="197">
        <v>0.87</v>
      </c>
      <c r="I705" s="15">
        <f t="shared" si="327"/>
        <v>0</v>
      </c>
      <c r="J705" s="15">
        <f t="shared" si="334"/>
        <v>3207.6464999999998</v>
      </c>
      <c r="K705" s="15">
        <f t="shared" si="333"/>
        <v>3207.6464999999998</v>
      </c>
    </row>
    <row r="706" spans="1:11" ht="26.5">
      <c r="A706" s="12" t="s">
        <v>1291</v>
      </c>
      <c r="B706" s="19" t="s">
        <v>671</v>
      </c>
      <c r="C706" s="11"/>
      <c r="D706" s="15" t="s">
        <v>87</v>
      </c>
      <c r="E706" s="14"/>
      <c r="F706" s="15">
        <v>68.14</v>
      </c>
      <c r="G706" s="15">
        <f t="shared" si="332"/>
        <v>68.14</v>
      </c>
      <c r="H706" s="196">
        <v>1248.29</v>
      </c>
      <c r="I706" s="15">
        <f t="shared" si="327"/>
        <v>0</v>
      </c>
      <c r="J706" s="15">
        <f t="shared" si="334"/>
        <v>85058.480599999995</v>
      </c>
      <c r="K706" s="15">
        <f t="shared" si="333"/>
        <v>85058.480599999995</v>
      </c>
    </row>
    <row r="707" spans="1:11" ht="16.5" customHeight="1">
      <c r="A707" s="12" t="s">
        <v>1292</v>
      </c>
      <c r="B707" s="17" t="s">
        <v>672</v>
      </c>
      <c r="C707" s="11" t="s">
        <v>87</v>
      </c>
      <c r="D707" s="15" t="s">
        <v>124</v>
      </c>
      <c r="E707" s="14"/>
      <c r="F707" s="15">
        <v>2271.23</v>
      </c>
      <c r="G707" s="15">
        <f t="shared" si="332"/>
        <v>2271.23</v>
      </c>
      <c r="H707" s="196">
        <v>2.83</v>
      </c>
      <c r="I707" s="15">
        <f t="shared" si="327"/>
        <v>0</v>
      </c>
      <c r="J707" s="15">
        <f t="shared" si="334"/>
        <v>6427.5808999999999</v>
      </c>
      <c r="K707" s="15">
        <f t="shared" si="333"/>
        <v>6427.5808999999999</v>
      </c>
    </row>
    <row r="708" spans="1:11">
      <c r="A708" s="8" t="s">
        <v>1293</v>
      </c>
      <c r="B708" s="9" t="s">
        <v>107</v>
      </c>
      <c r="C708" s="8"/>
      <c r="D708" s="8"/>
      <c r="E708" s="8"/>
      <c r="F708" s="203"/>
      <c r="G708" s="203"/>
      <c r="H708" s="195"/>
      <c r="I708" s="195"/>
      <c r="J708" s="10">
        <f>SUM(J709:J711)</f>
        <v>0</v>
      </c>
      <c r="K708" s="10">
        <f>SUM(K709:K711)</f>
        <v>0</v>
      </c>
    </row>
    <row r="709" spans="1:11" ht="39">
      <c r="A709" s="12" t="s">
        <v>1294</v>
      </c>
      <c r="B709" s="13" t="s">
        <v>674</v>
      </c>
      <c r="C709" s="11" t="s">
        <v>33</v>
      </c>
      <c r="D709" s="14" t="s">
        <v>1487</v>
      </c>
      <c r="E709" s="14"/>
      <c r="F709" s="15"/>
      <c r="G709" s="15">
        <f>F709-E709</f>
        <v>0</v>
      </c>
      <c r="H709" s="196">
        <v>625.09</v>
      </c>
      <c r="I709" s="15">
        <f t="shared" si="327"/>
        <v>0</v>
      </c>
      <c r="J709" s="15">
        <f>H709*F709</f>
        <v>0</v>
      </c>
      <c r="K709" s="15">
        <f t="shared" ref="K709:K711" si="335">G709*H709</f>
        <v>0</v>
      </c>
    </row>
    <row r="710" spans="1:11" ht="17" customHeight="1">
      <c r="A710" s="12" t="s">
        <v>1295</v>
      </c>
      <c r="B710" s="194" t="s">
        <v>680</v>
      </c>
      <c r="C710" s="11" t="s">
        <v>33</v>
      </c>
      <c r="D710" s="14" t="s">
        <v>124</v>
      </c>
      <c r="E710" s="14"/>
      <c r="F710" s="15"/>
      <c r="G710" s="15">
        <f>F710-E710</f>
        <v>0</v>
      </c>
      <c r="H710" s="196">
        <v>16.260000000000002</v>
      </c>
      <c r="I710" s="15">
        <f t="shared" si="327"/>
        <v>0</v>
      </c>
      <c r="J710" s="15">
        <f t="shared" ref="J710:J711" si="336">H710*F710</f>
        <v>0</v>
      </c>
      <c r="K710" s="15">
        <f t="shared" si="335"/>
        <v>0</v>
      </c>
    </row>
    <row r="711" spans="1:11" ht="16.5" customHeight="1">
      <c r="A711" s="12" t="s">
        <v>1296</v>
      </c>
      <c r="B711" s="13" t="s">
        <v>675</v>
      </c>
      <c r="C711" s="11" t="s">
        <v>33</v>
      </c>
      <c r="D711" s="14" t="s">
        <v>124</v>
      </c>
      <c r="E711" s="14"/>
      <c r="F711" s="15"/>
      <c r="G711" s="15">
        <f>F711-E711</f>
        <v>0</v>
      </c>
      <c r="H711" s="196">
        <v>4.5599999999999996</v>
      </c>
      <c r="I711" s="15">
        <f t="shared" si="327"/>
        <v>0</v>
      </c>
      <c r="J711" s="15">
        <f t="shared" si="336"/>
        <v>0</v>
      </c>
      <c r="K711" s="15">
        <f t="shared" si="335"/>
        <v>0</v>
      </c>
    </row>
    <row r="712" spans="1:11">
      <c r="A712" s="8" t="s">
        <v>1297</v>
      </c>
      <c r="B712" s="9" t="s">
        <v>678</v>
      </c>
      <c r="C712" s="8"/>
      <c r="D712" s="8"/>
      <c r="E712" s="8"/>
      <c r="F712" s="203"/>
      <c r="G712" s="203"/>
      <c r="H712" s="195"/>
      <c r="I712" s="195"/>
      <c r="J712" s="10">
        <f>SUM(J713:J714)</f>
        <v>3974.6525000000001</v>
      </c>
      <c r="K712" s="10">
        <f>SUM(K713:K714)</f>
        <v>3974.6525000000001</v>
      </c>
    </row>
    <row r="713" spans="1:11">
      <c r="A713" s="12" t="s">
        <v>1298</v>
      </c>
      <c r="B713" s="13" t="s">
        <v>659</v>
      </c>
      <c r="C713" s="11" t="s">
        <v>11</v>
      </c>
      <c r="D713" s="14" t="s">
        <v>124</v>
      </c>
      <c r="E713" s="14"/>
      <c r="F713" s="15">
        <v>2271.23</v>
      </c>
      <c r="G713" s="15">
        <f>F713-E713</f>
        <v>2271.23</v>
      </c>
      <c r="H713" s="196">
        <v>1.75</v>
      </c>
      <c r="I713" s="15">
        <f t="shared" si="327"/>
        <v>0</v>
      </c>
      <c r="J713" s="15">
        <f>H713*F713</f>
        <v>3974.6525000000001</v>
      </c>
      <c r="K713" s="15">
        <f t="shared" ref="K713:K714" si="337">G713*H713</f>
        <v>3974.6525000000001</v>
      </c>
    </row>
    <row r="714" spans="1:11">
      <c r="A714" s="12" t="s">
        <v>1299</v>
      </c>
      <c r="B714" s="13" t="s">
        <v>679</v>
      </c>
      <c r="C714" s="11" t="s">
        <v>11</v>
      </c>
      <c r="D714" s="14" t="s">
        <v>1487</v>
      </c>
      <c r="E714" s="14"/>
      <c r="F714" s="15"/>
      <c r="G714" s="15">
        <f>F714-E714</f>
        <v>0</v>
      </c>
      <c r="H714" s="196">
        <v>92.34</v>
      </c>
      <c r="I714" s="15">
        <f t="shared" si="327"/>
        <v>0</v>
      </c>
      <c r="J714" s="15">
        <f>H714*F714</f>
        <v>0</v>
      </c>
      <c r="K714" s="15">
        <f t="shared" si="337"/>
        <v>0</v>
      </c>
    </row>
    <row r="715" spans="1:11">
      <c r="A715" s="184">
        <v>27</v>
      </c>
      <c r="B715" s="191" t="s">
        <v>1480</v>
      </c>
      <c r="C715" s="184"/>
      <c r="D715" s="184"/>
      <c r="E715" s="184"/>
      <c r="F715" s="202"/>
      <c r="G715" s="202"/>
      <c r="H715" s="198"/>
      <c r="I715" s="185">
        <f>SUM(I716,I719,I721,I728,I735,I739)</f>
        <v>142944.125</v>
      </c>
      <c r="J715" s="185">
        <f>SUM(J716,J719,J721,J728,J735,J739)</f>
        <v>142944.125</v>
      </c>
      <c r="K715" s="185">
        <f>SUM(K716,K719,K721,K728,K735,K739)</f>
        <v>0</v>
      </c>
    </row>
    <row r="716" spans="1:11">
      <c r="A716" s="8" t="s">
        <v>1300</v>
      </c>
      <c r="B716" s="9" t="s">
        <v>8</v>
      </c>
      <c r="C716" s="8"/>
      <c r="D716" s="8"/>
      <c r="E716" s="8"/>
      <c r="F716" s="203"/>
      <c r="G716" s="203"/>
      <c r="H716" s="195"/>
      <c r="I716" s="10">
        <f>SUM(I717:I718)</f>
        <v>11173.222400000002</v>
      </c>
      <c r="J716" s="10">
        <f>SUM(J717:J718)</f>
        <v>11173.222400000002</v>
      </c>
      <c r="K716" s="10">
        <f>SUM(K717:K718)</f>
        <v>0</v>
      </c>
    </row>
    <row r="717" spans="1:11" ht="26">
      <c r="A717" s="12" t="s">
        <v>1301</v>
      </c>
      <c r="B717" s="13" t="s">
        <v>653</v>
      </c>
      <c r="C717" s="11" t="s">
        <v>13</v>
      </c>
      <c r="D717" s="14" t="s">
        <v>124</v>
      </c>
      <c r="E717" s="14">
        <f>F717</f>
        <v>1407.72</v>
      </c>
      <c r="F717" s="15">
        <v>1407.72</v>
      </c>
      <c r="G717" s="15">
        <f>F717-E717</f>
        <v>0</v>
      </c>
      <c r="H717" s="196">
        <v>0.36</v>
      </c>
      <c r="I717" s="15">
        <f>H717*E717</f>
        <v>506.7792</v>
      </c>
      <c r="J717" s="15">
        <f>H717*F717</f>
        <v>506.7792</v>
      </c>
      <c r="K717" s="15">
        <f t="shared" ref="K717:K718" si="338">G717*H717</f>
        <v>0</v>
      </c>
    </row>
    <row r="718" spans="1:11" ht="52">
      <c r="A718" s="12" t="s">
        <v>1302</v>
      </c>
      <c r="B718" s="13" t="s">
        <v>650</v>
      </c>
      <c r="C718" s="11" t="s">
        <v>11</v>
      </c>
      <c r="D718" s="14" t="s">
        <v>124</v>
      </c>
      <c r="E718" s="14">
        <f>F718</f>
        <v>172.96</v>
      </c>
      <c r="F718" s="15">
        <v>172.96</v>
      </c>
      <c r="G718" s="15">
        <f>F718-E718</f>
        <v>0</v>
      </c>
      <c r="H718" s="196">
        <v>61.67</v>
      </c>
      <c r="I718" s="15">
        <f>H718*E718</f>
        <v>10666.443200000002</v>
      </c>
      <c r="J718" s="15">
        <f>H718*F718</f>
        <v>10666.443200000002</v>
      </c>
      <c r="K718" s="15">
        <f t="shared" si="338"/>
        <v>0</v>
      </c>
    </row>
    <row r="719" spans="1:11">
      <c r="A719" s="8" t="s">
        <v>1303</v>
      </c>
      <c r="B719" s="9" t="s">
        <v>655</v>
      </c>
      <c r="C719" s="8"/>
      <c r="D719" s="8"/>
      <c r="E719" s="8"/>
      <c r="F719" s="203"/>
      <c r="G719" s="203"/>
      <c r="H719" s="195"/>
      <c r="I719" s="10">
        <f>SUM(I720:I720)</f>
        <v>534.93360000000007</v>
      </c>
      <c r="J719" s="10">
        <f>SUM(J720:J720)</f>
        <v>534.93360000000007</v>
      </c>
      <c r="K719" s="10">
        <f>SUM(K720:K720)</f>
        <v>0</v>
      </c>
    </row>
    <row r="720" spans="1:11" ht="26">
      <c r="A720" s="12" t="s">
        <v>1304</v>
      </c>
      <c r="B720" s="13" t="s">
        <v>656</v>
      </c>
      <c r="C720" s="11"/>
      <c r="D720" s="14" t="s">
        <v>124</v>
      </c>
      <c r="E720" s="14">
        <f>F720</f>
        <v>1407.72</v>
      </c>
      <c r="F720" s="15">
        <v>1407.72</v>
      </c>
      <c r="G720" s="15">
        <f>F720-E720</f>
        <v>0</v>
      </c>
      <c r="H720" s="196">
        <v>0.38</v>
      </c>
      <c r="I720" s="15">
        <f t="shared" ref="I720:I741" si="339">H720*E720</f>
        <v>534.93360000000007</v>
      </c>
      <c r="J720" s="15">
        <f>H720*F720</f>
        <v>534.93360000000007</v>
      </c>
      <c r="K720" s="15">
        <f t="shared" ref="K720" si="340">G720*H720</f>
        <v>0</v>
      </c>
    </row>
    <row r="721" spans="1:11">
      <c r="A721" s="8" t="s">
        <v>1305</v>
      </c>
      <c r="B721" s="9" t="s">
        <v>658</v>
      </c>
      <c r="C721" s="8"/>
      <c r="D721" s="8"/>
      <c r="E721" s="8"/>
      <c r="F721" s="203"/>
      <c r="G721" s="203"/>
      <c r="H721" s="195"/>
      <c r="I721" s="10">
        <f>SUM(I722:I727)</f>
        <v>64386.229500000001</v>
      </c>
      <c r="J721" s="10">
        <f>SUM(J722:J727)</f>
        <v>64386.229500000001</v>
      </c>
      <c r="K721" s="10">
        <f>SUM(K722:K727)</f>
        <v>0</v>
      </c>
    </row>
    <row r="722" spans="1:11">
      <c r="A722" s="12" t="s">
        <v>1306</v>
      </c>
      <c r="B722" s="13" t="s">
        <v>659</v>
      </c>
      <c r="C722" s="11"/>
      <c r="D722" s="14" t="s">
        <v>124</v>
      </c>
      <c r="E722" s="14">
        <f>F722</f>
        <v>1407.72</v>
      </c>
      <c r="F722" s="15">
        <v>1407.72</v>
      </c>
      <c r="G722" s="15">
        <f t="shared" ref="G722:G727" si="341">F722-E722</f>
        <v>0</v>
      </c>
      <c r="H722" s="196">
        <v>1.75</v>
      </c>
      <c r="I722" s="15">
        <f t="shared" si="339"/>
        <v>2463.5100000000002</v>
      </c>
      <c r="J722" s="15">
        <f>H722*F722</f>
        <v>2463.5100000000002</v>
      </c>
      <c r="K722" s="15">
        <f t="shared" ref="K722:K727" si="342">G722*H722</f>
        <v>0</v>
      </c>
    </row>
    <row r="723" spans="1:11" ht="26">
      <c r="A723" s="12" t="s">
        <v>1307</v>
      </c>
      <c r="B723" s="13" t="s">
        <v>660</v>
      </c>
      <c r="C723" s="11"/>
      <c r="D723" s="14" t="s">
        <v>87</v>
      </c>
      <c r="E723" s="14">
        <f t="shared" ref="E723:E727" si="343">F723</f>
        <v>42.23</v>
      </c>
      <c r="F723" s="15">
        <v>42.23</v>
      </c>
      <c r="G723" s="15">
        <f t="shared" si="341"/>
        <v>0</v>
      </c>
      <c r="H723" s="196">
        <v>10.32</v>
      </c>
      <c r="I723" s="15">
        <f t="shared" si="339"/>
        <v>435.81360000000001</v>
      </c>
      <c r="J723" s="15">
        <f t="shared" ref="J723:J727" si="344">H723*F723</f>
        <v>435.81360000000001</v>
      </c>
      <c r="K723" s="15">
        <f t="shared" si="342"/>
        <v>0</v>
      </c>
    </row>
    <row r="724" spans="1:11" ht="28.5" customHeight="1">
      <c r="A724" s="12" t="s">
        <v>1308</v>
      </c>
      <c r="B724" s="13" t="s">
        <v>661</v>
      </c>
      <c r="C724" s="11"/>
      <c r="D724" s="14" t="s">
        <v>1486</v>
      </c>
      <c r="E724" s="14">
        <f t="shared" si="343"/>
        <v>1266.95</v>
      </c>
      <c r="F724" s="15">
        <v>1266.95</v>
      </c>
      <c r="G724" s="15">
        <f t="shared" si="341"/>
        <v>0</v>
      </c>
      <c r="H724" s="196">
        <v>2.14</v>
      </c>
      <c r="I724" s="15">
        <f t="shared" si="339"/>
        <v>2711.2730000000001</v>
      </c>
      <c r="J724" s="15">
        <f t="shared" si="344"/>
        <v>2711.2730000000001</v>
      </c>
      <c r="K724" s="15">
        <f t="shared" si="342"/>
        <v>0</v>
      </c>
    </row>
    <row r="725" spans="1:11" ht="29" customHeight="1">
      <c r="A725" s="12" t="s">
        <v>1309</v>
      </c>
      <c r="B725" s="13" t="s">
        <v>669</v>
      </c>
      <c r="C725" s="11"/>
      <c r="D725" s="14" t="s">
        <v>1486</v>
      </c>
      <c r="E725" s="14">
        <f t="shared" si="343"/>
        <v>2386.7800000000002</v>
      </c>
      <c r="F725" s="15">
        <v>2386.7800000000002</v>
      </c>
      <c r="G725" s="15">
        <f t="shared" si="341"/>
        <v>0</v>
      </c>
      <c r="H725" s="196">
        <v>0.87</v>
      </c>
      <c r="I725" s="15">
        <f t="shared" si="339"/>
        <v>2076.4986000000004</v>
      </c>
      <c r="J725" s="15">
        <f t="shared" si="344"/>
        <v>2076.4986000000004</v>
      </c>
      <c r="K725" s="15">
        <f t="shared" si="342"/>
        <v>0</v>
      </c>
    </row>
    <row r="726" spans="1:11" ht="28" customHeight="1">
      <c r="A726" s="12" t="s">
        <v>1310</v>
      </c>
      <c r="B726" s="13" t="s">
        <v>662</v>
      </c>
      <c r="C726" s="11"/>
      <c r="D726" s="14" t="s">
        <v>87</v>
      </c>
      <c r="E726" s="14">
        <f t="shared" si="343"/>
        <v>42.23</v>
      </c>
      <c r="F726" s="15">
        <v>42.23</v>
      </c>
      <c r="G726" s="15">
        <f t="shared" si="341"/>
        <v>0</v>
      </c>
      <c r="H726" s="196">
        <v>1248.29</v>
      </c>
      <c r="I726" s="15">
        <f t="shared" si="339"/>
        <v>52715.286699999997</v>
      </c>
      <c r="J726" s="15">
        <f t="shared" si="344"/>
        <v>52715.286699999997</v>
      </c>
      <c r="K726" s="15">
        <f t="shared" si="342"/>
        <v>0</v>
      </c>
    </row>
    <row r="727" spans="1:11" ht="17.5" customHeight="1">
      <c r="A727" s="12" t="s">
        <v>1311</v>
      </c>
      <c r="B727" s="13" t="s">
        <v>663</v>
      </c>
      <c r="C727" s="11"/>
      <c r="D727" s="14" t="s">
        <v>124</v>
      </c>
      <c r="E727" s="14">
        <f t="shared" si="343"/>
        <v>1407.72</v>
      </c>
      <c r="F727" s="15">
        <v>1407.72</v>
      </c>
      <c r="G727" s="15">
        <f t="shared" si="341"/>
        <v>0</v>
      </c>
      <c r="H727" s="196">
        <v>2.83</v>
      </c>
      <c r="I727" s="15">
        <f t="shared" si="339"/>
        <v>3983.8476000000001</v>
      </c>
      <c r="J727" s="15">
        <f t="shared" si="344"/>
        <v>3983.8476000000001</v>
      </c>
      <c r="K727" s="15">
        <f t="shared" si="342"/>
        <v>0</v>
      </c>
    </row>
    <row r="728" spans="1:11">
      <c r="A728" s="8" t="s">
        <v>1312</v>
      </c>
      <c r="B728" s="9" t="s">
        <v>670</v>
      </c>
      <c r="C728" s="8"/>
      <c r="D728" s="8"/>
      <c r="E728" s="8"/>
      <c r="F728" s="203"/>
      <c r="G728" s="203"/>
      <c r="H728" s="195"/>
      <c r="I728" s="10">
        <f>SUM(I729:I734)</f>
        <v>64386.229500000001</v>
      </c>
      <c r="J728" s="10">
        <f>SUM(J729:J734)</f>
        <v>64386.229500000001</v>
      </c>
      <c r="K728" s="10">
        <f>SUM(K729:K734)</f>
        <v>0</v>
      </c>
    </row>
    <row r="729" spans="1:11">
      <c r="A729" s="12" t="s">
        <v>1313</v>
      </c>
      <c r="B729" s="13" t="s">
        <v>659</v>
      </c>
      <c r="C729" s="11"/>
      <c r="D729" s="15" t="s">
        <v>124</v>
      </c>
      <c r="E729" s="14">
        <f>F729</f>
        <v>1407.72</v>
      </c>
      <c r="F729" s="15">
        <v>1407.72</v>
      </c>
      <c r="G729" s="15">
        <f t="shared" ref="G729:G734" si="345">F729-E729</f>
        <v>0</v>
      </c>
      <c r="H729" s="196">
        <v>1.75</v>
      </c>
      <c r="I729" s="15">
        <f t="shared" si="339"/>
        <v>2463.5100000000002</v>
      </c>
      <c r="J729" s="15">
        <f>H729*F729</f>
        <v>2463.5100000000002</v>
      </c>
      <c r="K729" s="15">
        <f t="shared" ref="K729:K734" si="346">G729*H729</f>
        <v>0</v>
      </c>
    </row>
    <row r="730" spans="1:11" ht="26">
      <c r="A730" s="12" t="s">
        <v>1314</v>
      </c>
      <c r="B730" s="13" t="s">
        <v>660</v>
      </c>
      <c r="C730" s="11"/>
      <c r="D730" s="15" t="s">
        <v>87</v>
      </c>
      <c r="E730" s="14">
        <f t="shared" ref="E730:E734" si="347">F730</f>
        <v>42.23</v>
      </c>
      <c r="F730" s="199">
        <v>42.23</v>
      </c>
      <c r="G730" s="15">
        <f t="shared" si="345"/>
        <v>0</v>
      </c>
      <c r="H730" s="196">
        <v>10.32</v>
      </c>
      <c r="I730" s="15">
        <f t="shared" si="339"/>
        <v>435.81360000000001</v>
      </c>
      <c r="J730" s="15">
        <f t="shared" ref="J730:J734" si="348">H730*F730</f>
        <v>435.81360000000001</v>
      </c>
      <c r="K730" s="15">
        <f t="shared" si="346"/>
        <v>0</v>
      </c>
    </row>
    <row r="731" spans="1:11" ht="28.5" customHeight="1">
      <c r="A731" s="12" t="s">
        <v>1315</v>
      </c>
      <c r="B731" s="13" t="s">
        <v>661</v>
      </c>
      <c r="C731" s="11"/>
      <c r="D731" s="15" t="s">
        <v>1486</v>
      </c>
      <c r="E731" s="14">
        <f t="shared" si="347"/>
        <v>1266.95</v>
      </c>
      <c r="F731" s="199">
        <v>1266.95</v>
      </c>
      <c r="G731" s="15">
        <f t="shared" si="345"/>
        <v>0</v>
      </c>
      <c r="H731" s="196">
        <v>2.14</v>
      </c>
      <c r="I731" s="15">
        <f t="shared" si="339"/>
        <v>2711.2730000000001</v>
      </c>
      <c r="J731" s="15">
        <f t="shared" si="348"/>
        <v>2711.2730000000001</v>
      </c>
      <c r="K731" s="15">
        <f t="shared" si="346"/>
        <v>0</v>
      </c>
    </row>
    <row r="732" spans="1:11" ht="32.5" customHeight="1">
      <c r="A732" s="12" t="s">
        <v>1316</v>
      </c>
      <c r="B732" s="19" t="s">
        <v>669</v>
      </c>
      <c r="C732" s="11"/>
      <c r="D732" s="192" t="s">
        <v>1486</v>
      </c>
      <c r="E732" s="14">
        <f t="shared" si="347"/>
        <v>2386.7800000000002</v>
      </c>
      <c r="F732" s="204">
        <v>2386.7800000000002</v>
      </c>
      <c r="G732" s="15">
        <f t="shared" si="345"/>
        <v>0</v>
      </c>
      <c r="H732" s="197">
        <v>0.87</v>
      </c>
      <c r="I732" s="15">
        <f t="shared" si="339"/>
        <v>2076.4986000000004</v>
      </c>
      <c r="J732" s="15">
        <f t="shared" si="348"/>
        <v>2076.4986000000004</v>
      </c>
      <c r="K732" s="15">
        <f t="shared" si="346"/>
        <v>0</v>
      </c>
    </row>
    <row r="733" spans="1:11" ht="26.5">
      <c r="A733" s="12" t="s">
        <v>1317</v>
      </c>
      <c r="B733" s="19" t="s">
        <v>671</v>
      </c>
      <c r="C733" s="11"/>
      <c r="D733" s="15" t="s">
        <v>87</v>
      </c>
      <c r="E733" s="14">
        <f t="shared" si="347"/>
        <v>42.23</v>
      </c>
      <c r="F733" s="199">
        <v>42.23</v>
      </c>
      <c r="G733" s="15">
        <f t="shared" si="345"/>
        <v>0</v>
      </c>
      <c r="H733" s="196">
        <v>1248.29</v>
      </c>
      <c r="I733" s="15">
        <f t="shared" si="339"/>
        <v>52715.286699999997</v>
      </c>
      <c r="J733" s="15">
        <f t="shared" si="348"/>
        <v>52715.286699999997</v>
      </c>
      <c r="K733" s="15">
        <f t="shared" si="346"/>
        <v>0</v>
      </c>
    </row>
    <row r="734" spans="1:11" ht="16.5" customHeight="1">
      <c r="A734" s="12" t="s">
        <v>1318</v>
      </c>
      <c r="B734" s="17" t="s">
        <v>672</v>
      </c>
      <c r="C734" s="11" t="s">
        <v>87</v>
      </c>
      <c r="D734" s="15" t="s">
        <v>124</v>
      </c>
      <c r="E734" s="14">
        <f t="shared" si="347"/>
        <v>1407.72</v>
      </c>
      <c r="F734" s="199">
        <v>1407.72</v>
      </c>
      <c r="G734" s="15">
        <f t="shared" si="345"/>
        <v>0</v>
      </c>
      <c r="H734" s="196">
        <v>2.83</v>
      </c>
      <c r="I734" s="15">
        <f t="shared" si="339"/>
        <v>3983.8476000000001</v>
      </c>
      <c r="J734" s="15">
        <f t="shared" si="348"/>
        <v>3983.8476000000001</v>
      </c>
      <c r="K734" s="15">
        <f t="shared" si="346"/>
        <v>0</v>
      </c>
    </row>
    <row r="735" spans="1:11">
      <c r="A735" s="8" t="s">
        <v>1319</v>
      </c>
      <c r="B735" s="9" t="s">
        <v>107</v>
      </c>
      <c r="C735" s="8"/>
      <c r="D735" s="8"/>
      <c r="E735" s="8"/>
      <c r="F735" s="203"/>
      <c r="G735" s="203"/>
      <c r="H735" s="195"/>
      <c r="I735" s="10">
        <f>SUM(I736:I738)</f>
        <v>0</v>
      </c>
      <c r="J735" s="10">
        <f>SUM(J736:J738)</f>
        <v>0</v>
      </c>
      <c r="K735" s="10">
        <f>SUM(K736:K738)</f>
        <v>0</v>
      </c>
    </row>
    <row r="736" spans="1:11" ht="39">
      <c r="A736" s="12" t="s">
        <v>1320</v>
      </c>
      <c r="B736" s="13" t="s">
        <v>674</v>
      </c>
      <c r="C736" s="11" t="s">
        <v>33</v>
      </c>
      <c r="D736" s="14" t="s">
        <v>1487</v>
      </c>
      <c r="E736" s="14"/>
      <c r="F736" s="15"/>
      <c r="G736" s="15">
        <f>F736-E736</f>
        <v>0</v>
      </c>
      <c r="H736" s="196">
        <v>625.09</v>
      </c>
      <c r="I736" s="15">
        <f t="shared" si="339"/>
        <v>0</v>
      </c>
      <c r="J736" s="15">
        <f>H736*F736</f>
        <v>0</v>
      </c>
      <c r="K736" s="15">
        <f t="shared" ref="K736:K738" si="349">G736*H736</f>
        <v>0</v>
      </c>
    </row>
    <row r="737" spans="1:11" ht="17" customHeight="1">
      <c r="A737" s="12" t="s">
        <v>1321</v>
      </c>
      <c r="B737" s="194" t="s">
        <v>680</v>
      </c>
      <c r="C737" s="11" t="s">
        <v>33</v>
      </c>
      <c r="D737" s="14" t="s">
        <v>124</v>
      </c>
      <c r="E737" s="14"/>
      <c r="F737" s="15"/>
      <c r="G737" s="15">
        <f>F737-E737</f>
        <v>0</v>
      </c>
      <c r="H737" s="196">
        <v>16.260000000000002</v>
      </c>
      <c r="I737" s="15">
        <f t="shared" si="339"/>
        <v>0</v>
      </c>
      <c r="J737" s="15">
        <f t="shared" ref="J737:J738" si="350">H737*F737</f>
        <v>0</v>
      </c>
      <c r="K737" s="15">
        <f t="shared" si="349"/>
        <v>0</v>
      </c>
    </row>
    <row r="738" spans="1:11" ht="16.5" customHeight="1">
      <c r="A738" s="12" t="s">
        <v>1322</v>
      </c>
      <c r="B738" s="13" t="s">
        <v>675</v>
      </c>
      <c r="C738" s="11" t="s">
        <v>33</v>
      </c>
      <c r="D738" s="14" t="s">
        <v>124</v>
      </c>
      <c r="E738" s="14"/>
      <c r="F738" s="15"/>
      <c r="G738" s="15">
        <f>F738-E738</f>
        <v>0</v>
      </c>
      <c r="H738" s="196">
        <v>4.5599999999999996</v>
      </c>
      <c r="I738" s="15">
        <f t="shared" si="339"/>
        <v>0</v>
      </c>
      <c r="J738" s="15">
        <f t="shared" si="350"/>
        <v>0</v>
      </c>
      <c r="K738" s="15">
        <f t="shared" si="349"/>
        <v>0</v>
      </c>
    </row>
    <row r="739" spans="1:11">
      <c r="A739" s="8" t="s">
        <v>1323</v>
      </c>
      <c r="B739" s="9" t="s">
        <v>678</v>
      </c>
      <c r="C739" s="8"/>
      <c r="D739" s="8"/>
      <c r="E739" s="8"/>
      <c r="F739" s="203"/>
      <c r="G739" s="203"/>
      <c r="H739" s="195"/>
      <c r="I739" s="10">
        <f>SUM(I740:I741)</f>
        <v>2463.5100000000002</v>
      </c>
      <c r="J739" s="10">
        <f>SUM(J740:J741)</f>
        <v>2463.5100000000002</v>
      </c>
      <c r="K739" s="10">
        <f>SUM(K740:K741)</f>
        <v>0</v>
      </c>
    </row>
    <row r="740" spans="1:11">
      <c r="A740" s="12" t="s">
        <v>1324</v>
      </c>
      <c r="B740" s="13" t="s">
        <v>659</v>
      </c>
      <c r="C740" s="11" t="s">
        <v>11</v>
      </c>
      <c r="D740" s="14" t="s">
        <v>124</v>
      </c>
      <c r="E740" s="14">
        <f>F740</f>
        <v>1407.72</v>
      </c>
      <c r="F740" s="15">
        <v>1407.72</v>
      </c>
      <c r="G740" s="15">
        <f>F740-E740</f>
        <v>0</v>
      </c>
      <c r="H740" s="196">
        <v>1.75</v>
      </c>
      <c r="I740" s="15">
        <f t="shared" si="339"/>
        <v>2463.5100000000002</v>
      </c>
      <c r="J740" s="15">
        <f>H740*F740</f>
        <v>2463.5100000000002</v>
      </c>
      <c r="K740" s="15">
        <f t="shared" ref="K740:K741" si="351">G740*H740</f>
        <v>0</v>
      </c>
    </row>
    <row r="741" spans="1:11">
      <c r="A741" s="12" t="s">
        <v>1325</v>
      </c>
      <c r="B741" s="13" t="s">
        <v>679</v>
      </c>
      <c r="C741" s="11" t="s">
        <v>11</v>
      </c>
      <c r="D741" s="14" t="s">
        <v>1487</v>
      </c>
      <c r="E741" s="14"/>
      <c r="F741" s="15"/>
      <c r="G741" s="15">
        <f>F741-E741</f>
        <v>0</v>
      </c>
      <c r="H741" s="196">
        <v>92.34</v>
      </c>
      <c r="I741" s="15">
        <f t="shared" si="339"/>
        <v>0</v>
      </c>
      <c r="J741" s="15">
        <f>H741*F741</f>
        <v>0</v>
      </c>
      <c r="K741" s="15">
        <f t="shared" si="351"/>
        <v>0</v>
      </c>
    </row>
    <row r="742" spans="1:11">
      <c r="A742" s="184">
        <v>28</v>
      </c>
      <c r="B742" s="191" t="s">
        <v>1481</v>
      </c>
      <c r="C742" s="184"/>
      <c r="D742" s="184"/>
      <c r="E742" s="184"/>
      <c r="F742" s="202"/>
      <c r="G742" s="202"/>
      <c r="H742" s="198"/>
      <c r="I742" s="185"/>
      <c r="J742" s="185">
        <f>SUM(J743,J746,J748,J755,J762,J766)</f>
        <v>236870.02079999997</v>
      </c>
      <c r="K742" s="185">
        <f>SUM(K743,K746,K748,K755,K762,K766)</f>
        <v>236870.02079999997</v>
      </c>
    </row>
    <row r="743" spans="1:11">
      <c r="A743" s="8" t="s">
        <v>1326</v>
      </c>
      <c r="B743" s="9" t="s">
        <v>8</v>
      </c>
      <c r="C743" s="8"/>
      <c r="D743" s="8"/>
      <c r="E743" s="8"/>
      <c r="F743" s="203"/>
      <c r="G743" s="203"/>
      <c r="H743" s="195"/>
      <c r="I743" s="10"/>
      <c r="J743" s="10">
        <f>SUM(J744:J745)</f>
        <v>19990.579300000001</v>
      </c>
      <c r="K743" s="10">
        <f>SUM(K744:K745)</f>
        <v>19990.579300000001</v>
      </c>
    </row>
    <row r="744" spans="1:11" ht="26">
      <c r="A744" s="12" t="s">
        <v>1327</v>
      </c>
      <c r="B744" s="13" t="s">
        <v>653</v>
      </c>
      <c r="C744" s="11" t="s">
        <v>13</v>
      </c>
      <c r="D744" s="14" t="s">
        <v>124</v>
      </c>
      <c r="E744" s="14"/>
      <c r="F744" s="15">
        <v>2309.89</v>
      </c>
      <c r="G744" s="15">
        <f>F744-E744</f>
        <v>2309.89</v>
      </c>
      <c r="H744" s="196">
        <v>0.36</v>
      </c>
      <c r="I744" s="15">
        <f>H744*E744</f>
        <v>0</v>
      </c>
      <c r="J744" s="15">
        <f>H744*F744</f>
        <v>831.56039999999996</v>
      </c>
      <c r="K744" s="15">
        <f t="shared" ref="K744:K745" si="352">G744*H744</f>
        <v>831.56039999999996</v>
      </c>
    </row>
    <row r="745" spans="1:11" ht="52">
      <c r="A745" s="12" t="s">
        <v>1328</v>
      </c>
      <c r="B745" s="13" t="s">
        <v>650</v>
      </c>
      <c r="C745" s="11" t="s">
        <v>11</v>
      </c>
      <c r="D745" s="14" t="s">
        <v>124</v>
      </c>
      <c r="E745" s="14"/>
      <c r="F745" s="15">
        <v>310.67</v>
      </c>
      <c r="G745" s="15">
        <f>F745-E745</f>
        <v>310.67</v>
      </c>
      <c r="H745" s="196">
        <v>61.67</v>
      </c>
      <c r="I745" s="15">
        <f>H745*E745</f>
        <v>0</v>
      </c>
      <c r="J745" s="15">
        <f>H745*F745</f>
        <v>19159.018900000003</v>
      </c>
      <c r="K745" s="15">
        <f t="shared" si="352"/>
        <v>19159.018900000003</v>
      </c>
    </row>
    <row r="746" spans="1:11">
      <c r="A746" s="8" t="s">
        <v>1329</v>
      </c>
      <c r="B746" s="9" t="s">
        <v>655</v>
      </c>
      <c r="C746" s="8"/>
      <c r="D746" s="8"/>
      <c r="E746" s="8"/>
      <c r="F746" s="203"/>
      <c r="G746" s="203"/>
      <c r="H746" s="195"/>
      <c r="I746" s="195"/>
      <c r="J746" s="10">
        <f>SUM(J747:J747)</f>
        <v>877.75819999999999</v>
      </c>
      <c r="K746" s="10">
        <f>SUM(K747:K747)</f>
        <v>877.75819999999999</v>
      </c>
    </row>
    <row r="747" spans="1:11" ht="26">
      <c r="A747" s="12" t="s">
        <v>1330</v>
      </c>
      <c r="B747" s="13" t="s">
        <v>656</v>
      </c>
      <c r="C747" s="11"/>
      <c r="D747" s="14" t="s">
        <v>124</v>
      </c>
      <c r="E747" s="14"/>
      <c r="F747" s="15">
        <v>2309.89</v>
      </c>
      <c r="G747" s="15">
        <f>F747-E747</f>
        <v>2309.89</v>
      </c>
      <c r="H747" s="196">
        <v>0.38</v>
      </c>
      <c r="I747" s="15">
        <f t="shared" ref="I747:I768" si="353">H747*E747</f>
        <v>0</v>
      </c>
      <c r="J747" s="15">
        <f>H747*F747</f>
        <v>877.75819999999999</v>
      </c>
      <c r="K747" s="15">
        <f t="shared" ref="K747" si="354">G747*H747</f>
        <v>877.75819999999999</v>
      </c>
    </row>
    <row r="748" spans="1:11">
      <c r="A748" s="8" t="s">
        <v>1331</v>
      </c>
      <c r="B748" s="9" t="s">
        <v>658</v>
      </c>
      <c r="C748" s="8"/>
      <c r="D748" s="8"/>
      <c r="E748" s="8"/>
      <c r="F748" s="203"/>
      <c r="G748" s="203"/>
      <c r="H748" s="195"/>
      <c r="I748" s="195"/>
      <c r="J748" s="10">
        <f>SUM(J749:J754)</f>
        <v>105979.68789999999</v>
      </c>
      <c r="K748" s="10">
        <f>SUM(K749:K754)</f>
        <v>105979.68789999999</v>
      </c>
    </row>
    <row r="749" spans="1:11">
      <c r="A749" s="12" t="s">
        <v>1332</v>
      </c>
      <c r="B749" s="13" t="s">
        <v>659</v>
      </c>
      <c r="C749" s="11"/>
      <c r="D749" s="14" t="s">
        <v>124</v>
      </c>
      <c r="E749" s="14"/>
      <c r="F749" s="15">
        <v>2309.89</v>
      </c>
      <c r="G749" s="15">
        <f t="shared" ref="G749:G754" si="355">F749-E749</f>
        <v>2309.89</v>
      </c>
      <c r="H749" s="196">
        <v>1.75</v>
      </c>
      <c r="I749" s="15">
        <f t="shared" si="353"/>
        <v>0</v>
      </c>
      <c r="J749" s="15">
        <f>H749*F749</f>
        <v>4042.3074999999999</v>
      </c>
      <c r="K749" s="15">
        <f t="shared" ref="K749:K754" si="356">G749*H749</f>
        <v>4042.3074999999999</v>
      </c>
    </row>
    <row r="750" spans="1:11" ht="26">
      <c r="A750" s="12" t="s">
        <v>1333</v>
      </c>
      <c r="B750" s="13" t="s">
        <v>660</v>
      </c>
      <c r="C750" s="11"/>
      <c r="D750" s="14" t="s">
        <v>87</v>
      </c>
      <c r="E750" s="14"/>
      <c r="F750" s="15">
        <v>69.3</v>
      </c>
      <c r="G750" s="15">
        <f t="shared" si="355"/>
        <v>69.3</v>
      </c>
      <c r="H750" s="196">
        <v>10.32</v>
      </c>
      <c r="I750" s="15">
        <f t="shared" si="353"/>
        <v>0</v>
      </c>
      <c r="J750" s="15">
        <f t="shared" ref="J750:J754" si="357">H750*F750</f>
        <v>715.17600000000004</v>
      </c>
      <c r="K750" s="15">
        <f t="shared" si="356"/>
        <v>715.17600000000004</v>
      </c>
    </row>
    <row r="751" spans="1:11" ht="28.5" customHeight="1">
      <c r="A751" s="12" t="s">
        <v>1334</v>
      </c>
      <c r="B751" s="13" t="s">
        <v>661</v>
      </c>
      <c r="C751" s="11"/>
      <c r="D751" s="14" t="s">
        <v>1486</v>
      </c>
      <c r="E751" s="14"/>
      <c r="F751" s="15">
        <v>2078.9</v>
      </c>
      <c r="G751" s="15">
        <f t="shared" si="355"/>
        <v>2078.9</v>
      </c>
      <c r="H751" s="196">
        <v>2.14</v>
      </c>
      <c r="I751" s="15">
        <f t="shared" si="353"/>
        <v>0</v>
      </c>
      <c r="J751" s="15">
        <f t="shared" si="357"/>
        <v>4448.8460000000005</v>
      </c>
      <c r="K751" s="15">
        <f t="shared" si="356"/>
        <v>4448.8460000000005</v>
      </c>
    </row>
    <row r="752" spans="1:11" ht="29" customHeight="1">
      <c r="A752" s="12" t="s">
        <v>1335</v>
      </c>
      <c r="B752" s="13" t="s">
        <v>669</v>
      </c>
      <c r="C752" s="11"/>
      <c r="D752" s="14" t="s">
        <v>1486</v>
      </c>
      <c r="E752" s="14"/>
      <c r="F752" s="15">
        <v>4287.21</v>
      </c>
      <c r="G752" s="15">
        <f t="shared" si="355"/>
        <v>4287.21</v>
      </c>
      <c r="H752" s="196">
        <v>0.87</v>
      </c>
      <c r="I752" s="15">
        <f t="shared" si="353"/>
        <v>0</v>
      </c>
      <c r="J752" s="15">
        <f t="shared" si="357"/>
        <v>3729.8726999999999</v>
      </c>
      <c r="K752" s="15">
        <f t="shared" si="356"/>
        <v>3729.8726999999999</v>
      </c>
    </row>
    <row r="753" spans="1:11" ht="28" customHeight="1">
      <c r="A753" s="12" t="s">
        <v>1336</v>
      </c>
      <c r="B753" s="13" t="s">
        <v>662</v>
      </c>
      <c r="C753" s="11"/>
      <c r="D753" s="14" t="s">
        <v>87</v>
      </c>
      <c r="E753" s="14"/>
      <c r="F753" s="15">
        <v>69.3</v>
      </c>
      <c r="G753" s="15">
        <f t="shared" si="355"/>
        <v>69.3</v>
      </c>
      <c r="H753" s="196">
        <v>1248.29</v>
      </c>
      <c r="I753" s="15">
        <f t="shared" si="353"/>
        <v>0</v>
      </c>
      <c r="J753" s="15">
        <f t="shared" si="357"/>
        <v>86506.496999999988</v>
      </c>
      <c r="K753" s="15">
        <f t="shared" si="356"/>
        <v>86506.496999999988</v>
      </c>
    </row>
    <row r="754" spans="1:11" ht="17.5" customHeight="1">
      <c r="A754" s="12" t="s">
        <v>1337</v>
      </c>
      <c r="B754" s="13" t="s">
        <v>663</v>
      </c>
      <c r="C754" s="11"/>
      <c r="D754" s="14" t="s">
        <v>124</v>
      </c>
      <c r="E754" s="14"/>
      <c r="F754" s="15">
        <v>2309.89</v>
      </c>
      <c r="G754" s="15">
        <f t="shared" si="355"/>
        <v>2309.89</v>
      </c>
      <c r="H754" s="196">
        <v>2.83</v>
      </c>
      <c r="I754" s="15">
        <f t="shared" si="353"/>
        <v>0</v>
      </c>
      <c r="J754" s="15">
        <f t="shared" si="357"/>
        <v>6536.9886999999999</v>
      </c>
      <c r="K754" s="15">
        <f t="shared" si="356"/>
        <v>6536.9886999999999</v>
      </c>
    </row>
    <row r="755" spans="1:11">
      <c r="A755" s="8" t="s">
        <v>1338</v>
      </c>
      <c r="B755" s="9" t="s">
        <v>670</v>
      </c>
      <c r="C755" s="8"/>
      <c r="D755" s="8"/>
      <c r="E755" s="8"/>
      <c r="F755" s="203"/>
      <c r="G755" s="203"/>
      <c r="H755" s="195"/>
      <c r="I755" s="195"/>
      <c r="J755" s="10">
        <f>SUM(J756:J761)</f>
        <v>105979.68789999999</v>
      </c>
      <c r="K755" s="10">
        <f>SUM(K756:K761)</f>
        <v>105979.68789999999</v>
      </c>
    </row>
    <row r="756" spans="1:11">
      <c r="A756" s="12" t="s">
        <v>1339</v>
      </c>
      <c r="B756" s="13" t="s">
        <v>659</v>
      </c>
      <c r="C756" s="11"/>
      <c r="D756" s="15" t="s">
        <v>124</v>
      </c>
      <c r="E756" s="14"/>
      <c r="F756" s="15">
        <v>2309.89</v>
      </c>
      <c r="G756" s="15">
        <f t="shared" ref="G756:G761" si="358">F756-E756</f>
        <v>2309.89</v>
      </c>
      <c r="H756" s="196">
        <v>1.75</v>
      </c>
      <c r="I756" s="15">
        <f t="shared" si="353"/>
        <v>0</v>
      </c>
      <c r="J756" s="15">
        <f>H756*F756</f>
        <v>4042.3074999999999</v>
      </c>
      <c r="K756" s="15">
        <f t="shared" ref="K756:K761" si="359">G756*H756</f>
        <v>4042.3074999999999</v>
      </c>
    </row>
    <row r="757" spans="1:11" ht="26">
      <c r="A757" s="12" t="s">
        <v>1340</v>
      </c>
      <c r="B757" s="13" t="s">
        <v>660</v>
      </c>
      <c r="C757" s="11"/>
      <c r="D757" s="15" t="s">
        <v>87</v>
      </c>
      <c r="E757" s="14"/>
      <c r="F757" s="15">
        <v>69.3</v>
      </c>
      <c r="G757" s="15">
        <f t="shared" si="358"/>
        <v>69.3</v>
      </c>
      <c r="H757" s="196">
        <v>10.32</v>
      </c>
      <c r="I757" s="15">
        <f t="shared" si="353"/>
        <v>0</v>
      </c>
      <c r="J757" s="15">
        <f t="shared" ref="J757:J761" si="360">H757*F757</f>
        <v>715.17600000000004</v>
      </c>
      <c r="K757" s="15">
        <f t="shared" si="359"/>
        <v>715.17600000000004</v>
      </c>
    </row>
    <row r="758" spans="1:11" ht="28.5" customHeight="1">
      <c r="A758" s="12" t="s">
        <v>1341</v>
      </c>
      <c r="B758" s="13" t="s">
        <v>661</v>
      </c>
      <c r="C758" s="11"/>
      <c r="D758" s="15" t="s">
        <v>1486</v>
      </c>
      <c r="E758" s="14"/>
      <c r="F758" s="15">
        <v>2078.9</v>
      </c>
      <c r="G758" s="15">
        <f t="shared" si="358"/>
        <v>2078.9</v>
      </c>
      <c r="H758" s="196">
        <v>2.14</v>
      </c>
      <c r="I758" s="15">
        <f t="shared" si="353"/>
        <v>0</v>
      </c>
      <c r="J758" s="15">
        <f t="shared" si="360"/>
        <v>4448.8460000000005</v>
      </c>
      <c r="K758" s="15">
        <f t="shared" si="359"/>
        <v>4448.8460000000005</v>
      </c>
    </row>
    <row r="759" spans="1:11" ht="32.5" customHeight="1">
      <c r="A759" s="12" t="s">
        <v>1342</v>
      </c>
      <c r="B759" s="19" t="s">
        <v>669</v>
      </c>
      <c r="C759" s="11"/>
      <c r="D759" s="192" t="s">
        <v>1486</v>
      </c>
      <c r="E759" s="193"/>
      <c r="F759" s="15">
        <v>4287.21</v>
      </c>
      <c r="G759" s="15">
        <f t="shared" si="358"/>
        <v>4287.21</v>
      </c>
      <c r="H759" s="197">
        <v>0.87</v>
      </c>
      <c r="I759" s="15">
        <f t="shared" si="353"/>
        <v>0</v>
      </c>
      <c r="J759" s="15">
        <f t="shared" si="360"/>
        <v>3729.8726999999999</v>
      </c>
      <c r="K759" s="15">
        <f t="shared" si="359"/>
        <v>3729.8726999999999</v>
      </c>
    </row>
    <row r="760" spans="1:11" ht="26.5">
      <c r="A760" s="12" t="s">
        <v>1343</v>
      </c>
      <c r="B760" s="19" t="s">
        <v>671</v>
      </c>
      <c r="C760" s="11"/>
      <c r="D760" s="15" t="s">
        <v>87</v>
      </c>
      <c r="E760" s="14"/>
      <c r="F760" s="15">
        <v>69.3</v>
      </c>
      <c r="G760" s="15">
        <f t="shared" si="358"/>
        <v>69.3</v>
      </c>
      <c r="H760" s="196">
        <v>1248.29</v>
      </c>
      <c r="I760" s="15">
        <f t="shared" si="353"/>
        <v>0</v>
      </c>
      <c r="J760" s="15">
        <f t="shared" si="360"/>
        <v>86506.496999999988</v>
      </c>
      <c r="K760" s="15">
        <f t="shared" si="359"/>
        <v>86506.496999999988</v>
      </c>
    </row>
    <row r="761" spans="1:11" ht="16.5" customHeight="1">
      <c r="A761" s="12" t="s">
        <v>1344</v>
      </c>
      <c r="B761" s="17" t="s">
        <v>672</v>
      </c>
      <c r="C761" s="11" t="s">
        <v>87</v>
      </c>
      <c r="D761" s="15" t="s">
        <v>124</v>
      </c>
      <c r="E761" s="14"/>
      <c r="F761" s="15">
        <v>2309.89</v>
      </c>
      <c r="G761" s="15">
        <f t="shared" si="358"/>
        <v>2309.89</v>
      </c>
      <c r="H761" s="196">
        <v>2.83</v>
      </c>
      <c r="I761" s="15">
        <f t="shared" si="353"/>
        <v>0</v>
      </c>
      <c r="J761" s="15">
        <f t="shared" si="360"/>
        <v>6536.9886999999999</v>
      </c>
      <c r="K761" s="15">
        <f t="shared" si="359"/>
        <v>6536.9886999999999</v>
      </c>
    </row>
    <row r="762" spans="1:11">
      <c r="A762" s="8" t="s">
        <v>1345</v>
      </c>
      <c r="B762" s="9" t="s">
        <v>107</v>
      </c>
      <c r="C762" s="8"/>
      <c r="D762" s="8"/>
      <c r="E762" s="8"/>
      <c r="F762" s="203"/>
      <c r="G762" s="203"/>
      <c r="H762" s="195"/>
      <c r="I762" s="195"/>
      <c r="J762" s="10">
        <f>SUM(J763:J765)</f>
        <v>0</v>
      </c>
      <c r="K762" s="10">
        <f>SUM(K763:K765)</f>
        <v>0</v>
      </c>
    </row>
    <row r="763" spans="1:11" ht="39">
      <c r="A763" s="12" t="s">
        <v>1346</v>
      </c>
      <c r="B763" s="13" t="s">
        <v>674</v>
      </c>
      <c r="C763" s="11" t="s">
        <v>33</v>
      </c>
      <c r="D763" s="14" t="s">
        <v>1487</v>
      </c>
      <c r="E763" s="14"/>
      <c r="F763" s="15"/>
      <c r="G763" s="15">
        <f>F763-E763</f>
        <v>0</v>
      </c>
      <c r="H763" s="196">
        <v>625.09</v>
      </c>
      <c r="I763" s="15">
        <f t="shared" si="353"/>
        <v>0</v>
      </c>
      <c r="J763" s="15">
        <f>H763*F763</f>
        <v>0</v>
      </c>
      <c r="K763" s="15">
        <f t="shared" ref="K763:K765" si="361">G763*H763</f>
        <v>0</v>
      </c>
    </row>
    <row r="764" spans="1:11" ht="17" customHeight="1">
      <c r="A764" s="12" t="s">
        <v>1347</v>
      </c>
      <c r="B764" s="194" t="s">
        <v>680</v>
      </c>
      <c r="C764" s="11" t="s">
        <v>33</v>
      </c>
      <c r="D764" s="14" t="s">
        <v>124</v>
      </c>
      <c r="E764" s="14"/>
      <c r="F764" s="15"/>
      <c r="G764" s="15">
        <f>F764-E764</f>
        <v>0</v>
      </c>
      <c r="H764" s="196">
        <v>16.260000000000002</v>
      </c>
      <c r="I764" s="15">
        <f t="shared" si="353"/>
        <v>0</v>
      </c>
      <c r="J764" s="15">
        <f t="shared" ref="J764:J765" si="362">H764*F764</f>
        <v>0</v>
      </c>
      <c r="K764" s="15">
        <f t="shared" si="361"/>
        <v>0</v>
      </c>
    </row>
    <row r="765" spans="1:11" ht="16.5" customHeight="1">
      <c r="A765" s="12" t="s">
        <v>1348</v>
      </c>
      <c r="B765" s="13" t="s">
        <v>675</v>
      </c>
      <c r="C765" s="11" t="s">
        <v>33</v>
      </c>
      <c r="D765" s="14" t="s">
        <v>124</v>
      </c>
      <c r="E765" s="14"/>
      <c r="F765" s="15"/>
      <c r="G765" s="15">
        <f>F765-E765</f>
        <v>0</v>
      </c>
      <c r="H765" s="196">
        <v>4.5599999999999996</v>
      </c>
      <c r="I765" s="15">
        <f t="shared" si="353"/>
        <v>0</v>
      </c>
      <c r="J765" s="15">
        <f t="shared" si="362"/>
        <v>0</v>
      </c>
      <c r="K765" s="15">
        <f t="shared" si="361"/>
        <v>0</v>
      </c>
    </row>
    <row r="766" spans="1:11">
      <c r="A766" s="8" t="s">
        <v>1349</v>
      </c>
      <c r="B766" s="9" t="s">
        <v>678</v>
      </c>
      <c r="C766" s="8"/>
      <c r="D766" s="8"/>
      <c r="E766" s="8"/>
      <c r="F766" s="203"/>
      <c r="G766" s="203"/>
      <c r="H766" s="195"/>
      <c r="I766" s="195"/>
      <c r="J766" s="10">
        <f>SUM(J767:J768)</f>
        <v>4042.3074999999999</v>
      </c>
      <c r="K766" s="10">
        <f>SUM(K767:K768)</f>
        <v>4042.3074999999999</v>
      </c>
    </row>
    <row r="767" spans="1:11">
      <c r="A767" s="12" t="s">
        <v>1350</v>
      </c>
      <c r="B767" s="13" t="s">
        <v>659</v>
      </c>
      <c r="C767" s="11" t="s">
        <v>11</v>
      </c>
      <c r="D767" s="14" t="s">
        <v>124</v>
      </c>
      <c r="E767" s="14"/>
      <c r="F767" s="15">
        <v>2309.89</v>
      </c>
      <c r="G767" s="15">
        <f>F767-E767</f>
        <v>2309.89</v>
      </c>
      <c r="H767" s="196">
        <v>1.75</v>
      </c>
      <c r="I767" s="15">
        <f t="shared" si="353"/>
        <v>0</v>
      </c>
      <c r="J767" s="15">
        <f>H767*F767</f>
        <v>4042.3074999999999</v>
      </c>
      <c r="K767" s="15">
        <f t="shared" ref="K767:K768" si="363">G767*H767</f>
        <v>4042.3074999999999</v>
      </c>
    </row>
    <row r="768" spans="1:11">
      <c r="A768" s="12" t="s">
        <v>1351</v>
      </c>
      <c r="B768" s="13" t="s">
        <v>679</v>
      </c>
      <c r="C768" s="11" t="s">
        <v>11</v>
      </c>
      <c r="D768" s="14" t="s">
        <v>1487</v>
      </c>
      <c r="E768" s="14"/>
      <c r="F768" s="15"/>
      <c r="G768" s="15">
        <f>F768-E768</f>
        <v>0</v>
      </c>
      <c r="H768" s="196">
        <v>92.34</v>
      </c>
      <c r="I768" s="15">
        <f t="shared" si="353"/>
        <v>0</v>
      </c>
      <c r="J768" s="15">
        <f>H768*F768</f>
        <v>0</v>
      </c>
      <c r="K768" s="15">
        <f t="shared" si="363"/>
        <v>0</v>
      </c>
    </row>
    <row r="769" spans="1:11">
      <c r="A769" s="184">
        <v>29</v>
      </c>
      <c r="B769" s="191" t="s">
        <v>1482</v>
      </c>
      <c r="C769" s="184"/>
      <c r="D769" s="184"/>
      <c r="E769" s="184"/>
      <c r="F769" s="202"/>
      <c r="G769" s="202"/>
      <c r="H769" s="198"/>
      <c r="I769" s="185">
        <f>SUM(I770,I773,I775,I782,I789,I793)</f>
        <v>228655.52000000002</v>
      </c>
      <c r="J769" s="185">
        <f>SUM(J770,J773,J775,J782,J789,J793)</f>
        <v>228655.52000000002</v>
      </c>
      <c r="K769" s="185">
        <f>SUM(K770,K773,K775,K782,K789,K793)</f>
        <v>0</v>
      </c>
    </row>
    <row r="770" spans="1:11">
      <c r="A770" s="8" t="s">
        <v>1352</v>
      </c>
      <c r="B770" s="9" t="s">
        <v>8</v>
      </c>
      <c r="C770" s="8"/>
      <c r="D770" s="8"/>
      <c r="E770" s="8"/>
      <c r="F770" s="203"/>
      <c r="G770" s="203"/>
      <c r="H770" s="195"/>
      <c r="I770" s="10">
        <f>SUM(I771:I772)</f>
        <v>18331.669300000001</v>
      </c>
      <c r="J770" s="10">
        <f>SUM(J771:J772)</f>
        <v>18331.669300000001</v>
      </c>
      <c r="K770" s="10">
        <f>SUM(K771:K772)</f>
        <v>0</v>
      </c>
    </row>
    <row r="771" spans="1:11" ht="26">
      <c r="A771" s="12" t="s">
        <v>1353</v>
      </c>
      <c r="B771" s="13" t="s">
        <v>653</v>
      </c>
      <c r="C771" s="11" t="s">
        <v>13</v>
      </c>
      <c r="D771" s="14" t="s">
        <v>124</v>
      </c>
      <c r="E771" s="14">
        <f>F771</f>
        <v>2244.83</v>
      </c>
      <c r="F771" s="15">
        <v>2244.83</v>
      </c>
      <c r="G771" s="15">
        <f>F771-E771</f>
        <v>0</v>
      </c>
      <c r="H771" s="196">
        <v>0.36</v>
      </c>
      <c r="I771" s="15">
        <f>H771*E771</f>
        <v>808.13879999999995</v>
      </c>
      <c r="J771" s="15">
        <f>H771*F771</f>
        <v>808.13879999999995</v>
      </c>
      <c r="K771" s="15">
        <f t="shared" ref="K771:K772" si="364">G771*H771</f>
        <v>0</v>
      </c>
    </row>
    <row r="772" spans="1:11" ht="52">
      <c r="A772" s="12" t="s">
        <v>1355</v>
      </c>
      <c r="B772" s="13" t="s">
        <v>650</v>
      </c>
      <c r="C772" s="11" t="s">
        <v>11</v>
      </c>
      <c r="D772" s="14" t="s">
        <v>124</v>
      </c>
      <c r="E772" s="14">
        <f>F772</f>
        <v>284.14999999999998</v>
      </c>
      <c r="F772" s="15">
        <v>284.14999999999998</v>
      </c>
      <c r="G772" s="15">
        <f>F772-E772</f>
        <v>0</v>
      </c>
      <c r="H772" s="196">
        <v>61.67</v>
      </c>
      <c r="I772" s="15">
        <f>H772*E772</f>
        <v>17523.530500000001</v>
      </c>
      <c r="J772" s="15">
        <f>H772*F772</f>
        <v>17523.530500000001</v>
      </c>
      <c r="K772" s="15">
        <f t="shared" si="364"/>
        <v>0</v>
      </c>
    </row>
    <row r="773" spans="1:11">
      <c r="A773" s="8" t="s">
        <v>1354</v>
      </c>
      <c r="B773" s="9" t="s">
        <v>655</v>
      </c>
      <c r="C773" s="8"/>
      <c r="D773" s="8"/>
      <c r="E773" s="8"/>
      <c r="F773" s="203"/>
      <c r="G773" s="203"/>
      <c r="H773" s="195"/>
      <c r="I773" s="10">
        <f>SUM(I774:I774)</f>
        <v>853.03539999999998</v>
      </c>
      <c r="J773" s="10">
        <f>SUM(J774:J774)</f>
        <v>853.03539999999998</v>
      </c>
      <c r="K773" s="10">
        <f>SUM(K774:K774)</f>
        <v>0</v>
      </c>
    </row>
    <row r="774" spans="1:11" ht="26">
      <c r="A774" s="12" t="s">
        <v>1356</v>
      </c>
      <c r="B774" s="13" t="s">
        <v>656</v>
      </c>
      <c r="C774" s="11"/>
      <c r="D774" s="14" t="s">
        <v>124</v>
      </c>
      <c r="E774" s="14">
        <f>F774</f>
        <v>2244.83</v>
      </c>
      <c r="F774" s="15">
        <v>2244.83</v>
      </c>
      <c r="G774" s="15">
        <f>F774-E774</f>
        <v>0</v>
      </c>
      <c r="H774" s="196">
        <v>0.38</v>
      </c>
      <c r="I774" s="15">
        <f t="shared" ref="I774:I795" si="365">H774*E774</f>
        <v>853.03539999999998</v>
      </c>
      <c r="J774" s="15">
        <f>H774*F774</f>
        <v>853.03539999999998</v>
      </c>
      <c r="K774" s="15">
        <f t="shared" ref="K774" si="366">G774*H774</f>
        <v>0</v>
      </c>
    </row>
    <row r="775" spans="1:11">
      <c r="A775" s="8" t="s">
        <v>1357</v>
      </c>
      <c r="B775" s="9" t="s">
        <v>658</v>
      </c>
      <c r="C775" s="8"/>
      <c r="D775" s="8"/>
      <c r="E775" s="8"/>
      <c r="F775" s="203"/>
      <c r="G775" s="203"/>
      <c r="H775" s="195"/>
      <c r="I775" s="10">
        <f>SUM(I776:I781)</f>
        <v>102771.1814</v>
      </c>
      <c r="J775" s="10">
        <f>SUM(J776:J781)</f>
        <v>102771.1814</v>
      </c>
      <c r="K775" s="10">
        <f>SUM(K776:K781)</f>
        <v>0</v>
      </c>
    </row>
    <row r="776" spans="1:11">
      <c r="A776" s="12" t="s">
        <v>1358</v>
      </c>
      <c r="B776" s="13" t="s">
        <v>659</v>
      </c>
      <c r="C776" s="11"/>
      <c r="D776" s="14" t="s">
        <v>124</v>
      </c>
      <c r="E776" s="14">
        <f>F776</f>
        <v>2244.83</v>
      </c>
      <c r="F776" s="15">
        <v>2244.83</v>
      </c>
      <c r="G776" s="15">
        <f t="shared" ref="G776:G781" si="367">F776-E776</f>
        <v>0</v>
      </c>
      <c r="H776" s="196">
        <v>1.75</v>
      </c>
      <c r="I776" s="15">
        <f t="shared" si="365"/>
        <v>3928.4524999999999</v>
      </c>
      <c r="J776" s="15">
        <f>H776*F776</f>
        <v>3928.4524999999999</v>
      </c>
      <c r="K776" s="15">
        <f t="shared" ref="K776:K781" si="368">G776*H776</f>
        <v>0</v>
      </c>
    </row>
    <row r="777" spans="1:11" ht="26">
      <c r="A777" s="12" t="s">
        <v>1359</v>
      </c>
      <c r="B777" s="13" t="s">
        <v>660</v>
      </c>
      <c r="C777" s="11"/>
      <c r="D777" s="14" t="s">
        <v>87</v>
      </c>
      <c r="E777" s="14">
        <f t="shared" ref="E777:E781" si="369">F777</f>
        <v>67.34</v>
      </c>
      <c r="F777" s="15">
        <v>67.34</v>
      </c>
      <c r="G777" s="15">
        <f t="shared" si="367"/>
        <v>0</v>
      </c>
      <c r="H777" s="196">
        <v>10.32</v>
      </c>
      <c r="I777" s="15">
        <f t="shared" si="365"/>
        <v>694.94880000000001</v>
      </c>
      <c r="J777" s="15">
        <f t="shared" ref="J777:J781" si="370">H777*F777</f>
        <v>694.94880000000001</v>
      </c>
      <c r="K777" s="15">
        <f t="shared" si="368"/>
        <v>0</v>
      </c>
    </row>
    <row r="778" spans="1:11" ht="28.5" customHeight="1">
      <c r="A778" s="12" t="s">
        <v>1360</v>
      </c>
      <c r="B778" s="13" t="s">
        <v>661</v>
      </c>
      <c r="C778" s="11"/>
      <c r="D778" s="14" t="s">
        <v>1486</v>
      </c>
      <c r="E778" s="14">
        <f t="shared" si="369"/>
        <v>2020.35</v>
      </c>
      <c r="F778" s="15">
        <v>2020.35</v>
      </c>
      <c r="G778" s="15">
        <f t="shared" si="367"/>
        <v>0</v>
      </c>
      <c r="H778" s="196">
        <v>2.14</v>
      </c>
      <c r="I778" s="15">
        <f t="shared" si="365"/>
        <v>4323.549</v>
      </c>
      <c r="J778" s="15">
        <f t="shared" si="370"/>
        <v>4323.549</v>
      </c>
      <c r="K778" s="15">
        <f t="shared" si="368"/>
        <v>0</v>
      </c>
    </row>
    <row r="779" spans="1:11" ht="29" customHeight="1">
      <c r="A779" s="12" t="s">
        <v>1361</v>
      </c>
      <c r="B779" s="13" t="s">
        <v>669</v>
      </c>
      <c r="C779" s="11"/>
      <c r="D779" s="14" t="s">
        <v>1486</v>
      </c>
      <c r="E779" s="14">
        <f t="shared" si="369"/>
        <v>3921.28</v>
      </c>
      <c r="F779" s="15">
        <v>3921.28</v>
      </c>
      <c r="G779" s="15">
        <f t="shared" si="367"/>
        <v>0</v>
      </c>
      <c r="H779" s="196">
        <v>0.87</v>
      </c>
      <c r="I779" s="15">
        <f t="shared" si="365"/>
        <v>3411.5136000000002</v>
      </c>
      <c r="J779" s="15">
        <f t="shared" si="370"/>
        <v>3411.5136000000002</v>
      </c>
      <c r="K779" s="15">
        <f t="shared" si="368"/>
        <v>0</v>
      </c>
    </row>
    <row r="780" spans="1:11" ht="28" customHeight="1">
      <c r="A780" s="12" t="s">
        <v>1362</v>
      </c>
      <c r="B780" s="13" t="s">
        <v>662</v>
      </c>
      <c r="C780" s="11"/>
      <c r="D780" s="14" t="s">
        <v>87</v>
      </c>
      <c r="E780" s="14">
        <f t="shared" si="369"/>
        <v>67.34</v>
      </c>
      <c r="F780" s="15">
        <v>67.34</v>
      </c>
      <c r="G780" s="15">
        <f t="shared" si="367"/>
        <v>0</v>
      </c>
      <c r="H780" s="196">
        <v>1248.29</v>
      </c>
      <c r="I780" s="15">
        <f t="shared" si="365"/>
        <v>84059.848599999998</v>
      </c>
      <c r="J780" s="15">
        <f t="shared" si="370"/>
        <v>84059.848599999998</v>
      </c>
      <c r="K780" s="15">
        <f t="shared" si="368"/>
        <v>0</v>
      </c>
    </row>
    <row r="781" spans="1:11" ht="17.5" customHeight="1">
      <c r="A781" s="12" t="s">
        <v>1363</v>
      </c>
      <c r="B781" s="13" t="s">
        <v>663</v>
      </c>
      <c r="C781" s="11"/>
      <c r="D781" s="14" t="s">
        <v>124</v>
      </c>
      <c r="E781" s="14">
        <f t="shared" si="369"/>
        <v>2244.83</v>
      </c>
      <c r="F781" s="15">
        <v>2244.83</v>
      </c>
      <c r="G781" s="15">
        <f t="shared" si="367"/>
        <v>0</v>
      </c>
      <c r="H781" s="196">
        <v>2.83</v>
      </c>
      <c r="I781" s="15">
        <f t="shared" si="365"/>
        <v>6352.8689000000004</v>
      </c>
      <c r="J781" s="15">
        <f t="shared" si="370"/>
        <v>6352.8689000000004</v>
      </c>
      <c r="K781" s="15">
        <f t="shared" si="368"/>
        <v>0</v>
      </c>
    </row>
    <row r="782" spans="1:11">
      <c r="A782" s="8" t="s">
        <v>1364</v>
      </c>
      <c r="B782" s="9" t="s">
        <v>670</v>
      </c>
      <c r="C782" s="8"/>
      <c r="D782" s="8"/>
      <c r="E782" s="8"/>
      <c r="F782" s="203"/>
      <c r="G782" s="203"/>
      <c r="H782" s="195"/>
      <c r="I782" s="10">
        <f>SUM(I783:I788)</f>
        <v>102771.1814</v>
      </c>
      <c r="J782" s="10">
        <f>SUM(J783:J788)</f>
        <v>102771.1814</v>
      </c>
      <c r="K782" s="10">
        <f>SUM(K783:K788)</f>
        <v>0</v>
      </c>
    </row>
    <row r="783" spans="1:11">
      <c r="A783" s="12" t="s">
        <v>1365</v>
      </c>
      <c r="B783" s="13" t="s">
        <v>659</v>
      </c>
      <c r="C783" s="11"/>
      <c r="D783" s="15" t="s">
        <v>124</v>
      </c>
      <c r="E783" s="14">
        <f>F783</f>
        <v>2244.83</v>
      </c>
      <c r="F783" s="15">
        <v>2244.83</v>
      </c>
      <c r="G783" s="15">
        <f t="shared" ref="G783:G788" si="371">F783-E783</f>
        <v>0</v>
      </c>
      <c r="H783" s="196">
        <v>1.75</v>
      </c>
      <c r="I783" s="15">
        <f t="shared" si="365"/>
        <v>3928.4524999999999</v>
      </c>
      <c r="J783" s="15">
        <f>H783*F783</f>
        <v>3928.4524999999999</v>
      </c>
      <c r="K783" s="15">
        <f t="shared" ref="K783:K788" si="372">G783*H783</f>
        <v>0</v>
      </c>
    </row>
    <row r="784" spans="1:11" ht="26">
      <c r="A784" s="12" t="s">
        <v>1366</v>
      </c>
      <c r="B784" s="13" t="s">
        <v>660</v>
      </c>
      <c r="C784" s="11"/>
      <c r="D784" s="15" t="s">
        <v>87</v>
      </c>
      <c r="E784" s="14">
        <f t="shared" ref="E784:E788" si="373">F784</f>
        <v>67.34</v>
      </c>
      <c r="F784" s="199">
        <v>67.34</v>
      </c>
      <c r="G784" s="15">
        <f t="shared" si="371"/>
        <v>0</v>
      </c>
      <c r="H784" s="196">
        <v>10.32</v>
      </c>
      <c r="I784" s="15">
        <f t="shared" si="365"/>
        <v>694.94880000000001</v>
      </c>
      <c r="J784" s="15">
        <f t="shared" ref="J784:J788" si="374">H784*F784</f>
        <v>694.94880000000001</v>
      </c>
      <c r="K784" s="15">
        <f t="shared" si="372"/>
        <v>0</v>
      </c>
    </row>
    <row r="785" spans="1:11" ht="28.5" customHeight="1">
      <c r="A785" s="12" t="s">
        <v>1367</v>
      </c>
      <c r="B785" s="13" t="s">
        <v>661</v>
      </c>
      <c r="C785" s="11"/>
      <c r="D785" s="15" t="s">
        <v>1486</v>
      </c>
      <c r="E785" s="14">
        <f t="shared" si="373"/>
        <v>2020.35</v>
      </c>
      <c r="F785" s="199">
        <v>2020.35</v>
      </c>
      <c r="G785" s="15">
        <f t="shared" si="371"/>
        <v>0</v>
      </c>
      <c r="H785" s="196">
        <v>2.14</v>
      </c>
      <c r="I785" s="15">
        <f t="shared" si="365"/>
        <v>4323.549</v>
      </c>
      <c r="J785" s="15">
        <f t="shared" si="374"/>
        <v>4323.549</v>
      </c>
      <c r="K785" s="15">
        <f t="shared" si="372"/>
        <v>0</v>
      </c>
    </row>
    <row r="786" spans="1:11" ht="32.5" customHeight="1">
      <c r="A786" s="12" t="s">
        <v>1368</v>
      </c>
      <c r="B786" s="19" t="s">
        <v>669</v>
      </c>
      <c r="C786" s="11"/>
      <c r="D786" s="192" t="s">
        <v>1486</v>
      </c>
      <c r="E786" s="14">
        <f t="shared" si="373"/>
        <v>3921.28</v>
      </c>
      <c r="F786" s="204">
        <v>3921.28</v>
      </c>
      <c r="G786" s="15">
        <f t="shared" si="371"/>
        <v>0</v>
      </c>
      <c r="H786" s="197">
        <v>0.87</v>
      </c>
      <c r="I786" s="15">
        <f t="shared" si="365"/>
        <v>3411.5136000000002</v>
      </c>
      <c r="J786" s="15">
        <f t="shared" si="374"/>
        <v>3411.5136000000002</v>
      </c>
      <c r="K786" s="15">
        <f t="shared" si="372"/>
        <v>0</v>
      </c>
    </row>
    <row r="787" spans="1:11" ht="26.5">
      <c r="A787" s="12" t="s">
        <v>1369</v>
      </c>
      <c r="B787" s="19" t="s">
        <v>671</v>
      </c>
      <c r="C787" s="11"/>
      <c r="D787" s="15" t="s">
        <v>87</v>
      </c>
      <c r="E787" s="14">
        <f t="shared" si="373"/>
        <v>67.34</v>
      </c>
      <c r="F787" s="199">
        <v>67.34</v>
      </c>
      <c r="G787" s="15">
        <f t="shared" si="371"/>
        <v>0</v>
      </c>
      <c r="H787" s="196">
        <v>1248.29</v>
      </c>
      <c r="I787" s="15">
        <f t="shared" si="365"/>
        <v>84059.848599999998</v>
      </c>
      <c r="J787" s="15">
        <f t="shared" si="374"/>
        <v>84059.848599999998</v>
      </c>
      <c r="K787" s="15">
        <f t="shared" si="372"/>
        <v>0</v>
      </c>
    </row>
    <row r="788" spans="1:11" ht="16.5" customHeight="1">
      <c r="A788" s="12" t="s">
        <v>1370</v>
      </c>
      <c r="B788" s="17" t="s">
        <v>672</v>
      </c>
      <c r="C788" s="11" t="s">
        <v>87</v>
      </c>
      <c r="D788" s="15" t="s">
        <v>124</v>
      </c>
      <c r="E788" s="14">
        <f t="shared" si="373"/>
        <v>2244.83</v>
      </c>
      <c r="F788" s="199">
        <v>2244.83</v>
      </c>
      <c r="G788" s="15">
        <f t="shared" si="371"/>
        <v>0</v>
      </c>
      <c r="H788" s="196">
        <v>2.83</v>
      </c>
      <c r="I788" s="15">
        <f t="shared" si="365"/>
        <v>6352.8689000000004</v>
      </c>
      <c r="J788" s="15">
        <f t="shared" si="374"/>
        <v>6352.8689000000004</v>
      </c>
      <c r="K788" s="15">
        <f t="shared" si="372"/>
        <v>0</v>
      </c>
    </row>
    <row r="789" spans="1:11">
      <c r="A789" s="8" t="s">
        <v>1371</v>
      </c>
      <c r="B789" s="9" t="s">
        <v>107</v>
      </c>
      <c r="C789" s="8"/>
      <c r="D789" s="8"/>
      <c r="E789" s="8"/>
      <c r="F789" s="203"/>
      <c r="G789" s="203"/>
      <c r="H789" s="195"/>
      <c r="I789" s="10">
        <f>SUM(I790:I792)</f>
        <v>0</v>
      </c>
      <c r="J789" s="10">
        <f>SUM(J790:J792)</f>
        <v>0</v>
      </c>
      <c r="K789" s="10">
        <f>SUM(K790:K792)</f>
        <v>0</v>
      </c>
    </row>
    <row r="790" spans="1:11" ht="39">
      <c r="A790" s="12" t="s">
        <v>1372</v>
      </c>
      <c r="B790" s="13" t="s">
        <v>674</v>
      </c>
      <c r="C790" s="11" t="s">
        <v>33</v>
      </c>
      <c r="D790" s="14" t="s">
        <v>1487</v>
      </c>
      <c r="E790" s="14"/>
      <c r="F790" s="15"/>
      <c r="G790" s="15">
        <f>F790-E790</f>
        <v>0</v>
      </c>
      <c r="H790" s="196">
        <v>625.09</v>
      </c>
      <c r="I790" s="15">
        <f t="shared" si="365"/>
        <v>0</v>
      </c>
      <c r="J790" s="15">
        <f>H790*F790</f>
        <v>0</v>
      </c>
      <c r="K790" s="15">
        <f t="shared" ref="K790:K792" si="375">G790*H790</f>
        <v>0</v>
      </c>
    </row>
    <row r="791" spans="1:11" ht="17" customHeight="1">
      <c r="A791" s="12" t="s">
        <v>1373</v>
      </c>
      <c r="B791" s="194" t="s">
        <v>680</v>
      </c>
      <c r="C791" s="11" t="s">
        <v>33</v>
      </c>
      <c r="D791" s="14" t="s">
        <v>124</v>
      </c>
      <c r="E791" s="14"/>
      <c r="F791" s="15"/>
      <c r="G791" s="15">
        <f>F791-E791</f>
        <v>0</v>
      </c>
      <c r="H791" s="196">
        <v>16.260000000000002</v>
      </c>
      <c r="I791" s="15">
        <f t="shared" si="365"/>
        <v>0</v>
      </c>
      <c r="J791" s="15">
        <f t="shared" ref="J791:J792" si="376">H791*F791</f>
        <v>0</v>
      </c>
      <c r="K791" s="15">
        <f t="shared" si="375"/>
        <v>0</v>
      </c>
    </row>
    <row r="792" spans="1:11" ht="16.5" customHeight="1">
      <c r="A792" s="12" t="s">
        <v>1374</v>
      </c>
      <c r="B792" s="13" t="s">
        <v>675</v>
      </c>
      <c r="C792" s="11" t="s">
        <v>33</v>
      </c>
      <c r="D792" s="14" t="s">
        <v>124</v>
      </c>
      <c r="E792" s="14"/>
      <c r="F792" s="15"/>
      <c r="G792" s="15">
        <f>F792-E792</f>
        <v>0</v>
      </c>
      <c r="H792" s="196">
        <v>4.5599999999999996</v>
      </c>
      <c r="I792" s="15">
        <f t="shared" si="365"/>
        <v>0</v>
      </c>
      <c r="J792" s="15">
        <f t="shared" si="376"/>
        <v>0</v>
      </c>
      <c r="K792" s="15">
        <f t="shared" si="375"/>
        <v>0</v>
      </c>
    </row>
    <row r="793" spans="1:11">
      <c r="A793" s="8" t="s">
        <v>1375</v>
      </c>
      <c r="B793" s="9" t="s">
        <v>678</v>
      </c>
      <c r="C793" s="8"/>
      <c r="D793" s="8"/>
      <c r="E793" s="8"/>
      <c r="F793" s="203"/>
      <c r="G793" s="203"/>
      <c r="H793" s="195"/>
      <c r="I793" s="10">
        <f>SUM(I794:I795)</f>
        <v>3928.4524999999999</v>
      </c>
      <c r="J793" s="10">
        <f>SUM(J794:J795)</f>
        <v>3928.4524999999999</v>
      </c>
      <c r="K793" s="10">
        <f>SUM(K794:K795)</f>
        <v>0</v>
      </c>
    </row>
    <row r="794" spans="1:11">
      <c r="A794" s="12" t="s">
        <v>1376</v>
      </c>
      <c r="B794" s="13" t="s">
        <v>659</v>
      </c>
      <c r="C794" s="11" t="s">
        <v>11</v>
      </c>
      <c r="D794" s="14" t="s">
        <v>124</v>
      </c>
      <c r="E794" s="14">
        <f>F794</f>
        <v>2244.83</v>
      </c>
      <c r="F794" s="15">
        <v>2244.83</v>
      </c>
      <c r="G794" s="15">
        <f>F794-E794</f>
        <v>0</v>
      </c>
      <c r="H794" s="196">
        <v>1.75</v>
      </c>
      <c r="I794" s="15">
        <f t="shared" si="365"/>
        <v>3928.4524999999999</v>
      </c>
      <c r="J794" s="15">
        <f>H794*F794</f>
        <v>3928.4524999999999</v>
      </c>
      <c r="K794" s="15">
        <f t="shared" ref="K794:K795" si="377">G794*H794</f>
        <v>0</v>
      </c>
    </row>
    <row r="795" spans="1:11">
      <c r="A795" s="12" t="s">
        <v>1377</v>
      </c>
      <c r="B795" s="13" t="s">
        <v>679</v>
      </c>
      <c r="C795" s="11" t="s">
        <v>11</v>
      </c>
      <c r="D795" s="14" t="s">
        <v>1487</v>
      </c>
      <c r="E795" s="14"/>
      <c r="F795" s="15"/>
      <c r="G795" s="15">
        <f>F795-E795</f>
        <v>0</v>
      </c>
      <c r="H795" s="196">
        <v>92.34</v>
      </c>
      <c r="I795" s="15">
        <f t="shared" si="365"/>
        <v>0</v>
      </c>
      <c r="J795" s="15">
        <f>H795*F795</f>
        <v>0</v>
      </c>
      <c r="K795" s="15">
        <f t="shared" si="377"/>
        <v>0</v>
      </c>
    </row>
    <row r="796" spans="1:11">
      <c r="A796" s="184">
        <v>30</v>
      </c>
      <c r="B796" s="191" t="s">
        <v>1483</v>
      </c>
      <c r="C796" s="184"/>
      <c r="D796" s="184"/>
      <c r="E796" s="184"/>
      <c r="F796" s="202"/>
      <c r="G796" s="202"/>
      <c r="H796" s="198"/>
      <c r="I796" s="185">
        <f>SUM(I797,I800,I802,I809,I816,I820)</f>
        <v>39065.7336</v>
      </c>
      <c r="J796" s="185">
        <f>SUM(J797,J800,J802,J809,J816,J820)</f>
        <v>39065.7336</v>
      </c>
      <c r="K796" s="185">
        <f>SUM(K797,K800,K802,K809,K816,K820)</f>
        <v>0</v>
      </c>
    </row>
    <row r="797" spans="1:11">
      <c r="A797" s="8" t="s">
        <v>1378</v>
      </c>
      <c r="B797" s="9" t="s">
        <v>8</v>
      </c>
      <c r="C797" s="8"/>
      <c r="D797" s="8"/>
      <c r="E797" s="8"/>
      <c r="F797" s="203"/>
      <c r="G797" s="203"/>
      <c r="H797" s="195"/>
      <c r="I797" s="10">
        <f>SUM(I798:I799)</f>
        <v>2804.4587000000001</v>
      </c>
      <c r="J797" s="10">
        <f>SUM(J798:J799)</f>
        <v>2804.4587000000001</v>
      </c>
      <c r="K797" s="10">
        <f>SUM(K798:K799)</f>
        <v>0</v>
      </c>
    </row>
    <row r="798" spans="1:11" ht="26">
      <c r="A798" s="12" t="s">
        <v>1379</v>
      </c>
      <c r="B798" s="13" t="s">
        <v>653</v>
      </c>
      <c r="C798" s="11" t="s">
        <v>13</v>
      </c>
      <c r="D798" s="14" t="s">
        <v>124</v>
      </c>
      <c r="E798" s="14">
        <f>F798</f>
        <v>388.05</v>
      </c>
      <c r="F798" s="15">
        <v>388.05</v>
      </c>
      <c r="G798" s="15">
        <f>F798-E798</f>
        <v>0</v>
      </c>
      <c r="H798" s="196">
        <v>0.36</v>
      </c>
      <c r="I798" s="15">
        <f>H798*E798</f>
        <v>139.69800000000001</v>
      </c>
      <c r="J798" s="15">
        <f>H798*F798</f>
        <v>139.69800000000001</v>
      </c>
      <c r="K798" s="15">
        <f t="shared" ref="K798:K799" si="378">G798*H798</f>
        <v>0</v>
      </c>
    </row>
    <row r="799" spans="1:11" ht="52">
      <c r="A799" s="12" t="s">
        <v>1380</v>
      </c>
      <c r="B799" s="13" t="s">
        <v>650</v>
      </c>
      <c r="C799" s="11" t="s">
        <v>11</v>
      </c>
      <c r="D799" s="14" t="s">
        <v>124</v>
      </c>
      <c r="E799" s="14">
        <f>F799</f>
        <v>43.21</v>
      </c>
      <c r="F799" s="15">
        <v>43.21</v>
      </c>
      <c r="G799" s="15">
        <f>F799-E799</f>
        <v>0</v>
      </c>
      <c r="H799" s="196">
        <v>61.67</v>
      </c>
      <c r="I799" s="15">
        <f>H799*E799</f>
        <v>2664.7607000000003</v>
      </c>
      <c r="J799" s="15">
        <f>H799*F799</f>
        <v>2664.7607000000003</v>
      </c>
      <c r="K799" s="15">
        <f t="shared" si="378"/>
        <v>0</v>
      </c>
    </row>
    <row r="800" spans="1:11">
      <c r="A800" s="8" t="s">
        <v>1381</v>
      </c>
      <c r="B800" s="9" t="s">
        <v>655</v>
      </c>
      <c r="C800" s="8"/>
      <c r="D800" s="8"/>
      <c r="E800" s="8"/>
      <c r="F800" s="203"/>
      <c r="G800" s="203"/>
      <c r="H800" s="195"/>
      <c r="I800" s="10">
        <f>SUM(I801:I801)</f>
        <v>147.459</v>
      </c>
      <c r="J800" s="10">
        <f>SUM(J801:J801)</f>
        <v>147.459</v>
      </c>
      <c r="K800" s="10">
        <f>SUM(K801:K801)</f>
        <v>0</v>
      </c>
    </row>
    <row r="801" spans="1:11" ht="26">
      <c r="A801" s="12" t="s">
        <v>1382</v>
      </c>
      <c r="B801" s="13" t="s">
        <v>656</v>
      </c>
      <c r="C801" s="11"/>
      <c r="D801" s="14" t="s">
        <v>124</v>
      </c>
      <c r="E801" s="14">
        <f>F801</f>
        <v>388.05</v>
      </c>
      <c r="F801" s="15">
        <v>388.05</v>
      </c>
      <c r="G801" s="15">
        <f>F801-E801</f>
        <v>0</v>
      </c>
      <c r="H801" s="196">
        <v>0.38</v>
      </c>
      <c r="I801" s="15">
        <f t="shared" ref="I801:I822" si="379">H801*E801</f>
        <v>147.459</v>
      </c>
      <c r="J801" s="15">
        <f>H801*F801</f>
        <v>147.459</v>
      </c>
      <c r="K801" s="15">
        <f t="shared" ref="K801" si="380">G801*H801</f>
        <v>0</v>
      </c>
    </row>
    <row r="802" spans="1:11">
      <c r="A802" s="8" t="s">
        <v>1383</v>
      </c>
      <c r="B802" s="9" t="s">
        <v>658</v>
      </c>
      <c r="C802" s="8"/>
      <c r="D802" s="8"/>
      <c r="E802" s="8"/>
      <c r="F802" s="203"/>
      <c r="G802" s="203"/>
      <c r="H802" s="195"/>
      <c r="I802" s="10">
        <f>SUM(I803:I808)</f>
        <v>17717.3642</v>
      </c>
      <c r="J802" s="10">
        <f>SUM(J803:J808)</f>
        <v>17717.3642</v>
      </c>
      <c r="K802" s="10">
        <f>SUM(K803:K808)</f>
        <v>0</v>
      </c>
    </row>
    <row r="803" spans="1:11">
      <c r="A803" s="12" t="s">
        <v>1384</v>
      </c>
      <c r="B803" s="13" t="s">
        <v>659</v>
      </c>
      <c r="C803" s="11"/>
      <c r="D803" s="14" t="s">
        <v>124</v>
      </c>
      <c r="E803" s="14">
        <f>F803</f>
        <v>388.05</v>
      </c>
      <c r="F803" s="15">
        <v>388.05</v>
      </c>
      <c r="G803" s="15">
        <f t="shared" ref="G803:G808" si="381">F803-E803</f>
        <v>0</v>
      </c>
      <c r="H803" s="196">
        <v>1.75</v>
      </c>
      <c r="I803" s="15">
        <f t="shared" si="379"/>
        <v>679.08749999999998</v>
      </c>
      <c r="J803" s="15">
        <f>H803*F803</f>
        <v>679.08749999999998</v>
      </c>
      <c r="K803" s="15">
        <f t="shared" ref="K803:K808" si="382">G803*H803</f>
        <v>0</v>
      </c>
    </row>
    <row r="804" spans="1:11" ht="26">
      <c r="A804" s="12" t="s">
        <v>1385</v>
      </c>
      <c r="B804" s="13" t="s">
        <v>660</v>
      </c>
      <c r="C804" s="11"/>
      <c r="D804" s="14" t="s">
        <v>87</v>
      </c>
      <c r="E804" s="14">
        <f t="shared" ref="E804:E808" si="383">F804</f>
        <v>11.64</v>
      </c>
      <c r="F804" s="15">
        <v>11.64</v>
      </c>
      <c r="G804" s="15">
        <f t="shared" si="381"/>
        <v>0</v>
      </c>
      <c r="H804" s="196">
        <v>10.32</v>
      </c>
      <c r="I804" s="15">
        <f t="shared" si="379"/>
        <v>120.12480000000001</v>
      </c>
      <c r="J804" s="15">
        <f t="shared" ref="J804:J808" si="384">H804*F804</f>
        <v>120.12480000000001</v>
      </c>
      <c r="K804" s="15">
        <f t="shared" si="382"/>
        <v>0</v>
      </c>
    </row>
    <row r="805" spans="1:11" ht="28.5" customHeight="1">
      <c r="A805" s="12" t="s">
        <v>1386</v>
      </c>
      <c r="B805" s="13" t="s">
        <v>661</v>
      </c>
      <c r="C805" s="11"/>
      <c r="D805" s="14" t="s">
        <v>1486</v>
      </c>
      <c r="E805" s="14">
        <f t="shared" si="383"/>
        <v>349.25</v>
      </c>
      <c r="F805" s="15">
        <v>349.25</v>
      </c>
      <c r="G805" s="15">
        <f t="shared" si="381"/>
        <v>0</v>
      </c>
      <c r="H805" s="196">
        <v>2.14</v>
      </c>
      <c r="I805" s="15">
        <f t="shared" si="379"/>
        <v>747.3950000000001</v>
      </c>
      <c r="J805" s="15">
        <f t="shared" si="384"/>
        <v>747.3950000000001</v>
      </c>
      <c r="K805" s="15">
        <f t="shared" si="382"/>
        <v>0</v>
      </c>
    </row>
    <row r="806" spans="1:11" ht="29" customHeight="1">
      <c r="A806" s="12" t="s">
        <v>1387</v>
      </c>
      <c r="B806" s="13" t="s">
        <v>669</v>
      </c>
      <c r="C806" s="11"/>
      <c r="D806" s="14" t="s">
        <v>1486</v>
      </c>
      <c r="E806" s="14">
        <f t="shared" si="383"/>
        <v>623.54</v>
      </c>
      <c r="F806" s="15">
        <v>623.54</v>
      </c>
      <c r="G806" s="15">
        <f t="shared" si="381"/>
        <v>0</v>
      </c>
      <c r="H806" s="196">
        <v>0.87</v>
      </c>
      <c r="I806" s="15">
        <f t="shared" si="379"/>
        <v>542.47979999999995</v>
      </c>
      <c r="J806" s="15">
        <f t="shared" si="384"/>
        <v>542.47979999999995</v>
      </c>
      <c r="K806" s="15">
        <f t="shared" si="382"/>
        <v>0</v>
      </c>
    </row>
    <row r="807" spans="1:11" ht="28" customHeight="1">
      <c r="A807" s="12" t="s">
        <v>1388</v>
      </c>
      <c r="B807" s="13" t="s">
        <v>662</v>
      </c>
      <c r="C807" s="11"/>
      <c r="D807" s="14" t="s">
        <v>87</v>
      </c>
      <c r="E807" s="14">
        <f t="shared" si="383"/>
        <v>11.64</v>
      </c>
      <c r="F807" s="15">
        <v>11.64</v>
      </c>
      <c r="G807" s="15">
        <f t="shared" si="381"/>
        <v>0</v>
      </c>
      <c r="H807" s="196">
        <v>1248.29</v>
      </c>
      <c r="I807" s="15">
        <f t="shared" si="379"/>
        <v>14530.095600000001</v>
      </c>
      <c r="J807" s="15">
        <f t="shared" si="384"/>
        <v>14530.095600000001</v>
      </c>
      <c r="K807" s="15">
        <f t="shared" si="382"/>
        <v>0</v>
      </c>
    </row>
    <row r="808" spans="1:11" ht="17.5" customHeight="1">
      <c r="A808" s="12" t="s">
        <v>1389</v>
      </c>
      <c r="B808" s="13" t="s">
        <v>663</v>
      </c>
      <c r="C808" s="11"/>
      <c r="D808" s="14" t="s">
        <v>124</v>
      </c>
      <c r="E808" s="14">
        <f t="shared" si="383"/>
        <v>388.05</v>
      </c>
      <c r="F808" s="15">
        <v>388.05</v>
      </c>
      <c r="G808" s="15">
        <f t="shared" si="381"/>
        <v>0</v>
      </c>
      <c r="H808" s="196">
        <v>2.83</v>
      </c>
      <c r="I808" s="15">
        <f t="shared" si="379"/>
        <v>1098.1815000000001</v>
      </c>
      <c r="J808" s="15">
        <f t="shared" si="384"/>
        <v>1098.1815000000001</v>
      </c>
      <c r="K808" s="15">
        <f t="shared" si="382"/>
        <v>0</v>
      </c>
    </row>
    <row r="809" spans="1:11">
      <c r="A809" s="8" t="s">
        <v>1390</v>
      </c>
      <c r="B809" s="9" t="s">
        <v>670</v>
      </c>
      <c r="C809" s="8"/>
      <c r="D809" s="8"/>
      <c r="E809" s="8"/>
      <c r="F809" s="203"/>
      <c r="G809" s="203"/>
      <c r="H809" s="195"/>
      <c r="I809" s="10">
        <f>SUM(I810:I815)</f>
        <v>17717.3642</v>
      </c>
      <c r="J809" s="10">
        <f>SUM(J810:J815)</f>
        <v>17717.3642</v>
      </c>
      <c r="K809" s="10">
        <f>SUM(K810:K815)</f>
        <v>0</v>
      </c>
    </row>
    <row r="810" spans="1:11">
      <c r="A810" s="12" t="s">
        <v>1391</v>
      </c>
      <c r="B810" s="13" t="s">
        <v>659</v>
      </c>
      <c r="C810" s="11"/>
      <c r="D810" s="15" t="s">
        <v>124</v>
      </c>
      <c r="E810" s="14">
        <f>F810</f>
        <v>388.05</v>
      </c>
      <c r="F810" s="15">
        <v>388.05</v>
      </c>
      <c r="G810" s="15">
        <f t="shared" ref="G810:G815" si="385">F810-E810</f>
        <v>0</v>
      </c>
      <c r="H810" s="196">
        <v>1.75</v>
      </c>
      <c r="I810" s="15">
        <f t="shared" si="379"/>
        <v>679.08749999999998</v>
      </c>
      <c r="J810" s="15">
        <f>H810*F810</f>
        <v>679.08749999999998</v>
      </c>
      <c r="K810" s="15">
        <f t="shared" ref="K810:K815" si="386">G810*H810</f>
        <v>0</v>
      </c>
    </row>
    <row r="811" spans="1:11" ht="26">
      <c r="A811" s="12" t="s">
        <v>1392</v>
      </c>
      <c r="B811" s="13" t="s">
        <v>660</v>
      </c>
      <c r="C811" s="11"/>
      <c r="D811" s="15" t="s">
        <v>87</v>
      </c>
      <c r="E811" s="14">
        <f t="shared" ref="E811:E815" si="387">F811</f>
        <v>11.64</v>
      </c>
      <c r="F811" s="199">
        <v>11.64</v>
      </c>
      <c r="G811" s="15">
        <f t="shared" si="385"/>
        <v>0</v>
      </c>
      <c r="H811" s="196">
        <v>10.32</v>
      </c>
      <c r="I811" s="15">
        <f t="shared" si="379"/>
        <v>120.12480000000001</v>
      </c>
      <c r="J811" s="15">
        <f t="shared" ref="J811:J815" si="388">H811*F811</f>
        <v>120.12480000000001</v>
      </c>
      <c r="K811" s="15">
        <f t="shared" si="386"/>
        <v>0</v>
      </c>
    </row>
    <row r="812" spans="1:11" ht="28.5" customHeight="1">
      <c r="A812" s="12" t="s">
        <v>1393</v>
      </c>
      <c r="B812" s="13" t="s">
        <v>661</v>
      </c>
      <c r="C812" s="11"/>
      <c r="D812" s="15" t="s">
        <v>1486</v>
      </c>
      <c r="E812" s="14">
        <f t="shared" si="387"/>
        <v>349.25</v>
      </c>
      <c r="F812" s="199">
        <v>349.25</v>
      </c>
      <c r="G812" s="15">
        <f t="shared" si="385"/>
        <v>0</v>
      </c>
      <c r="H812" s="196">
        <v>2.14</v>
      </c>
      <c r="I812" s="15">
        <f t="shared" si="379"/>
        <v>747.3950000000001</v>
      </c>
      <c r="J812" s="15">
        <f t="shared" si="388"/>
        <v>747.3950000000001</v>
      </c>
      <c r="K812" s="15">
        <f t="shared" si="386"/>
        <v>0</v>
      </c>
    </row>
    <row r="813" spans="1:11" ht="32.5" customHeight="1">
      <c r="A813" s="12" t="s">
        <v>1394</v>
      </c>
      <c r="B813" s="19" t="s">
        <v>669</v>
      </c>
      <c r="C813" s="11"/>
      <c r="D813" s="192" t="s">
        <v>1486</v>
      </c>
      <c r="E813" s="14">
        <f t="shared" si="387"/>
        <v>623.54</v>
      </c>
      <c r="F813" s="204">
        <v>623.54</v>
      </c>
      <c r="G813" s="15">
        <f t="shared" si="385"/>
        <v>0</v>
      </c>
      <c r="H813" s="197">
        <v>0.87</v>
      </c>
      <c r="I813" s="15">
        <f t="shared" si="379"/>
        <v>542.47979999999995</v>
      </c>
      <c r="J813" s="15">
        <f t="shared" si="388"/>
        <v>542.47979999999995</v>
      </c>
      <c r="K813" s="15">
        <f t="shared" si="386"/>
        <v>0</v>
      </c>
    </row>
    <row r="814" spans="1:11" ht="26.5">
      <c r="A814" s="12" t="s">
        <v>1395</v>
      </c>
      <c r="B814" s="19" t="s">
        <v>671</v>
      </c>
      <c r="C814" s="11"/>
      <c r="D814" s="15" t="s">
        <v>87</v>
      </c>
      <c r="E814" s="14">
        <f t="shared" si="387"/>
        <v>11.64</v>
      </c>
      <c r="F814" s="199">
        <v>11.64</v>
      </c>
      <c r="G814" s="15">
        <f t="shared" si="385"/>
        <v>0</v>
      </c>
      <c r="H814" s="196">
        <v>1248.29</v>
      </c>
      <c r="I814" s="15">
        <f t="shared" si="379"/>
        <v>14530.095600000001</v>
      </c>
      <c r="J814" s="15">
        <f t="shared" si="388"/>
        <v>14530.095600000001</v>
      </c>
      <c r="K814" s="15">
        <f t="shared" si="386"/>
        <v>0</v>
      </c>
    </row>
    <row r="815" spans="1:11" ht="16.5" customHeight="1">
      <c r="A815" s="12" t="s">
        <v>1396</v>
      </c>
      <c r="B815" s="17" t="s">
        <v>672</v>
      </c>
      <c r="C815" s="11" t="s">
        <v>87</v>
      </c>
      <c r="D815" s="15" t="s">
        <v>124</v>
      </c>
      <c r="E815" s="14">
        <f t="shared" si="387"/>
        <v>388.05</v>
      </c>
      <c r="F815" s="199">
        <v>388.05</v>
      </c>
      <c r="G815" s="15">
        <f t="shared" si="385"/>
        <v>0</v>
      </c>
      <c r="H815" s="196">
        <v>2.83</v>
      </c>
      <c r="I815" s="15">
        <f t="shared" si="379"/>
        <v>1098.1815000000001</v>
      </c>
      <c r="J815" s="15">
        <f t="shared" si="388"/>
        <v>1098.1815000000001</v>
      </c>
      <c r="K815" s="15">
        <f t="shared" si="386"/>
        <v>0</v>
      </c>
    </row>
    <row r="816" spans="1:11">
      <c r="A816" s="8" t="s">
        <v>1397</v>
      </c>
      <c r="B816" s="9" t="s">
        <v>107</v>
      </c>
      <c r="C816" s="8"/>
      <c r="D816" s="8"/>
      <c r="E816" s="8"/>
      <c r="F816" s="203"/>
      <c r="G816" s="203"/>
      <c r="H816" s="195"/>
      <c r="I816" s="10">
        <f>SUM(I817:I819)</f>
        <v>0</v>
      </c>
      <c r="J816" s="10">
        <f>SUM(J817:J819)</f>
        <v>0</v>
      </c>
      <c r="K816" s="10">
        <f>SUM(K817:K819)</f>
        <v>0</v>
      </c>
    </row>
    <row r="817" spans="1:11" ht="39">
      <c r="A817" s="12" t="s">
        <v>1398</v>
      </c>
      <c r="B817" s="13" t="s">
        <v>674</v>
      </c>
      <c r="C817" s="11" t="s">
        <v>33</v>
      </c>
      <c r="D817" s="14" t="s">
        <v>1487</v>
      </c>
      <c r="E817" s="14"/>
      <c r="F817" s="15"/>
      <c r="G817" s="15">
        <f>F817-E817</f>
        <v>0</v>
      </c>
      <c r="H817" s="196">
        <v>625.09</v>
      </c>
      <c r="I817" s="15">
        <f t="shared" si="379"/>
        <v>0</v>
      </c>
      <c r="J817" s="15">
        <f>H817*F817</f>
        <v>0</v>
      </c>
      <c r="K817" s="15">
        <f t="shared" ref="K817:K819" si="389">G817*H817</f>
        <v>0</v>
      </c>
    </row>
    <row r="818" spans="1:11" ht="17" customHeight="1">
      <c r="A818" s="12" t="s">
        <v>1399</v>
      </c>
      <c r="B818" s="194" t="s">
        <v>680</v>
      </c>
      <c r="C818" s="11" t="s">
        <v>33</v>
      </c>
      <c r="D818" s="14" t="s">
        <v>124</v>
      </c>
      <c r="E818" s="14"/>
      <c r="F818" s="15"/>
      <c r="G818" s="15">
        <f>F818-E818</f>
        <v>0</v>
      </c>
      <c r="H818" s="196">
        <v>16.260000000000002</v>
      </c>
      <c r="I818" s="15">
        <f t="shared" si="379"/>
        <v>0</v>
      </c>
      <c r="J818" s="15">
        <f t="shared" ref="J818:J819" si="390">H818*F818</f>
        <v>0</v>
      </c>
      <c r="K818" s="15">
        <f t="shared" si="389"/>
        <v>0</v>
      </c>
    </row>
    <row r="819" spans="1:11" ht="16.5" customHeight="1">
      <c r="A819" s="12" t="s">
        <v>1400</v>
      </c>
      <c r="B819" s="13" t="s">
        <v>675</v>
      </c>
      <c r="C819" s="11" t="s">
        <v>33</v>
      </c>
      <c r="D819" s="14" t="s">
        <v>124</v>
      </c>
      <c r="E819" s="14"/>
      <c r="F819" s="15"/>
      <c r="G819" s="15">
        <f>F819-E819</f>
        <v>0</v>
      </c>
      <c r="H819" s="196">
        <v>4.5599999999999996</v>
      </c>
      <c r="I819" s="15">
        <f t="shared" si="379"/>
        <v>0</v>
      </c>
      <c r="J819" s="15">
        <f t="shared" si="390"/>
        <v>0</v>
      </c>
      <c r="K819" s="15">
        <f t="shared" si="389"/>
        <v>0</v>
      </c>
    </row>
    <row r="820" spans="1:11">
      <c r="A820" s="8" t="s">
        <v>1401</v>
      </c>
      <c r="B820" s="9" t="s">
        <v>678</v>
      </c>
      <c r="C820" s="8"/>
      <c r="D820" s="8"/>
      <c r="E820" s="8"/>
      <c r="F820" s="203"/>
      <c r="G820" s="203"/>
      <c r="H820" s="195"/>
      <c r="I820" s="10">
        <f>SUM(I821:I822)</f>
        <v>679.08749999999998</v>
      </c>
      <c r="J820" s="10">
        <f>SUM(J821:J822)</f>
        <v>679.08749999999998</v>
      </c>
      <c r="K820" s="10">
        <f>SUM(K821:K822)</f>
        <v>0</v>
      </c>
    </row>
    <row r="821" spans="1:11">
      <c r="A821" s="12" t="s">
        <v>1402</v>
      </c>
      <c r="B821" s="13" t="s">
        <v>659</v>
      </c>
      <c r="C821" s="11" t="s">
        <v>11</v>
      </c>
      <c r="D821" s="14" t="s">
        <v>124</v>
      </c>
      <c r="E821" s="14">
        <f>F821</f>
        <v>388.05</v>
      </c>
      <c r="F821" s="15">
        <v>388.05</v>
      </c>
      <c r="G821" s="15">
        <f>F821-E821</f>
        <v>0</v>
      </c>
      <c r="H821" s="196">
        <v>1.75</v>
      </c>
      <c r="I821" s="15">
        <f t="shared" si="379"/>
        <v>679.08749999999998</v>
      </c>
      <c r="J821" s="15">
        <f>H821*F821</f>
        <v>679.08749999999998</v>
      </c>
      <c r="K821" s="15">
        <f t="shared" ref="K821:K822" si="391">G821*H821</f>
        <v>0</v>
      </c>
    </row>
    <row r="822" spans="1:11">
      <c r="A822" s="12" t="s">
        <v>1403</v>
      </c>
      <c r="B822" s="13" t="s">
        <v>679</v>
      </c>
      <c r="C822" s="11" t="s">
        <v>11</v>
      </c>
      <c r="D822" s="14" t="s">
        <v>1487</v>
      </c>
      <c r="E822" s="14"/>
      <c r="F822" s="15"/>
      <c r="G822" s="15">
        <f>F822-E822</f>
        <v>0</v>
      </c>
      <c r="H822" s="196">
        <v>92.34</v>
      </c>
      <c r="I822" s="15">
        <f t="shared" si="379"/>
        <v>0</v>
      </c>
      <c r="J822" s="15">
        <f>H822*F822</f>
        <v>0</v>
      </c>
      <c r="K822" s="15">
        <f t="shared" si="391"/>
        <v>0</v>
      </c>
    </row>
    <row r="823" spans="1:11">
      <c r="A823" s="184">
        <v>31</v>
      </c>
      <c r="B823" s="191" t="s">
        <v>1484</v>
      </c>
      <c r="C823" s="184"/>
      <c r="D823" s="184"/>
      <c r="E823" s="184"/>
      <c r="F823" s="202"/>
      <c r="G823" s="202"/>
      <c r="H823" s="198"/>
      <c r="I823" s="185">
        <f>SUM(I824,I827,I829,I836,I843,I847)</f>
        <v>89775.968099999969</v>
      </c>
      <c r="J823" s="185">
        <f>SUM(J824,J827,J829,J836,J843,J847)</f>
        <v>89775.968099999969</v>
      </c>
      <c r="K823" s="185">
        <f>SUM(K824,K827,K829,K836,K843,K847)</f>
        <v>0</v>
      </c>
    </row>
    <row r="824" spans="1:11">
      <c r="A824" s="8" t="s">
        <v>1404</v>
      </c>
      <c r="B824" s="9" t="s">
        <v>8</v>
      </c>
      <c r="C824" s="8"/>
      <c r="D824" s="8"/>
      <c r="E824" s="8"/>
      <c r="F824" s="203"/>
      <c r="G824" s="203"/>
      <c r="H824" s="195"/>
      <c r="I824" s="10">
        <f>SUM(I825:I826)</f>
        <v>6715.0065999999997</v>
      </c>
      <c r="J824" s="10">
        <f>SUM(J825:J826)</f>
        <v>6715.0065999999997</v>
      </c>
      <c r="K824" s="10">
        <f>SUM(K825:K826)</f>
        <v>0</v>
      </c>
    </row>
    <row r="825" spans="1:11" ht="26">
      <c r="A825" s="12" t="s">
        <v>1405</v>
      </c>
      <c r="B825" s="13" t="s">
        <v>653</v>
      </c>
      <c r="C825" s="11" t="s">
        <v>13</v>
      </c>
      <c r="D825" s="14" t="s">
        <v>124</v>
      </c>
      <c r="E825" s="14">
        <f>F825</f>
        <v>888.41</v>
      </c>
      <c r="F825" s="15">
        <v>888.41</v>
      </c>
      <c r="G825" s="15">
        <f>F825-E825</f>
        <v>0</v>
      </c>
      <c r="H825" s="196">
        <v>0.36</v>
      </c>
      <c r="I825" s="15">
        <f>H825*E825</f>
        <v>319.82759999999996</v>
      </c>
      <c r="J825" s="15">
        <f>H825*F825</f>
        <v>319.82759999999996</v>
      </c>
      <c r="K825" s="15">
        <f t="shared" ref="K825:K826" si="392">G825*H825</f>
        <v>0</v>
      </c>
    </row>
    <row r="826" spans="1:11" ht="52">
      <c r="A826" s="12" t="s">
        <v>1406</v>
      </c>
      <c r="B826" s="13" t="s">
        <v>650</v>
      </c>
      <c r="C826" s="11" t="s">
        <v>11</v>
      </c>
      <c r="D826" s="14" t="s">
        <v>124</v>
      </c>
      <c r="E826" s="14">
        <f>F826</f>
        <v>103.7</v>
      </c>
      <c r="F826" s="15">
        <v>103.7</v>
      </c>
      <c r="G826" s="15">
        <f>F826-E826</f>
        <v>0</v>
      </c>
      <c r="H826" s="196">
        <v>61.67</v>
      </c>
      <c r="I826" s="15">
        <f>H826*E826</f>
        <v>6395.1790000000001</v>
      </c>
      <c r="J826" s="15">
        <f>H826*F826</f>
        <v>6395.1790000000001</v>
      </c>
      <c r="K826" s="15">
        <f t="shared" si="392"/>
        <v>0</v>
      </c>
    </row>
    <row r="827" spans="1:11">
      <c r="A827" s="8" t="s">
        <v>1407</v>
      </c>
      <c r="B827" s="9" t="s">
        <v>655</v>
      </c>
      <c r="C827" s="8"/>
      <c r="D827" s="8"/>
      <c r="E827" s="8"/>
      <c r="F827" s="203"/>
      <c r="G827" s="203"/>
      <c r="H827" s="195"/>
      <c r="I827" s="10">
        <f>SUM(I828:I828)</f>
        <v>337.5958</v>
      </c>
      <c r="J827" s="10">
        <f>SUM(J828:J828)</f>
        <v>337.5958</v>
      </c>
      <c r="K827" s="10">
        <f>SUM(K828:K828)</f>
        <v>0</v>
      </c>
    </row>
    <row r="828" spans="1:11" ht="26">
      <c r="A828" s="12" t="s">
        <v>1408</v>
      </c>
      <c r="B828" s="13" t="s">
        <v>656</v>
      </c>
      <c r="C828" s="11"/>
      <c r="D828" s="14" t="s">
        <v>124</v>
      </c>
      <c r="E828" s="14">
        <f>F828</f>
        <v>888.41</v>
      </c>
      <c r="F828" s="15">
        <v>888.41</v>
      </c>
      <c r="G828" s="15">
        <f>F828-E828</f>
        <v>0</v>
      </c>
      <c r="H828" s="196">
        <v>0.38</v>
      </c>
      <c r="I828" s="15">
        <f t="shared" ref="I828:I849" si="393">H828*E828</f>
        <v>337.5958</v>
      </c>
      <c r="J828" s="15">
        <f>H828*F828</f>
        <v>337.5958</v>
      </c>
      <c r="K828" s="15">
        <f t="shared" ref="K828" si="394">G828*H828</f>
        <v>0</v>
      </c>
    </row>
    <row r="829" spans="1:11">
      <c r="A829" s="8" t="s">
        <v>1409</v>
      </c>
      <c r="B829" s="9" t="s">
        <v>658</v>
      </c>
      <c r="C829" s="8"/>
      <c r="D829" s="8"/>
      <c r="E829" s="8"/>
      <c r="F829" s="203"/>
      <c r="G829" s="203"/>
      <c r="H829" s="195"/>
      <c r="I829" s="10">
        <f>SUM(I830:I835)</f>
        <v>40584.324099999991</v>
      </c>
      <c r="J829" s="10">
        <f>SUM(J830:J835)</f>
        <v>40584.324099999991</v>
      </c>
      <c r="K829" s="10">
        <f>SUM(K830:K835)</f>
        <v>0</v>
      </c>
    </row>
    <row r="830" spans="1:11">
      <c r="A830" s="12" t="s">
        <v>1410</v>
      </c>
      <c r="B830" s="13" t="s">
        <v>659</v>
      </c>
      <c r="C830" s="11"/>
      <c r="D830" s="14" t="s">
        <v>124</v>
      </c>
      <c r="E830" s="14">
        <f>F830</f>
        <v>888.41</v>
      </c>
      <c r="F830" s="15">
        <v>888.41</v>
      </c>
      <c r="G830" s="15">
        <f t="shared" ref="G830:G835" si="395">F830-E830</f>
        <v>0</v>
      </c>
      <c r="H830" s="196">
        <v>1.75</v>
      </c>
      <c r="I830" s="15">
        <f t="shared" si="393"/>
        <v>1554.7175</v>
      </c>
      <c r="J830" s="15">
        <f>H830*F830</f>
        <v>1554.7175</v>
      </c>
      <c r="K830" s="15">
        <f t="shared" ref="K830:K835" si="396">G830*H830</f>
        <v>0</v>
      </c>
    </row>
    <row r="831" spans="1:11" ht="26">
      <c r="A831" s="12" t="s">
        <v>1411</v>
      </c>
      <c r="B831" s="13" t="s">
        <v>660</v>
      </c>
      <c r="C831" s="11"/>
      <c r="D831" s="14" t="s">
        <v>87</v>
      </c>
      <c r="E831" s="14">
        <f t="shared" ref="E831:E835" si="397">F831</f>
        <v>26.65</v>
      </c>
      <c r="F831" s="15">
        <v>26.65</v>
      </c>
      <c r="G831" s="15">
        <f t="shared" si="395"/>
        <v>0</v>
      </c>
      <c r="H831" s="196">
        <v>10.32</v>
      </c>
      <c r="I831" s="15">
        <f t="shared" si="393"/>
        <v>275.02800000000002</v>
      </c>
      <c r="J831" s="15">
        <f t="shared" ref="J831:J835" si="398">H831*F831</f>
        <v>275.02800000000002</v>
      </c>
      <c r="K831" s="15">
        <f t="shared" si="396"/>
        <v>0</v>
      </c>
    </row>
    <row r="832" spans="1:11" ht="28.5" customHeight="1">
      <c r="A832" s="12" t="s">
        <v>1412</v>
      </c>
      <c r="B832" s="13" t="s">
        <v>661</v>
      </c>
      <c r="C832" s="11"/>
      <c r="D832" s="14" t="s">
        <v>1486</v>
      </c>
      <c r="E832" s="14">
        <f t="shared" si="397"/>
        <v>799.57</v>
      </c>
      <c r="F832" s="15">
        <v>799.57</v>
      </c>
      <c r="G832" s="15">
        <f t="shared" si="395"/>
        <v>0</v>
      </c>
      <c r="H832" s="196">
        <v>2.14</v>
      </c>
      <c r="I832" s="15">
        <f t="shared" si="393"/>
        <v>1711.0798000000002</v>
      </c>
      <c r="J832" s="15">
        <f t="shared" si="398"/>
        <v>1711.0798000000002</v>
      </c>
      <c r="K832" s="15">
        <f t="shared" si="396"/>
        <v>0</v>
      </c>
    </row>
    <row r="833" spans="1:11" ht="29" customHeight="1">
      <c r="A833" s="12" t="s">
        <v>1413</v>
      </c>
      <c r="B833" s="13" t="s">
        <v>669</v>
      </c>
      <c r="C833" s="11"/>
      <c r="D833" s="14" t="s">
        <v>1486</v>
      </c>
      <c r="E833" s="14">
        <f t="shared" si="397"/>
        <v>1451</v>
      </c>
      <c r="F833" s="15">
        <v>1451</v>
      </c>
      <c r="G833" s="15">
        <f t="shared" si="395"/>
        <v>0</v>
      </c>
      <c r="H833" s="196">
        <v>0.87</v>
      </c>
      <c r="I833" s="15">
        <f t="shared" si="393"/>
        <v>1262.3699999999999</v>
      </c>
      <c r="J833" s="15">
        <f t="shared" si="398"/>
        <v>1262.3699999999999</v>
      </c>
      <c r="K833" s="15">
        <f t="shared" si="396"/>
        <v>0</v>
      </c>
    </row>
    <row r="834" spans="1:11" ht="28" customHeight="1">
      <c r="A834" s="12" t="s">
        <v>1414</v>
      </c>
      <c r="B834" s="13" t="s">
        <v>662</v>
      </c>
      <c r="C834" s="11"/>
      <c r="D834" s="14" t="s">
        <v>87</v>
      </c>
      <c r="E834" s="14">
        <f t="shared" si="397"/>
        <v>26.65</v>
      </c>
      <c r="F834" s="15">
        <v>26.65</v>
      </c>
      <c r="G834" s="15">
        <f t="shared" si="395"/>
        <v>0</v>
      </c>
      <c r="H834" s="196">
        <v>1248.29</v>
      </c>
      <c r="I834" s="15">
        <f t="shared" si="393"/>
        <v>33266.928499999995</v>
      </c>
      <c r="J834" s="15">
        <f t="shared" si="398"/>
        <v>33266.928499999995</v>
      </c>
      <c r="K834" s="15">
        <f t="shared" si="396"/>
        <v>0</v>
      </c>
    </row>
    <row r="835" spans="1:11" ht="17.5" customHeight="1">
      <c r="A835" s="12" t="s">
        <v>1415</v>
      </c>
      <c r="B835" s="13" t="s">
        <v>663</v>
      </c>
      <c r="C835" s="11"/>
      <c r="D835" s="14" t="s">
        <v>124</v>
      </c>
      <c r="E835" s="14">
        <f t="shared" si="397"/>
        <v>888.41</v>
      </c>
      <c r="F835" s="15">
        <v>888.41</v>
      </c>
      <c r="G835" s="15">
        <f t="shared" si="395"/>
        <v>0</v>
      </c>
      <c r="H835" s="196">
        <v>2.83</v>
      </c>
      <c r="I835" s="15">
        <f t="shared" si="393"/>
        <v>2514.2003</v>
      </c>
      <c r="J835" s="15">
        <f t="shared" si="398"/>
        <v>2514.2003</v>
      </c>
      <c r="K835" s="15">
        <f t="shared" si="396"/>
        <v>0</v>
      </c>
    </row>
    <row r="836" spans="1:11">
      <c r="A836" s="8" t="s">
        <v>1416</v>
      </c>
      <c r="B836" s="9" t="s">
        <v>670</v>
      </c>
      <c r="C836" s="8"/>
      <c r="D836" s="8"/>
      <c r="E836" s="8"/>
      <c r="F836" s="203"/>
      <c r="G836" s="203"/>
      <c r="H836" s="195"/>
      <c r="I836" s="10">
        <f>SUM(I837:I842)</f>
        <v>40584.324099999991</v>
      </c>
      <c r="J836" s="10">
        <f>SUM(J837:J842)</f>
        <v>40584.324099999991</v>
      </c>
      <c r="K836" s="10">
        <f>SUM(K837:K842)</f>
        <v>0</v>
      </c>
    </row>
    <row r="837" spans="1:11">
      <c r="A837" s="12" t="s">
        <v>1417</v>
      </c>
      <c r="B837" s="13" t="s">
        <v>659</v>
      </c>
      <c r="C837" s="11"/>
      <c r="D837" s="15" t="s">
        <v>124</v>
      </c>
      <c r="E837" s="14">
        <f>F837</f>
        <v>888.41</v>
      </c>
      <c r="F837" s="15">
        <v>888.41</v>
      </c>
      <c r="G837" s="15">
        <f t="shared" ref="G837:G842" si="399">F837-E837</f>
        <v>0</v>
      </c>
      <c r="H837" s="196">
        <v>1.75</v>
      </c>
      <c r="I837" s="15">
        <f t="shared" si="393"/>
        <v>1554.7175</v>
      </c>
      <c r="J837" s="15">
        <f>H837*F837</f>
        <v>1554.7175</v>
      </c>
      <c r="K837" s="15">
        <f t="shared" ref="K837:K842" si="400">G837*H837</f>
        <v>0</v>
      </c>
    </row>
    <row r="838" spans="1:11" ht="26">
      <c r="A838" s="12" t="s">
        <v>1418</v>
      </c>
      <c r="B838" s="13" t="s">
        <v>660</v>
      </c>
      <c r="C838" s="11"/>
      <c r="D838" s="15" t="s">
        <v>87</v>
      </c>
      <c r="E838" s="14">
        <f t="shared" ref="E838:E842" si="401">F838</f>
        <v>26.65</v>
      </c>
      <c r="F838" s="199">
        <v>26.65</v>
      </c>
      <c r="G838" s="15">
        <f t="shared" si="399"/>
        <v>0</v>
      </c>
      <c r="H838" s="196">
        <v>10.32</v>
      </c>
      <c r="I838" s="15">
        <f t="shared" si="393"/>
        <v>275.02800000000002</v>
      </c>
      <c r="J838" s="15">
        <f t="shared" ref="J838:J842" si="402">H838*F838</f>
        <v>275.02800000000002</v>
      </c>
      <c r="K838" s="15">
        <f t="shared" si="400"/>
        <v>0</v>
      </c>
    </row>
    <row r="839" spans="1:11" ht="28.5" customHeight="1">
      <c r="A839" s="12" t="s">
        <v>1419</v>
      </c>
      <c r="B839" s="13" t="s">
        <v>661</v>
      </c>
      <c r="C839" s="11"/>
      <c r="D839" s="15" t="s">
        <v>1486</v>
      </c>
      <c r="E839" s="14">
        <f t="shared" si="401"/>
        <v>799.57</v>
      </c>
      <c r="F839" s="199">
        <v>799.57</v>
      </c>
      <c r="G839" s="15">
        <f t="shared" si="399"/>
        <v>0</v>
      </c>
      <c r="H839" s="196">
        <v>2.14</v>
      </c>
      <c r="I839" s="15">
        <f t="shared" si="393"/>
        <v>1711.0798000000002</v>
      </c>
      <c r="J839" s="15">
        <f t="shared" si="402"/>
        <v>1711.0798000000002</v>
      </c>
      <c r="K839" s="15">
        <f t="shared" si="400"/>
        <v>0</v>
      </c>
    </row>
    <row r="840" spans="1:11" ht="32.5" customHeight="1">
      <c r="A840" s="12" t="s">
        <v>1420</v>
      </c>
      <c r="B840" s="19" t="s">
        <v>669</v>
      </c>
      <c r="C840" s="11"/>
      <c r="D840" s="192" t="s">
        <v>1486</v>
      </c>
      <c r="E840" s="14">
        <f t="shared" si="401"/>
        <v>1451</v>
      </c>
      <c r="F840" s="204">
        <v>1451</v>
      </c>
      <c r="G840" s="15">
        <f t="shared" si="399"/>
        <v>0</v>
      </c>
      <c r="H840" s="197">
        <v>0.87</v>
      </c>
      <c r="I840" s="15">
        <f t="shared" si="393"/>
        <v>1262.3699999999999</v>
      </c>
      <c r="J840" s="15">
        <f t="shared" si="402"/>
        <v>1262.3699999999999</v>
      </c>
      <c r="K840" s="15">
        <f t="shared" si="400"/>
        <v>0</v>
      </c>
    </row>
    <row r="841" spans="1:11" ht="26.5">
      <c r="A841" s="12" t="s">
        <v>1421</v>
      </c>
      <c r="B841" s="19" t="s">
        <v>671</v>
      </c>
      <c r="C841" s="11"/>
      <c r="D841" s="15" t="s">
        <v>87</v>
      </c>
      <c r="E841" s="14">
        <f t="shared" si="401"/>
        <v>26.65</v>
      </c>
      <c r="F841" s="199">
        <v>26.65</v>
      </c>
      <c r="G841" s="15">
        <f t="shared" si="399"/>
        <v>0</v>
      </c>
      <c r="H841" s="196">
        <v>1248.29</v>
      </c>
      <c r="I841" s="15">
        <f t="shared" si="393"/>
        <v>33266.928499999995</v>
      </c>
      <c r="J841" s="15">
        <f t="shared" si="402"/>
        <v>33266.928499999995</v>
      </c>
      <c r="K841" s="15">
        <f t="shared" si="400"/>
        <v>0</v>
      </c>
    </row>
    <row r="842" spans="1:11" ht="16.5" customHeight="1">
      <c r="A842" s="12" t="s">
        <v>1422</v>
      </c>
      <c r="B842" s="17" t="s">
        <v>672</v>
      </c>
      <c r="C842" s="11" t="s">
        <v>87</v>
      </c>
      <c r="D842" s="15" t="s">
        <v>124</v>
      </c>
      <c r="E842" s="14">
        <f t="shared" si="401"/>
        <v>888.41</v>
      </c>
      <c r="F842" s="199">
        <v>888.41</v>
      </c>
      <c r="G842" s="15">
        <f t="shared" si="399"/>
        <v>0</v>
      </c>
      <c r="H842" s="196">
        <v>2.83</v>
      </c>
      <c r="I842" s="15">
        <f t="shared" si="393"/>
        <v>2514.2003</v>
      </c>
      <c r="J842" s="15">
        <f t="shared" si="402"/>
        <v>2514.2003</v>
      </c>
      <c r="K842" s="15">
        <f t="shared" si="400"/>
        <v>0</v>
      </c>
    </row>
    <row r="843" spans="1:11">
      <c r="A843" s="8" t="s">
        <v>1423</v>
      </c>
      <c r="B843" s="9" t="s">
        <v>107</v>
      </c>
      <c r="C843" s="8"/>
      <c r="D843" s="8"/>
      <c r="E843" s="8"/>
      <c r="F843" s="203"/>
      <c r="G843" s="203"/>
      <c r="H843" s="195"/>
      <c r="I843" s="10">
        <f>SUM(I844:I846)</f>
        <v>0</v>
      </c>
      <c r="J843" s="10">
        <f>SUM(J844:J846)</f>
        <v>0</v>
      </c>
      <c r="K843" s="10">
        <f>SUM(K844:K846)</f>
        <v>0</v>
      </c>
    </row>
    <row r="844" spans="1:11" ht="39">
      <c r="A844" s="12" t="s">
        <v>1424</v>
      </c>
      <c r="B844" s="13" t="s">
        <v>674</v>
      </c>
      <c r="C844" s="11" t="s">
        <v>33</v>
      </c>
      <c r="D844" s="14" t="s">
        <v>1487</v>
      </c>
      <c r="E844" s="14"/>
      <c r="F844" s="15"/>
      <c r="G844" s="15">
        <f>F844-E844</f>
        <v>0</v>
      </c>
      <c r="H844" s="196">
        <v>625.09</v>
      </c>
      <c r="I844" s="15">
        <f t="shared" si="393"/>
        <v>0</v>
      </c>
      <c r="J844" s="15">
        <f>H844*F844</f>
        <v>0</v>
      </c>
      <c r="K844" s="15">
        <f t="shared" ref="K844:K846" si="403">G844*H844</f>
        <v>0</v>
      </c>
    </row>
    <row r="845" spans="1:11" ht="17" customHeight="1">
      <c r="A845" s="12" t="s">
        <v>1425</v>
      </c>
      <c r="B845" s="194" t="s">
        <v>680</v>
      </c>
      <c r="C845" s="11" t="s">
        <v>33</v>
      </c>
      <c r="D845" s="14" t="s">
        <v>124</v>
      </c>
      <c r="E845" s="14"/>
      <c r="F845" s="15"/>
      <c r="G845" s="15">
        <f>F845-E845</f>
        <v>0</v>
      </c>
      <c r="H845" s="196">
        <v>16.260000000000002</v>
      </c>
      <c r="I845" s="15">
        <f t="shared" si="393"/>
        <v>0</v>
      </c>
      <c r="J845" s="15">
        <f t="shared" ref="J845:J846" si="404">H845*F845</f>
        <v>0</v>
      </c>
      <c r="K845" s="15">
        <f t="shared" si="403"/>
        <v>0</v>
      </c>
    </row>
    <row r="846" spans="1:11" ht="16.5" customHeight="1">
      <c r="A846" s="12" t="s">
        <v>1426</v>
      </c>
      <c r="B846" s="13" t="s">
        <v>675</v>
      </c>
      <c r="C846" s="11" t="s">
        <v>33</v>
      </c>
      <c r="D846" s="14" t="s">
        <v>124</v>
      </c>
      <c r="E846" s="14"/>
      <c r="F846" s="15"/>
      <c r="G846" s="15">
        <f>F846-E846</f>
        <v>0</v>
      </c>
      <c r="H846" s="196">
        <v>4.5599999999999996</v>
      </c>
      <c r="I846" s="15">
        <f t="shared" si="393"/>
        <v>0</v>
      </c>
      <c r="J846" s="15">
        <f t="shared" si="404"/>
        <v>0</v>
      </c>
      <c r="K846" s="15">
        <f t="shared" si="403"/>
        <v>0</v>
      </c>
    </row>
    <row r="847" spans="1:11">
      <c r="A847" s="8" t="s">
        <v>1427</v>
      </c>
      <c r="B847" s="9" t="s">
        <v>678</v>
      </c>
      <c r="C847" s="8"/>
      <c r="D847" s="8"/>
      <c r="E847" s="8"/>
      <c r="F847" s="203"/>
      <c r="G847" s="203"/>
      <c r="H847" s="195"/>
      <c r="I847" s="10">
        <f>SUM(I848:I849)</f>
        <v>1554.7175</v>
      </c>
      <c r="J847" s="10">
        <f>SUM(J848:J849)</f>
        <v>1554.7175</v>
      </c>
      <c r="K847" s="10">
        <f>SUM(K848:K849)</f>
        <v>0</v>
      </c>
    </row>
    <row r="848" spans="1:11">
      <c r="A848" s="12" t="s">
        <v>1428</v>
      </c>
      <c r="B848" s="13" t="s">
        <v>659</v>
      </c>
      <c r="C848" s="11" t="s">
        <v>11</v>
      </c>
      <c r="D848" s="14" t="s">
        <v>124</v>
      </c>
      <c r="E848" s="14">
        <f>F848</f>
        <v>888.41</v>
      </c>
      <c r="F848" s="15">
        <v>888.41</v>
      </c>
      <c r="G848" s="15">
        <f>F848-E848</f>
        <v>0</v>
      </c>
      <c r="H848" s="196">
        <v>1.75</v>
      </c>
      <c r="I848" s="15">
        <f t="shared" si="393"/>
        <v>1554.7175</v>
      </c>
      <c r="J848" s="15">
        <f>H848*F848</f>
        <v>1554.7175</v>
      </c>
      <c r="K848" s="15">
        <f t="shared" ref="K848:K849" si="405">G848*H848</f>
        <v>0</v>
      </c>
    </row>
    <row r="849" spans="1:11">
      <c r="A849" s="12" t="s">
        <v>1429</v>
      </c>
      <c r="B849" s="13" t="s">
        <v>679</v>
      </c>
      <c r="C849" s="11" t="s">
        <v>11</v>
      </c>
      <c r="D849" s="14" t="s">
        <v>1487</v>
      </c>
      <c r="E849" s="14"/>
      <c r="F849" s="15"/>
      <c r="G849" s="15">
        <f>F849-E849</f>
        <v>0</v>
      </c>
      <c r="H849" s="196">
        <v>92.34</v>
      </c>
      <c r="I849" s="15">
        <f t="shared" si="393"/>
        <v>0</v>
      </c>
      <c r="J849" s="15">
        <f>H849*F849</f>
        <v>0</v>
      </c>
      <c r="K849" s="15">
        <f t="shared" si="405"/>
        <v>0</v>
      </c>
    </row>
    <row r="850" spans="1:11">
      <c r="A850" s="184">
        <v>32</v>
      </c>
      <c r="B850" s="191" t="s">
        <v>1485</v>
      </c>
      <c r="C850" s="184"/>
      <c r="D850" s="184"/>
      <c r="E850" s="184"/>
      <c r="F850" s="202"/>
      <c r="G850" s="202"/>
      <c r="H850" s="198"/>
      <c r="I850" s="185"/>
      <c r="J850" s="185">
        <f>SUM(J851,J854,J856,J863,J870,J874)</f>
        <v>44121.6227</v>
      </c>
      <c r="K850" s="185">
        <f>SUM(K851,K854,K856,K863,K870,K874)</f>
        <v>44121.6227</v>
      </c>
    </row>
    <row r="851" spans="1:11">
      <c r="A851" s="8" t="s">
        <v>1430</v>
      </c>
      <c r="B851" s="9" t="s">
        <v>8</v>
      </c>
      <c r="C851" s="8"/>
      <c r="D851" s="8"/>
      <c r="E851" s="8"/>
      <c r="F851" s="203"/>
      <c r="G851" s="203"/>
      <c r="H851" s="195"/>
      <c r="I851" s="10"/>
      <c r="J851" s="10">
        <f>SUM(J852:J853)</f>
        <v>3741.5379999999996</v>
      </c>
      <c r="K851" s="10">
        <f>SUM(K852:K853)</f>
        <v>3741.5379999999996</v>
      </c>
    </row>
    <row r="852" spans="1:11" ht="26">
      <c r="A852" s="12" t="s">
        <v>1431</v>
      </c>
      <c r="B852" s="13" t="s">
        <v>653</v>
      </c>
      <c r="C852" s="11" t="s">
        <v>13</v>
      </c>
      <c r="D852" s="14" t="s">
        <v>124</v>
      </c>
      <c r="E852" s="14"/>
      <c r="F852" s="15">
        <v>430.03</v>
      </c>
      <c r="G852" s="15">
        <f>F852-E852</f>
        <v>430.03</v>
      </c>
      <c r="H852" s="196">
        <v>0.36</v>
      </c>
      <c r="I852" s="15">
        <f>H852*E852</f>
        <v>0</v>
      </c>
      <c r="J852" s="15">
        <f>H852*F852</f>
        <v>154.81079999999997</v>
      </c>
      <c r="K852" s="15">
        <f t="shared" ref="K852:K853" si="406">G852*H852</f>
        <v>154.81079999999997</v>
      </c>
    </row>
    <row r="853" spans="1:11" ht="52">
      <c r="A853" s="12" t="s">
        <v>1432</v>
      </c>
      <c r="B853" s="13" t="s">
        <v>650</v>
      </c>
      <c r="C853" s="11" t="s">
        <v>11</v>
      </c>
      <c r="D853" s="14" t="s">
        <v>124</v>
      </c>
      <c r="E853" s="14"/>
      <c r="F853" s="15">
        <v>58.16</v>
      </c>
      <c r="G853" s="15">
        <f>F853-E853</f>
        <v>58.16</v>
      </c>
      <c r="H853" s="196">
        <v>61.67</v>
      </c>
      <c r="I853" s="15">
        <f>H853*E853</f>
        <v>0</v>
      </c>
      <c r="J853" s="15">
        <f>H853*F853</f>
        <v>3586.7271999999998</v>
      </c>
      <c r="K853" s="15">
        <f t="shared" si="406"/>
        <v>3586.7271999999998</v>
      </c>
    </row>
    <row r="854" spans="1:11">
      <c r="A854" s="8" t="s">
        <v>1433</v>
      </c>
      <c r="B854" s="9" t="s">
        <v>655</v>
      </c>
      <c r="C854" s="8"/>
      <c r="D854" s="8"/>
      <c r="E854" s="8"/>
      <c r="F854" s="203"/>
      <c r="G854" s="203"/>
      <c r="H854" s="195"/>
      <c r="I854" s="195"/>
      <c r="J854" s="10">
        <f>SUM(J855:J855)</f>
        <v>163.41139999999999</v>
      </c>
      <c r="K854" s="10">
        <f>SUM(K855:K855)</f>
        <v>163.41139999999999</v>
      </c>
    </row>
    <row r="855" spans="1:11" ht="26">
      <c r="A855" s="12" t="s">
        <v>1434</v>
      </c>
      <c r="B855" s="13" t="s">
        <v>656</v>
      </c>
      <c r="C855" s="11"/>
      <c r="D855" s="14" t="s">
        <v>124</v>
      </c>
      <c r="E855" s="14"/>
      <c r="F855" s="15">
        <v>430.03</v>
      </c>
      <c r="G855" s="15">
        <f>F855-E855</f>
        <v>430.03</v>
      </c>
      <c r="H855" s="196">
        <v>0.38</v>
      </c>
      <c r="I855" s="15">
        <f t="shared" ref="I855:I876" si="407">H855*E855</f>
        <v>0</v>
      </c>
      <c r="J855" s="15">
        <f>H855*F855</f>
        <v>163.41139999999999</v>
      </c>
      <c r="K855" s="15">
        <f t="shared" ref="K855" si="408">G855*H855</f>
        <v>163.41139999999999</v>
      </c>
    </row>
    <row r="856" spans="1:11">
      <c r="A856" s="8" t="s">
        <v>1435</v>
      </c>
      <c r="B856" s="9" t="s">
        <v>658</v>
      </c>
      <c r="C856" s="8"/>
      <c r="D856" s="8"/>
      <c r="E856" s="8"/>
      <c r="F856" s="203"/>
      <c r="G856" s="203"/>
      <c r="H856" s="195"/>
      <c r="I856" s="195"/>
      <c r="J856" s="10">
        <f>SUM(J857:J862)</f>
        <v>19732.060399999998</v>
      </c>
      <c r="K856" s="10">
        <f>SUM(K857:K862)</f>
        <v>19732.060399999998</v>
      </c>
    </row>
    <row r="857" spans="1:11">
      <c r="A857" s="12" t="s">
        <v>1436</v>
      </c>
      <c r="B857" s="13" t="s">
        <v>659</v>
      </c>
      <c r="C857" s="11"/>
      <c r="D857" s="14" t="s">
        <v>124</v>
      </c>
      <c r="E857" s="14"/>
      <c r="F857" s="15">
        <v>430.03</v>
      </c>
      <c r="G857" s="15">
        <f t="shared" ref="G857:G862" si="409">F857-E857</f>
        <v>430.03</v>
      </c>
      <c r="H857" s="196">
        <v>1.75</v>
      </c>
      <c r="I857" s="15">
        <f t="shared" si="407"/>
        <v>0</v>
      </c>
      <c r="J857" s="15">
        <f>H857*F857</f>
        <v>752.55250000000001</v>
      </c>
      <c r="K857" s="15">
        <f t="shared" ref="K857:K862" si="410">G857*H857</f>
        <v>752.55250000000001</v>
      </c>
    </row>
    <row r="858" spans="1:11" ht="26">
      <c r="A858" s="12" t="s">
        <v>1437</v>
      </c>
      <c r="B858" s="13" t="s">
        <v>660</v>
      </c>
      <c r="C858" s="11"/>
      <c r="D858" s="14" t="s">
        <v>87</v>
      </c>
      <c r="E858" s="14"/>
      <c r="F858" s="15">
        <v>12.9</v>
      </c>
      <c r="G858" s="15">
        <f t="shared" si="409"/>
        <v>12.9</v>
      </c>
      <c r="H858" s="196">
        <v>10.32</v>
      </c>
      <c r="I858" s="15">
        <f t="shared" si="407"/>
        <v>0</v>
      </c>
      <c r="J858" s="15">
        <f t="shared" ref="J858:J862" si="411">H858*F858</f>
        <v>133.12800000000001</v>
      </c>
      <c r="K858" s="15">
        <f t="shared" si="410"/>
        <v>133.12800000000001</v>
      </c>
    </row>
    <row r="859" spans="1:11" ht="28.5" customHeight="1">
      <c r="A859" s="12" t="s">
        <v>1438</v>
      </c>
      <c r="B859" s="13" t="s">
        <v>661</v>
      </c>
      <c r="C859" s="11"/>
      <c r="D859" s="14" t="s">
        <v>1486</v>
      </c>
      <c r="E859" s="14"/>
      <c r="F859" s="15">
        <v>387.03</v>
      </c>
      <c r="G859" s="15">
        <f t="shared" si="409"/>
        <v>387.03</v>
      </c>
      <c r="H859" s="196">
        <v>2.14</v>
      </c>
      <c r="I859" s="15">
        <f t="shared" si="407"/>
        <v>0</v>
      </c>
      <c r="J859" s="15">
        <f t="shared" si="411"/>
        <v>828.24419999999998</v>
      </c>
      <c r="K859" s="15">
        <f t="shared" si="410"/>
        <v>828.24419999999998</v>
      </c>
    </row>
    <row r="860" spans="1:11" ht="29" customHeight="1">
      <c r="A860" s="12" t="s">
        <v>1439</v>
      </c>
      <c r="B860" s="13" t="s">
        <v>669</v>
      </c>
      <c r="C860" s="11"/>
      <c r="D860" s="14" t="s">
        <v>1486</v>
      </c>
      <c r="E860" s="14"/>
      <c r="F860" s="15">
        <v>802.54</v>
      </c>
      <c r="G860" s="15">
        <f t="shared" si="409"/>
        <v>802.54</v>
      </c>
      <c r="H860" s="196">
        <v>0.87</v>
      </c>
      <c r="I860" s="15">
        <f t="shared" si="407"/>
        <v>0</v>
      </c>
      <c r="J860" s="15">
        <f t="shared" si="411"/>
        <v>698.20979999999997</v>
      </c>
      <c r="K860" s="15">
        <f t="shared" si="410"/>
        <v>698.20979999999997</v>
      </c>
    </row>
    <row r="861" spans="1:11" ht="28" customHeight="1">
      <c r="A861" s="12" t="s">
        <v>1440</v>
      </c>
      <c r="B861" s="13" t="s">
        <v>662</v>
      </c>
      <c r="C861" s="11"/>
      <c r="D861" s="14" t="s">
        <v>87</v>
      </c>
      <c r="E861" s="14"/>
      <c r="F861" s="15">
        <v>12.9</v>
      </c>
      <c r="G861" s="15">
        <f t="shared" si="409"/>
        <v>12.9</v>
      </c>
      <c r="H861" s="196">
        <v>1248.29</v>
      </c>
      <c r="I861" s="15">
        <f t="shared" si="407"/>
        <v>0</v>
      </c>
      <c r="J861" s="15">
        <f t="shared" si="411"/>
        <v>16102.941000000001</v>
      </c>
      <c r="K861" s="15">
        <f t="shared" si="410"/>
        <v>16102.941000000001</v>
      </c>
    </row>
    <row r="862" spans="1:11" ht="17.5" customHeight="1">
      <c r="A862" s="12" t="s">
        <v>1441</v>
      </c>
      <c r="B862" s="13" t="s">
        <v>663</v>
      </c>
      <c r="C862" s="11"/>
      <c r="D862" s="14" t="s">
        <v>124</v>
      </c>
      <c r="E862" s="14"/>
      <c r="F862" s="15">
        <v>430.03</v>
      </c>
      <c r="G862" s="15">
        <f t="shared" si="409"/>
        <v>430.03</v>
      </c>
      <c r="H862" s="196">
        <v>2.83</v>
      </c>
      <c r="I862" s="15">
        <f t="shared" si="407"/>
        <v>0</v>
      </c>
      <c r="J862" s="15">
        <f t="shared" si="411"/>
        <v>1216.9848999999999</v>
      </c>
      <c r="K862" s="15">
        <f t="shared" si="410"/>
        <v>1216.9848999999999</v>
      </c>
    </row>
    <row r="863" spans="1:11">
      <c r="A863" s="8" t="s">
        <v>1442</v>
      </c>
      <c r="B863" s="9" t="s">
        <v>670</v>
      </c>
      <c r="C863" s="8"/>
      <c r="D863" s="8"/>
      <c r="E863" s="8"/>
      <c r="F863" s="203"/>
      <c r="G863" s="203"/>
      <c r="H863" s="195"/>
      <c r="I863" s="195"/>
      <c r="J863" s="10">
        <f>SUM(J864:J869)</f>
        <v>19732.060399999998</v>
      </c>
      <c r="K863" s="10">
        <f>SUM(K864:K869)</f>
        <v>19732.060399999998</v>
      </c>
    </row>
    <row r="864" spans="1:11">
      <c r="A864" s="12" t="s">
        <v>1443</v>
      </c>
      <c r="B864" s="13" t="s">
        <v>659</v>
      </c>
      <c r="C864" s="11"/>
      <c r="D864" s="15" t="s">
        <v>124</v>
      </c>
      <c r="E864" s="14"/>
      <c r="F864" s="15">
        <v>430.03</v>
      </c>
      <c r="G864" s="15">
        <f t="shared" ref="G864:G869" si="412">F864-E864</f>
        <v>430.03</v>
      </c>
      <c r="H864" s="196">
        <v>1.75</v>
      </c>
      <c r="I864" s="15">
        <f t="shared" si="407"/>
        <v>0</v>
      </c>
      <c r="J864" s="15">
        <f>H864*F864</f>
        <v>752.55250000000001</v>
      </c>
      <c r="K864" s="15">
        <f t="shared" ref="K864:K869" si="413">G864*H864</f>
        <v>752.55250000000001</v>
      </c>
    </row>
    <row r="865" spans="1:11" ht="26">
      <c r="A865" s="12" t="s">
        <v>1444</v>
      </c>
      <c r="B865" s="13" t="s">
        <v>660</v>
      </c>
      <c r="C865" s="11"/>
      <c r="D865" s="15" t="s">
        <v>87</v>
      </c>
      <c r="E865" s="14"/>
      <c r="F865" s="15">
        <v>12.9</v>
      </c>
      <c r="G865" s="15">
        <f t="shared" si="412"/>
        <v>12.9</v>
      </c>
      <c r="H865" s="196">
        <v>10.32</v>
      </c>
      <c r="I865" s="15">
        <f t="shared" si="407"/>
        <v>0</v>
      </c>
      <c r="J865" s="15">
        <f t="shared" ref="J865:J869" si="414">H865*F865</f>
        <v>133.12800000000001</v>
      </c>
      <c r="K865" s="15">
        <f t="shared" si="413"/>
        <v>133.12800000000001</v>
      </c>
    </row>
    <row r="866" spans="1:11" ht="28.5" customHeight="1">
      <c r="A866" s="12" t="s">
        <v>1445</v>
      </c>
      <c r="B866" s="13" t="s">
        <v>661</v>
      </c>
      <c r="C866" s="11"/>
      <c r="D866" s="15" t="s">
        <v>1486</v>
      </c>
      <c r="E866" s="14"/>
      <c r="F866" s="15">
        <v>387.03</v>
      </c>
      <c r="G866" s="15">
        <f t="shared" si="412"/>
        <v>387.03</v>
      </c>
      <c r="H866" s="196">
        <v>2.14</v>
      </c>
      <c r="I866" s="15">
        <f t="shared" si="407"/>
        <v>0</v>
      </c>
      <c r="J866" s="15">
        <f t="shared" si="414"/>
        <v>828.24419999999998</v>
      </c>
      <c r="K866" s="15">
        <f t="shared" si="413"/>
        <v>828.24419999999998</v>
      </c>
    </row>
    <row r="867" spans="1:11" ht="32.5" customHeight="1">
      <c r="A867" s="12" t="s">
        <v>1446</v>
      </c>
      <c r="B867" s="19" t="s">
        <v>669</v>
      </c>
      <c r="C867" s="11"/>
      <c r="D867" s="192" t="s">
        <v>1486</v>
      </c>
      <c r="E867" s="193"/>
      <c r="F867" s="15">
        <v>802.54</v>
      </c>
      <c r="G867" s="15">
        <f t="shared" si="412"/>
        <v>802.54</v>
      </c>
      <c r="H867" s="197">
        <v>0.87</v>
      </c>
      <c r="I867" s="15">
        <f t="shared" si="407"/>
        <v>0</v>
      </c>
      <c r="J867" s="15">
        <f t="shared" si="414"/>
        <v>698.20979999999997</v>
      </c>
      <c r="K867" s="15">
        <f t="shared" si="413"/>
        <v>698.20979999999997</v>
      </c>
    </row>
    <row r="868" spans="1:11" ht="26.5">
      <c r="A868" s="12" t="s">
        <v>1447</v>
      </c>
      <c r="B868" s="19" t="s">
        <v>671</v>
      </c>
      <c r="C868" s="11"/>
      <c r="D868" s="15" t="s">
        <v>87</v>
      </c>
      <c r="E868" s="14"/>
      <c r="F868" s="15">
        <v>12.9</v>
      </c>
      <c r="G868" s="15">
        <f t="shared" si="412"/>
        <v>12.9</v>
      </c>
      <c r="H868" s="196">
        <v>1248.29</v>
      </c>
      <c r="I868" s="15">
        <f t="shared" si="407"/>
        <v>0</v>
      </c>
      <c r="J868" s="15">
        <f t="shared" si="414"/>
        <v>16102.941000000001</v>
      </c>
      <c r="K868" s="15">
        <f t="shared" si="413"/>
        <v>16102.941000000001</v>
      </c>
    </row>
    <row r="869" spans="1:11" ht="16.5" customHeight="1">
      <c r="A869" s="12" t="s">
        <v>1448</v>
      </c>
      <c r="B869" s="17" t="s">
        <v>672</v>
      </c>
      <c r="C869" s="11" t="s">
        <v>87</v>
      </c>
      <c r="D869" s="15" t="s">
        <v>124</v>
      </c>
      <c r="E869" s="14"/>
      <c r="F869" s="15">
        <v>430.03</v>
      </c>
      <c r="G869" s="15">
        <f t="shared" si="412"/>
        <v>430.03</v>
      </c>
      <c r="H869" s="196">
        <v>2.83</v>
      </c>
      <c r="I869" s="15">
        <f t="shared" si="407"/>
        <v>0</v>
      </c>
      <c r="J869" s="15">
        <f t="shared" si="414"/>
        <v>1216.9848999999999</v>
      </c>
      <c r="K869" s="15">
        <f t="shared" si="413"/>
        <v>1216.9848999999999</v>
      </c>
    </row>
    <row r="870" spans="1:11">
      <c r="A870" s="8" t="s">
        <v>1449</v>
      </c>
      <c r="B870" s="9" t="s">
        <v>107</v>
      </c>
      <c r="C870" s="8"/>
      <c r="D870" s="8"/>
      <c r="E870" s="8"/>
      <c r="F870" s="203"/>
      <c r="G870" s="203"/>
      <c r="H870" s="195"/>
      <c r="I870" s="195"/>
      <c r="J870" s="10">
        <f>SUM(J871:J873)</f>
        <v>0</v>
      </c>
      <c r="K870" s="10">
        <f>SUM(K871:K873)</f>
        <v>0</v>
      </c>
    </row>
    <row r="871" spans="1:11" ht="39">
      <c r="A871" s="12" t="s">
        <v>1450</v>
      </c>
      <c r="B871" s="13" t="s">
        <v>674</v>
      </c>
      <c r="C871" s="11" t="s">
        <v>33</v>
      </c>
      <c r="D871" s="14" t="s">
        <v>1487</v>
      </c>
      <c r="E871" s="14"/>
      <c r="F871" s="15"/>
      <c r="G871" s="15">
        <f>F871-E871</f>
        <v>0</v>
      </c>
      <c r="H871" s="196">
        <v>625.09</v>
      </c>
      <c r="I871" s="15">
        <f t="shared" si="407"/>
        <v>0</v>
      </c>
      <c r="J871" s="15">
        <f>H871*F871</f>
        <v>0</v>
      </c>
      <c r="K871" s="15">
        <f t="shared" ref="K871:K873" si="415">G871*H871</f>
        <v>0</v>
      </c>
    </row>
    <row r="872" spans="1:11" ht="17" customHeight="1">
      <c r="A872" s="12" t="s">
        <v>1451</v>
      </c>
      <c r="B872" s="194" t="s">
        <v>680</v>
      </c>
      <c r="C872" s="11" t="s">
        <v>33</v>
      </c>
      <c r="D872" s="14" t="s">
        <v>124</v>
      </c>
      <c r="E872" s="14"/>
      <c r="F872" s="15"/>
      <c r="G872" s="15">
        <f>F872-E872</f>
        <v>0</v>
      </c>
      <c r="H872" s="196">
        <v>16.260000000000002</v>
      </c>
      <c r="I872" s="15">
        <f t="shared" si="407"/>
        <v>0</v>
      </c>
      <c r="J872" s="15">
        <f t="shared" ref="J872:J873" si="416">H872*F872</f>
        <v>0</v>
      </c>
      <c r="K872" s="15">
        <f t="shared" si="415"/>
        <v>0</v>
      </c>
    </row>
    <row r="873" spans="1:11" ht="16.5" customHeight="1">
      <c r="A873" s="12" t="s">
        <v>1452</v>
      </c>
      <c r="B873" s="13" t="s">
        <v>675</v>
      </c>
      <c r="C873" s="11" t="s">
        <v>33</v>
      </c>
      <c r="D873" s="14" t="s">
        <v>124</v>
      </c>
      <c r="E873" s="14"/>
      <c r="F873" s="15"/>
      <c r="G873" s="15">
        <f>F873-E873</f>
        <v>0</v>
      </c>
      <c r="H873" s="196">
        <v>4.5599999999999996</v>
      </c>
      <c r="I873" s="15">
        <f t="shared" si="407"/>
        <v>0</v>
      </c>
      <c r="J873" s="15">
        <f t="shared" si="416"/>
        <v>0</v>
      </c>
      <c r="K873" s="15">
        <f t="shared" si="415"/>
        <v>0</v>
      </c>
    </row>
    <row r="874" spans="1:11">
      <c r="A874" s="8" t="s">
        <v>1453</v>
      </c>
      <c r="B874" s="9" t="s">
        <v>678</v>
      </c>
      <c r="C874" s="8"/>
      <c r="D874" s="8"/>
      <c r="E874" s="8"/>
      <c r="F874" s="203"/>
      <c r="G874" s="203"/>
      <c r="H874" s="195"/>
      <c r="I874" s="195"/>
      <c r="J874" s="10">
        <f>SUM(J875:J876)</f>
        <v>752.55250000000001</v>
      </c>
      <c r="K874" s="10">
        <f>SUM(K875:K876)</f>
        <v>752.55250000000001</v>
      </c>
    </row>
    <row r="875" spans="1:11">
      <c r="A875" s="12" t="s">
        <v>1454</v>
      </c>
      <c r="B875" s="13" t="s">
        <v>659</v>
      </c>
      <c r="C875" s="11" t="s">
        <v>11</v>
      </c>
      <c r="D875" s="14" t="s">
        <v>124</v>
      </c>
      <c r="E875" s="14"/>
      <c r="F875" s="15">
        <v>430.03</v>
      </c>
      <c r="G875" s="15">
        <f>F875-E875</f>
        <v>430.03</v>
      </c>
      <c r="H875" s="196">
        <v>1.75</v>
      </c>
      <c r="I875" s="15">
        <f t="shared" si="407"/>
        <v>0</v>
      </c>
      <c r="J875" s="15">
        <f>H875*F875</f>
        <v>752.55250000000001</v>
      </c>
      <c r="K875" s="207">
        <f t="shared" ref="K875:K876" si="417">G875*H875</f>
        <v>752.55250000000001</v>
      </c>
    </row>
    <row r="876" spans="1:11">
      <c r="A876" s="12" t="s">
        <v>1455</v>
      </c>
      <c r="B876" s="13" t="s">
        <v>679</v>
      </c>
      <c r="C876" s="11" t="s">
        <v>11</v>
      </c>
      <c r="D876" s="14" t="s">
        <v>1487</v>
      </c>
      <c r="E876" s="14"/>
      <c r="F876" s="15"/>
      <c r="G876" s="15">
        <f>F876-E876</f>
        <v>0</v>
      </c>
      <c r="H876" s="196">
        <v>92.34</v>
      </c>
      <c r="I876" s="15">
        <f t="shared" si="407"/>
        <v>0</v>
      </c>
      <c r="J876" s="208">
        <f>H876*F876</f>
        <v>0</v>
      </c>
      <c r="K876" s="209">
        <f t="shared" si="417"/>
        <v>0</v>
      </c>
    </row>
    <row r="877" spans="1:11">
      <c r="F877" s="136"/>
      <c r="G877" s="136"/>
    </row>
    <row r="878" spans="1:11">
      <c r="A878" s="210"/>
      <c r="B878" s="211" t="s">
        <v>1495</v>
      </c>
      <c r="C878" s="210"/>
      <c r="D878" s="210" t="s">
        <v>1496</v>
      </c>
      <c r="E878" s="210"/>
      <c r="F878" s="212"/>
      <c r="G878" s="212"/>
      <c r="H878" s="213"/>
      <c r="I878" s="213">
        <f>SUM(I12,I40,I67,I94,I121,I148,I175,I202,I229,I256,I283,I310,I337,I364,I391,I418,I445,I472,I499,I526,I553,I580,I607,I634,I661,I688,I715,I742,I769,I796,I823,I850) + 0.06</f>
        <v>2103823.3391</v>
      </c>
      <c r="J878" s="213">
        <f>SUM(J12,J40,J67,J94,J121,J148,J175,J202,J229,J256,J283,J310,J337,J364,J391,J418,J445,J472,J499,J526,J553,J580,J607,J634,J661,J688,J715,J742,J769,J796,J823,J850) + 0.07</f>
        <v>4126987.7744999994</v>
      </c>
      <c r="K878" s="213">
        <f>SUM(K12,K40,K67,K94,K121,K148,K175,K202,K229,K256,K283,K310,K337,K364,K391,K418,K445,K472,K499,K526,K553,K580,K607,K634,K661,K688,K715,K742,K769,K796,K823,K850)</f>
        <v>2023164.4254000001</v>
      </c>
    </row>
    <row r="879" spans="1:11">
      <c r="A879" s="210"/>
      <c r="B879" s="211" t="s">
        <v>1497</v>
      </c>
      <c r="C879" s="210"/>
      <c r="D879" s="210" t="s">
        <v>1496</v>
      </c>
      <c r="E879" s="210"/>
      <c r="F879" s="212"/>
      <c r="G879" s="212"/>
      <c r="H879" s="213"/>
      <c r="I879" s="213"/>
      <c r="J879" s="213"/>
      <c r="K879" s="213">
        <f>(SUM(K12,K40,K67,K94,K121,K148,K175,K202,K229,K256,K283,K310,K337,K364,K391,K418,K445,K472,K499,K526,K553,K580,K607,K634,K661,K688,K715,K742,K769,K796,K823,K850))</f>
        <v>2023164.4254000001</v>
      </c>
    </row>
  </sheetData>
  <mergeCells count="20">
    <mergeCell ref="I5:J5"/>
    <mergeCell ref="I4:J4"/>
    <mergeCell ref="I7:J7"/>
    <mergeCell ref="I8:J8"/>
    <mergeCell ref="I9:J9"/>
    <mergeCell ref="I10:J10"/>
    <mergeCell ref="K10:K11"/>
    <mergeCell ref="A1:B1"/>
    <mergeCell ref="I1:K1"/>
    <mergeCell ref="A10:A11"/>
    <mergeCell ref="B10:B11"/>
    <mergeCell ref="C10:C11"/>
    <mergeCell ref="E10:F10"/>
    <mergeCell ref="G10:G11"/>
    <mergeCell ref="D10:D11"/>
    <mergeCell ref="D1:H1"/>
    <mergeCell ref="A3:F3"/>
    <mergeCell ref="A4:B4"/>
    <mergeCell ref="A5:B5"/>
    <mergeCell ref="A6:B6"/>
  </mergeCells>
  <phoneticPr fontId="33" type="noConversion"/>
  <pageMargins left="0.59055118110236215" right="0.59055118110236215" top="0.70000000000000007" bottom="0.88415224089427402" header="0" footer="0"/>
  <pageSetup paperSize="9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123"/>
  <sheetViews>
    <sheetView zoomScale="49" zoomScaleNormal="49" workbookViewId="0">
      <pane ySplit="3" topLeftCell="A4" activePane="bottomLeft" state="frozen"/>
      <selection pane="bottomLeft" activeCell="B181" sqref="B181"/>
    </sheetView>
  </sheetViews>
  <sheetFormatPr defaultColWidth="14.453125" defaultRowHeight="15" customHeight="1"/>
  <cols>
    <col min="1" max="1" width="6.7265625" customWidth="1"/>
    <col min="2" max="2" width="80" customWidth="1"/>
    <col min="3" max="4" width="14.1796875" customWidth="1"/>
    <col min="5" max="5" width="11.1796875" customWidth="1"/>
    <col min="6" max="6" width="11.7265625" customWidth="1"/>
    <col min="7" max="7" width="10.54296875" customWidth="1"/>
    <col min="8" max="18" width="8.26953125" customWidth="1"/>
    <col min="19" max="19" width="4.26953125" customWidth="1"/>
    <col min="20" max="20" width="8.26953125" customWidth="1"/>
  </cols>
  <sheetData>
    <row r="1" spans="1:20" ht="14.5">
      <c r="A1" s="6" t="s">
        <v>1</v>
      </c>
      <c r="B1" s="7" t="s">
        <v>63</v>
      </c>
      <c r="C1" s="258" t="s">
        <v>118</v>
      </c>
      <c r="D1" s="259"/>
      <c r="E1" s="259"/>
      <c r="F1" s="259"/>
      <c r="G1" s="260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5"/>
      <c r="T1" s="5"/>
    </row>
    <row r="2" spans="1:20" ht="14.5">
      <c r="A2" s="6" t="s">
        <v>71</v>
      </c>
      <c r="B2" s="7" t="s">
        <v>72</v>
      </c>
      <c r="C2" s="261"/>
      <c r="D2" s="262"/>
      <c r="E2" s="262"/>
      <c r="F2" s="262"/>
      <c r="G2" s="26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4.5">
      <c r="A3" s="8" t="s">
        <v>12</v>
      </c>
      <c r="B3" s="9" t="s">
        <v>73</v>
      </c>
      <c r="C3" s="8" t="s">
        <v>119</v>
      </c>
      <c r="D3" s="8" t="s">
        <v>120</v>
      </c>
      <c r="E3" s="8" t="s">
        <v>121</v>
      </c>
      <c r="F3" s="8" t="s">
        <v>122</v>
      </c>
      <c r="G3" s="9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4.5">
      <c r="A4" s="8" t="s">
        <v>74</v>
      </c>
      <c r="B4" s="23" t="e">
        <f>#REF!</f>
        <v>#REF!</v>
      </c>
      <c r="C4" s="246" t="s">
        <v>123</v>
      </c>
      <c r="D4" s="247"/>
      <c r="E4" s="248"/>
      <c r="F4" s="24">
        <f>SUM(F5:F8)</f>
        <v>100.15600000000002</v>
      </c>
      <c r="G4" s="25" t="s">
        <v>124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spans="1:20" ht="14.5">
      <c r="A5" s="11"/>
      <c r="B5" s="13" t="s">
        <v>125</v>
      </c>
      <c r="C5" s="14">
        <v>2</v>
      </c>
      <c r="D5" s="14">
        <v>4.9000000000000004</v>
      </c>
      <c r="E5" s="14">
        <v>3.95</v>
      </c>
      <c r="F5" s="14">
        <f t="shared" ref="F5:F8" si="0">C5*D5*E5</f>
        <v>38.710000000000008</v>
      </c>
      <c r="G5" s="2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4.5">
      <c r="A6" s="11"/>
      <c r="B6" s="13" t="s">
        <v>126</v>
      </c>
      <c r="C6" s="14">
        <v>2</v>
      </c>
      <c r="D6" s="14">
        <v>2.4</v>
      </c>
      <c r="E6" s="14">
        <v>3.33</v>
      </c>
      <c r="F6" s="14">
        <f t="shared" si="0"/>
        <v>15.984</v>
      </c>
      <c r="G6" s="2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4.5">
      <c r="A7" s="11"/>
      <c r="B7" s="13" t="s">
        <v>127</v>
      </c>
      <c r="C7" s="14">
        <v>2</v>
      </c>
      <c r="D7" s="14">
        <v>6.18</v>
      </c>
      <c r="E7" s="14">
        <v>3.95</v>
      </c>
      <c r="F7" s="14">
        <f t="shared" si="0"/>
        <v>48.822000000000003</v>
      </c>
      <c r="G7" s="2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5">
      <c r="A8" s="11"/>
      <c r="B8" s="13" t="s">
        <v>128</v>
      </c>
      <c r="C8" s="14">
        <v>-2</v>
      </c>
      <c r="D8" s="14">
        <v>0.8</v>
      </c>
      <c r="E8" s="14">
        <v>2.1</v>
      </c>
      <c r="F8" s="14">
        <f t="shared" si="0"/>
        <v>-3.3600000000000003</v>
      </c>
      <c r="G8" s="2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4.5">
      <c r="A9" s="8" t="s">
        <v>75</v>
      </c>
      <c r="B9" s="23" t="e">
        <f>#REF!</f>
        <v>#REF!</v>
      </c>
      <c r="C9" s="246" t="s">
        <v>123</v>
      </c>
      <c r="D9" s="247"/>
      <c r="E9" s="248"/>
      <c r="F9" s="24">
        <f>3*1.4</f>
        <v>4.1999999999999993</v>
      </c>
      <c r="G9" s="25" t="s">
        <v>129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spans="1:20" ht="14.5">
      <c r="A10" s="11"/>
      <c r="B10" s="13" t="s">
        <v>130</v>
      </c>
      <c r="C10" s="14">
        <v>3</v>
      </c>
      <c r="D10" s="14">
        <v>1.4</v>
      </c>
      <c r="E10" s="14"/>
      <c r="F10" s="14">
        <f>C10*D10</f>
        <v>4.1999999999999993</v>
      </c>
      <c r="G10" s="2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4.5">
      <c r="A11" s="8" t="s">
        <v>14</v>
      </c>
      <c r="B11" s="9" t="s">
        <v>24</v>
      </c>
      <c r="C11" s="8" t="s">
        <v>119</v>
      </c>
      <c r="D11" s="8" t="s">
        <v>120</v>
      </c>
      <c r="E11" s="8" t="s">
        <v>121</v>
      </c>
      <c r="F11" s="8" t="s">
        <v>122</v>
      </c>
      <c r="G11" s="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5.75" customHeight="1">
      <c r="A12" s="8" t="s">
        <v>76</v>
      </c>
      <c r="B12" s="23" t="s">
        <v>77</v>
      </c>
      <c r="C12" s="246" t="s">
        <v>131</v>
      </c>
      <c r="D12" s="247"/>
      <c r="E12" s="248"/>
      <c r="F12" s="24">
        <v>5</v>
      </c>
      <c r="G12" s="25" t="s">
        <v>129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5.75" customHeight="1">
      <c r="A13" s="11"/>
      <c r="B13" s="13" t="s">
        <v>130</v>
      </c>
      <c r="C13" s="14"/>
      <c r="D13" s="14">
        <v>5</v>
      </c>
      <c r="E13" s="14"/>
      <c r="F13" s="14"/>
      <c r="G13" s="2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5.75" customHeight="1">
      <c r="A14" s="8" t="s">
        <v>16</v>
      </c>
      <c r="B14" s="9" t="s">
        <v>31</v>
      </c>
      <c r="C14" s="8" t="s">
        <v>119</v>
      </c>
      <c r="D14" s="8" t="s">
        <v>120</v>
      </c>
      <c r="E14" s="8" t="s">
        <v>121</v>
      </c>
      <c r="F14" s="8" t="s">
        <v>122</v>
      </c>
      <c r="G14" s="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23.25" customHeight="1">
      <c r="A15" s="8" t="s">
        <v>78</v>
      </c>
      <c r="B15" s="23" t="e">
        <f>#REF!</f>
        <v>#REF!</v>
      </c>
      <c r="C15" s="246" t="s">
        <v>123</v>
      </c>
      <c r="D15" s="247"/>
      <c r="E15" s="248"/>
      <c r="F15" s="24">
        <v>3</v>
      </c>
      <c r="G15" s="25" t="s">
        <v>132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5.75" customHeight="1">
      <c r="A16" s="11"/>
      <c r="B16" s="13"/>
      <c r="C16" s="14">
        <v>3</v>
      </c>
      <c r="D16" s="14"/>
      <c r="E16" s="14"/>
      <c r="F16" s="14"/>
      <c r="G16" s="27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5.75" customHeight="1">
      <c r="A17" s="8" t="s">
        <v>79</v>
      </c>
      <c r="B17" s="23" t="s">
        <v>81</v>
      </c>
      <c r="C17" s="246" t="s">
        <v>131</v>
      </c>
      <c r="D17" s="247"/>
      <c r="E17" s="248"/>
      <c r="F17" s="24">
        <v>5</v>
      </c>
      <c r="G17" s="28" t="s">
        <v>132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5.75" customHeight="1">
      <c r="A18" s="11"/>
      <c r="B18" s="13"/>
      <c r="C18" s="14">
        <v>5</v>
      </c>
      <c r="D18" s="14"/>
      <c r="E18" s="14"/>
      <c r="F18" s="14"/>
      <c r="G18" s="2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5.75" customHeight="1">
      <c r="A19" s="8" t="s">
        <v>80</v>
      </c>
      <c r="B19" s="23" t="s">
        <v>83</v>
      </c>
      <c r="C19" s="246" t="s">
        <v>131</v>
      </c>
      <c r="D19" s="247"/>
      <c r="E19" s="248"/>
      <c r="F19" s="24">
        <f>F20</f>
        <v>3.7800000000000002</v>
      </c>
      <c r="G19" s="28" t="s">
        <v>124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5.75" customHeight="1">
      <c r="A20" s="11"/>
      <c r="B20" s="16" t="s">
        <v>133</v>
      </c>
      <c r="C20" s="14">
        <v>2</v>
      </c>
      <c r="D20" s="14">
        <v>0.9</v>
      </c>
      <c r="E20" s="14">
        <v>2.1</v>
      </c>
      <c r="F20" s="14">
        <f>C20*D20*E20</f>
        <v>3.7800000000000002</v>
      </c>
      <c r="G20" s="2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5.75" customHeight="1">
      <c r="A21" s="8" t="s">
        <v>82</v>
      </c>
      <c r="B21" s="30" t="s">
        <v>85</v>
      </c>
      <c r="C21" s="246" t="s">
        <v>131</v>
      </c>
      <c r="D21" s="247"/>
      <c r="E21" s="248"/>
      <c r="F21" s="24">
        <f>SUM(F22:F23)</f>
        <v>23.050000000000004</v>
      </c>
      <c r="G21" s="28" t="s">
        <v>124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5.75" customHeight="1">
      <c r="A22" s="11"/>
      <c r="B22" s="16" t="str">
        <f>B25</f>
        <v>Medidas retiradas in loco (Janelas da Fachada)</v>
      </c>
      <c r="C22" s="14">
        <v>13</v>
      </c>
      <c r="D22" s="14">
        <f t="shared" ref="D22:E22" si="1">D25</f>
        <v>1.1000000000000001</v>
      </c>
      <c r="E22" s="14">
        <f t="shared" si="1"/>
        <v>1.5</v>
      </c>
      <c r="F22" s="14">
        <f t="shared" ref="F22:F23" si="2">C22*D22*E22</f>
        <v>21.450000000000003</v>
      </c>
      <c r="G22" s="2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5.75" customHeight="1">
      <c r="A23" s="11"/>
      <c r="B23" s="16" t="s">
        <v>134</v>
      </c>
      <c r="C23" s="14">
        <f t="shared" ref="C23:E23" si="3">C26</f>
        <v>2</v>
      </c>
      <c r="D23" s="14">
        <f t="shared" si="3"/>
        <v>2</v>
      </c>
      <c r="E23" s="14">
        <f t="shared" si="3"/>
        <v>0.4</v>
      </c>
      <c r="F23" s="14">
        <f t="shared" si="2"/>
        <v>1.6</v>
      </c>
      <c r="G23" s="2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5.75" customHeight="1">
      <c r="A24" s="8" t="s">
        <v>84</v>
      </c>
      <c r="B24" s="31" t="s">
        <v>86</v>
      </c>
      <c r="C24" s="246" t="s">
        <v>131</v>
      </c>
      <c r="D24" s="247"/>
      <c r="E24" s="248"/>
      <c r="F24" s="24">
        <f>SUM(F25:F26)</f>
        <v>23.050000000000004</v>
      </c>
      <c r="G24" s="28" t="s">
        <v>124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5.75" customHeight="1">
      <c r="A25" s="11"/>
      <c r="B25" s="16" t="s">
        <v>135</v>
      </c>
      <c r="C25" s="14">
        <v>13</v>
      </c>
      <c r="D25" s="14">
        <v>1.1000000000000001</v>
      </c>
      <c r="E25" s="14">
        <v>1.5</v>
      </c>
      <c r="F25" s="14">
        <f t="shared" ref="F25:F26" si="4">C25*D25*E25</f>
        <v>21.450000000000003</v>
      </c>
      <c r="G25" s="29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5.75" customHeight="1">
      <c r="A26" s="11"/>
      <c r="B26" s="16" t="s">
        <v>136</v>
      </c>
      <c r="C26" s="14">
        <v>2</v>
      </c>
      <c r="D26" s="14">
        <v>2</v>
      </c>
      <c r="E26" s="14">
        <v>0.4</v>
      </c>
      <c r="F26" s="14">
        <f t="shared" si="4"/>
        <v>1.6</v>
      </c>
      <c r="G26" s="2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5.75" customHeight="1">
      <c r="A27" s="8" t="s">
        <v>17</v>
      </c>
      <c r="B27" s="9" t="s">
        <v>35</v>
      </c>
      <c r="C27" s="8" t="s">
        <v>119</v>
      </c>
      <c r="D27" s="8" t="s">
        <v>120</v>
      </c>
      <c r="E27" s="8" t="s">
        <v>121</v>
      </c>
      <c r="F27" s="8" t="s">
        <v>122</v>
      </c>
      <c r="G27" s="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5.75" customHeight="1">
      <c r="A28" s="117" t="s">
        <v>88</v>
      </c>
      <c r="B28" s="118" t="s">
        <v>39</v>
      </c>
      <c r="C28" s="254" t="s">
        <v>592</v>
      </c>
      <c r="D28" s="247"/>
      <c r="E28" s="248"/>
      <c r="F28" s="24">
        <f>SUM(F29)</f>
        <v>2</v>
      </c>
      <c r="G28" s="119" t="s">
        <v>132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5.75" customHeight="1">
      <c r="A29" s="11"/>
      <c r="B29" s="16"/>
      <c r="C29" s="14">
        <v>2</v>
      </c>
      <c r="D29" s="14"/>
      <c r="E29" s="14"/>
      <c r="F29" s="14">
        <f>C29</f>
        <v>2</v>
      </c>
      <c r="G29" s="2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5.75" customHeight="1">
      <c r="A30" s="117" t="s">
        <v>89</v>
      </c>
      <c r="B30" s="118" t="s">
        <v>90</v>
      </c>
      <c r="C30" s="246" t="s">
        <v>131</v>
      </c>
      <c r="D30" s="247"/>
      <c r="E30" s="248"/>
      <c r="F30" s="24">
        <f>SUM(F31:F31)</f>
        <v>47</v>
      </c>
      <c r="G30" s="119" t="s">
        <v>132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5.75" customHeight="1">
      <c r="A31" s="11"/>
      <c r="B31" s="16"/>
      <c r="C31" s="14">
        <v>47</v>
      </c>
      <c r="D31" s="14"/>
      <c r="E31" s="14"/>
      <c r="F31" s="14">
        <f>C31</f>
        <v>47</v>
      </c>
      <c r="G31" s="2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5.75" customHeight="1">
      <c r="A32" s="8" t="s">
        <v>91</v>
      </c>
      <c r="B32" s="9" t="s">
        <v>41</v>
      </c>
      <c r="C32" s="8" t="s">
        <v>119</v>
      </c>
      <c r="D32" s="8" t="s">
        <v>120</v>
      </c>
      <c r="E32" s="124" t="s">
        <v>138</v>
      </c>
      <c r="F32" s="8" t="s">
        <v>122</v>
      </c>
      <c r="G32" s="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s="136" customFormat="1" ht="36" customHeight="1">
      <c r="A33" s="124" t="s">
        <v>92</v>
      </c>
      <c r="B33" s="137" t="s">
        <v>595</v>
      </c>
      <c r="C33" s="255" t="s">
        <v>131</v>
      </c>
      <c r="D33" s="256"/>
      <c r="E33" s="257"/>
      <c r="F33" s="122" t="e">
        <f>F53</f>
        <v>#REF!</v>
      </c>
      <c r="G33" s="139" t="s">
        <v>124</v>
      </c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</row>
    <row r="34" spans="1:20" s="136" customFormat="1" ht="15.75" customHeight="1">
      <c r="A34" s="133"/>
      <c r="B34" s="144" t="s">
        <v>596</v>
      </c>
      <c r="C34" s="142">
        <v>1</v>
      </c>
      <c r="D34" s="142">
        <v>2.85</v>
      </c>
      <c r="E34" s="142">
        <v>3.4</v>
      </c>
      <c r="F34" s="142">
        <f>(D34*E34)*C34</f>
        <v>9.69</v>
      </c>
      <c r="G34" s="143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</row>
    <row r="35" spans="1:20" s="136" customFormat="1" ht="15.75" customHeight="1">
      <c r="A35" s="133"/>
      <c r="B35" s="144" t="s">
        <v>597</v>
      </c>
      <c r="C35" s="142"/>
      <c r="D35" s="142"/>
      <c r="E35" s="142"/>
      <c r="F35" s="142"/>
      <c r="G35" s="143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</row>
    <row r="36" spans="1:20" s="136" customFormat="1" ht="15.75" customHeight="1">
      <c r="A36" s="133"/>
      <c r="B36" s="144"/>
      <c r="C36" s="142">
        <v>1</v>
      </c>
      <c r="D36" s="142">
        <v>1.2</v>
      </c>
      <c r="E36" s="142">
        <v>1.7</v>
      </c>
      <c r="F36" s="142">
        <f t="shared" ref="F36:F50" si="5">(D36*E36)*C36</f>
        <v>2.04</v>
      </c>
      <c r="G36" s="143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</row>
    <row r="37" spans="1:20" s="136" customFormat="1" ht="15.75" customHeight="1">
      <c r="A37" s="133"/>
      <c r="B37" s="144"/>
      <c r="C37" s="142">
        <v>1</v>
      </c>
      <c r="D37" s="142">
        <v>1.8</v>
      </c>
      <c r="E37" s="142">
        <v>1.7</v>
      </c>
      <c r="F37" s="142">
        <f t="shared" si="5"/>
        <v>3.06</v>
      </c>
      <c r="G37" s="143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</row>
    <row r="38" spans="1:20" s="136" customFormat="1" ht="15.75" customHeight="1">
      <c r="A38" s="133"/>
      <c r="B38" s="144"/>
      <c r="C38" s="142">
        <v>1</v>
      </c>
      <c r="D38" s="142">
        <v>3.1</v>
      </c>
      <c r="E38" s="142">
        <v>1.55</v>
      </c>
      <c r="F38" s="142">
        <f t="shared" si="5"/>
        <v>4.8050000000000006</v>
      </c>
      <c r="G38" s="143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</row>
    <row r="39" spans="1:20" s="136" customFormat="1" ht="15.75" customHeight="1">
      <c r="A39" s="133"/>
      <c r="B39" s="144" t="s">
        <v>593</v>
      </c>
      <c r="C39" s="142"/>
      <c r="D39" s="142"/>
      <c r="E39" s="142"/>
      <c r="F39" s="142"/>
      <c r="G39" s="143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</row>
    <row r="40" spans="1:20" s="136" customFormat="1" ht="15.75" customHeight="1">
      <c r="A40" s="133"/>
      <c r="B40" s="144"/>
      <c r="C40" s="142">
        <v>1</v>
      </c>
      <c r="D40" s="142">
        <v>1.2</v>
      </c>
      <c r="E40" s="142">
        <v>1.7</v>
      </c>
      <c r="F40" s="142">
        <f t="shared" si="5"/>
        <v>2.04</v>
      </c>
      <c r="G40" s="143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</row>
    <row r="41" spans="1:20" s="136" customFormat="1" ht="15.75" customHeight="1">
      <c r="A41" s="133"/>
      <c r="B41" s="144"/>
      <c r="C41" s="142">
        <v>1</v>
      </c>
      <c r="D41" s="142">
        <v>1.8</v>
      </c>
      <c r="E41" s="142">
        <v>1.7</v>
      </c>
      <c r="F41" s="142">
        <f t="shared" si="5"/>
        <v>3.06</v>
      </c>
      <c r="G41" s="143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</row>
    <row r="42" spans="1:20" s="136" customFormat="1" ht="15.75" customHeight="1">
      <c r="A42" s="133"/>
      <c r="B42" s="144"/>
      <c r="C42" s="142">
        <v>1</v>
      </c>
      <c r="D42" s="142">
        <v>3.1</v>
      </c>
      <c r="E42" s="142">
        <v>1.55</v>
      </c>
      <c r="F42" s="142">
        <f t="shared" si="5"/>
        <v>4.8050000000000006</v>
      </c>
      <c r="G42" s="143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</row>
    <row r="43" spans="1:20" s="136" customFormat="1" ht="15.75" customHeight="1">
      <c r="A43" s="133"/>
      <c r="B43" s="153" t="s">
        <v>606</v>
      </c>
      <c r="C43" s="142">
        <v>1</v>
      </c>
      <c r="D43" s="154">
        <v>4.9000000000000004</v>
      </c>
      <c r="E43" s="154">
        <v>9.9</v>
      </c>
      <c r="F43" s="142">
        <f t="shared" si="5"/>
        <v>48.510000000000005</v>
      </c>
      <c r="G43" s="143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</row>
    <row r="44" spans="1:20" s="136" customFormat="1" ht="15.75" customHeight="1">
      <c r="A44" s="133"/>
      <c r="B44" s="145" t="s">
        <v>607</v>
      </c>
      <c r="C44" s="142">
        <v>1</v>
      </c>
      <c r="D44" s="146">
        <v>9.4499999999999993</v>
      </c>
      <c r="E44" s="146">
        <v>1.2</v>
      </c>
      <c r="F44" s="142">
        <f t="shared" si="5"/>
        <v>11.339999999999998</v>
      </c>
      <c r="G44" s="143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</row>
    <row r="45" spans="1:20" s="136" customFormat="1" ht="15.75" customHeight="1">
      <c r="A45" s="133"/>
      <c r="B45" s="145" t="s">
        <v>608</v>
      </c>
      <c r="C45" s="142">
        <v>1</v>
      </c>
      <c r="D45" s="146">
        <v>4</v>
      </c>
      <c r="E45" s="146">
        <v>5</v>
      </c>
      <c r="F45" s="142">
        <f t="shared" si="5"/>
        <v>20</v>
      </c>
      <c r="G45" s="143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</row>
    <row r="46" spans="1:20" s="136" customFormat="1" ht="15.75" customHeight="1">
      <c r="A46" s="133"/>
      <c r="B46" s="145" t="s">
        <v>609</v>
      </c>
      <c r="C46" s="142">
        <v>1</v>
      </c>
      <c r="D46" s="146">
        <v>1.25</v>
      </c>
      <c r="E46" s="146">
        <v>5.3</v>
      </c>
      <c r="F46" s="142">
        <f t="shared" si="5"/>
        <v>6.625</v>
      </c>
      <c r="G46" s="143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</row>
    <row r="47" spans="1:20" s="136" customFormat="1" ht="15.75" customHeight="1">
      <c r="A47" s="133"/>
      <c r="B47" s="145" t="s">
        <v>599</v>
      </c>
      <c r="C47" s="142">
        <v>1</v>
      </c>
      <c r="D47" s="146">
        <v>7.15</v>
      </c>
      <c r="E47" s="146">
        <v>5</v>
      </c>
      <c r="F47" s="142">
        <f t="shared" si="5"/>
        <v>35.75</v>
      </c>
      <c r="G47" s="143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</row>
    <row r="48" spans="1:20" s="136" customFormat="1" ht="15.75" customHeight="1">
      <c r="A48" s="133"/>
      <c r="B48" s="145" t="s">
        <v>600</v>
      </c>
      <c r="C48" s="142">
        <v>1</v>
      </c>
      <c r="D48" s="146">
        <v>5.05</v>
      </c>
      <c r="E48" s="146">
        <v>4.75</v>
      </c>
      <c r="F48" s="142">
        <f t="shared" si="5"/>
        <v>23.987500000000001</v>
      </c>
      <c r="G48" s="143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</row>
    <row r="49" spans="1:20" s="136" customFormat="1" ht="15.75" customHeight="1">
      <c r="A49" s="133"/>
      <c r="B49" s="145" t="s">
        <v>598</v>
      </c>
      <c r="C49" s="142">
        <v>1</v>
      </c>
      <c r="D49" s="146">
        <v>3.05</v>
      </c>
      <c r="E49" s="146">
        <v>1.8</v>
      </c>
      <c r="F49" s="142">
        <f t="shared" si="5"/>
        <v>5.49</v>
      </c>
      <c r="G49" s="143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</row>
    <row r="50" spans="1:20" s="136" customFormat="1" ht="15.75" customHeight="1">
      <c r="A50" s="133"/>
      <c r="B50" s="145" t="s">
        <v>601</v>
      </c>
      <c r="C50" s="141">
        <v>1</v>
      </c>
      <c r="D50" s="146">
        <v>20</v>
      </c>
      <c r="E50" s="146">
        <v>5</v>
      </c>
      <c r="F50" s="141">
        <f t="shared" si="5"/>
        <v>100</v>
      </c>
      <c r="G50" s="143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</row>
    <row r="51" spans="1:20" s="136" customFormat="1" ht="15.75" customHeight="1">
      <c r="A51" s="133"/>
      <c r="B51" s="149"/>
      <c r="C51" s="249" t="s">
        <v>602</v>
      </c>
      <c r="D51" s="250"/>
      <c r="E51" s="251"/>
      <c r="F51" s="141">
        <f>SUM(F34:F50)</f>
        <v>281.20250000000004</v>
      </c>
      <c r="G51" s="143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</row>
    <row r="52" spans="1:20" s="136" customFormat="1" ht="15.75" customHeight="1">
      <c r="A52" s="133"/>
      <c r="B52" s="147"/>
      <c r="C52" s="249" t="s">
        <v>603</v>
      </c>
      <c r="D52" s="250"/>
      <c r="E52" s="251"/>
      <c r="F52" s="148" t="e">
        <f>#REF!</f>
        <v>#REF!</v>
      </c>
      <c r="G52" s="143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</row>
    <row r="53" spans="1:20" s="136" customFormat="1" ht="15.75" customHeight="1">
      <c r="A53" s="133"/>
      <c r="B53" s="138"/>
      <c r="C53" s="249" t="s">
        <v>604</v>
      </c>
      <c r="D53" s="250"/>
      <c r="E53" s="251"/>
      <c r="F53" s="148" t="e">
        <f>F51-F52</f>
        <v>#REF!</v>
      </c>
      <c r="G53" s="143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</row>
    <row r="54" spans="1:20" ht="14.5">
      <c r="A54" s="8" t="s">
        <v>93</v>
      </c>
      <c r="B54" s="23" t="e">
        <f>#REF!</f>
        <v>#REF!</v>
      </c>
      <c r="C54" s="243" t="s">
        <v>131</v>
      </c>
      <c r="D54" s="244"/>
      <c r="E54" s="245"/>
      <c r="F54" s="140">
        <f>SUM(F55:F62)</f>
        <v>19.810000000000002</v>
      </c>
      <c r="G54" s="129" t="s">
        <v>124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5.75" customHeight="1">
      <c r="A55" s="11"/>
      <c r="B55" s="120" t="s">
        <v>593</v>
      </c>
      <c r="C55" s="123"/>
      <c r="D55" s="123"/>
      <c r="E55" s="123"/>
      <c r="F55" s="123"/>
      <c r="G55" s="12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5.75" customHeight="1">
      <c r="A56" s="11"/>
      <c r="B56" s="120"/>
      <c r="C56" s="123">
        <v>1</v>
      </c>
      <c r="D56" s="123">
        <v>1.2</v>
      </c>
      <c r="E56" s="123">
        <v>1.7</v>
      </c>
      <c r="F56" s="123">
        <f>D56*E56</f>
        <v>2.04</v>
      </c>
      <c r="G56" s="12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5.75" customHeight="1">
      <c r="A57" s="11"/>
      <c r="B57" s="120"/>
      <c r="C57" s="123">
        <v>1</v>
      </c>
      <c r="D57" s="123">
        <v>1.8</v>
      </c>
      <c r="E57" s="123">
        <v>1.7</v>
      </c>
      <c r="F57" s="123">
        <f t="shared" ref="F57:F58" si="6">D57*E57</f>
        <v>3.06</v>
      </c>
      <c r="G57" s="12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5.75" customHeight="1">
      <c r="A58" s="11"/>
      <c r="B58" s="120"/>
      <c r="C58" s="123">
        <v>1</v>
      </c>
      <c r="D58" s="123">
        <v>3.1</v>
      </c>
      <c r="E58" s="123">
        <v>1.55</v>
      </c>
      <c r="F58" s="123">
        <f t="shared" si="6"/>
        <v>4.8050000000000006</v>
      </c>
      <c r="G58" s="12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5.75" customHeight="1">
      <c r="A59" s="11"/>
      <c r="B59" s="126" t="s">
        <v>594</v>
      </c>
      <c r="C59" s="127"/>
      <c r="D59" s="127"/>
      <c r="E59" s="127"/>
      <c r="F59" s="127"/>
      <c r="G59" s="12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5.75" customHeight="1">
      <c r="A60" s="125"/>
      <c r="B60" s="130"/>
      <c r="C60" s="123">
        <v>1</v>
      </c>
      <c r="D60" s="123">
        <v>1.2</v>
      </c>
      <c r="E60" s="123">
        <v>1.7</v>
      </c>
      <c r="F60" s="123">
        <f>D60*E60</f>
        <v>2.04</v>
      </c>
      <c r="G60" s="13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5.75" customHeight="1">
      <c r="A61" s="125"/>
      <c r="B61" s="130"/>
      <c r="C61" s="123">
        <v>1</v>
      </c>
      <c r="D61" s="123">
        <v>1.8</v>
      </c>
      <c r="E61" s="123">
        <v>1.7</v>
      </c>
      <c r="F61" s="123">
        <f t="shared" ref="F61:F62" si="7">D61*E61</f>
        <v>3.06</v>
      </c>
      <c r="G61" s="13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5.75" customHeight="1">
      <c r="A62" s="125"/>
      <c r="B62" s="130"/>
      <c r="C62" s="123">
        <v>1</v>
      </c>
      <c r="D62" s="123">
        <v>3.1</v>
      </c>
      <c r="E62" s="123">
        <v>1.55</v>
      </c>
      <c r="F62" s="123">
        <f t="shared" si="7"/>
        <v>4.8050000000000006</v>
      </c>
      <c r="G62" s="13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41.25" customHeight="1">
      <c r="A63" s="150" t="s">
        <v>94</v>
      </c>
      <c r="B63" s="151" t="s">
        <v>605</v>
      </c>
      <c r="C63" s="252" t="s">
        <v>123</v>
      </c>
      <c r="D63" s="253"/>
      <c r="E63" s="253"/>
      <c r="F63" s="152" t="e">
        <f>F74</f>
        <v>#REF!</v>
      </c>
      <c r="G63" s="157" t="s">
        <v>124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5.75" customHeight="1">
      <c r="A64" s="125"/>
      <c r="B64" s="155" t="s">
        <v>606</v>
      </c>
      <c r="C64" s="142">
        <v>1</v>
      </c>
      <c r="D64" s="154">
        <v>4.9000000000000004</v>
      </c>
      <c r="E64" s="154">
        <v>9.9</v>
      </c>
      <c r="F64" s="142">
        <f t="shared" ref="F64:F71" si="8">(D64*E64)*C64</f>
        <v>48.510000000000005</v>
      </c>
      <c r="G64" s="14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ht="15.75" customHeight="1">
      <c r="A65" s="125"/>
      <c r="B65" s="156" t="s">
        <v>607</v>
      </c>
      <c r="C65" s="142">
        <v>1</v>
      </c>
      <c r="D65" s="146">
        <v>9.4499999999999993</v>
      </c>
      <c r="E65" s="146">
        <v>1.2</v>
      </c>
      <c r="F65" s="142">
        <f t="shared" si="8"/>
        <v>11.339999999999998</v>
      </c>
      <c r="G65" s="14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5.75" customHeight="1">
      <c r="A66" s="125"/>
      <c r="B66" s="156" t="s">
        <v>608</v>
      </c>
      <c r="C66" s="142">
        <v>1</v>
      </c>
      <c r="D66" s="146">
        <v>4</v>
      </c>
      <c r="E66" s="146">
        <v>5</v>
      </c>
      <c r="F66" s="142">
        <f t="shared" si="8"/>
        <v>20</v>
      </c>
      <c r="G66" s="14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5.75" customHeight="1">
      <c r="A67" s="125"/>
      <c r="B67" s="156" t="s">
        <v>609</v>
      </c>
      <c r="C67" s="142">
        <v>1</v>
      </c>
      <c r="D67" s="146">
        <v>1.25</v>
      </c>
      <c r="E67" s="146">
        <v>5.3</v>
      </c>
      <c r="F67" s="142">
        <f t="shared" si="8"/>
        <v>6.625</v>
      </c>
      <c r="G67" s="14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5.75" customHeight="1">
      <c r="A68" s="125"/>
      <c r="B68" s="156" t="s">
        <v>599</v>
      </c>
      <c r="C68" s="142">
        <v>1</v>
      </c>
      <c r="D68" s="146">
        <v>7.15</v>
      </c>
      <c r="E68" s="146">
        <v>5</v>
      </c>
      <c r="F68" s="142">
        <f t="shared" si="8"/>
        <v>35.75</v>
      </c>
      <c r="G68" s="14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15.75" customHeight="1">
      <c r="A69" s="125"/>
      <c r="B69" s="156" t="s">
        <v>600</v>
      </c>
      <c r="C69" s="142">
        <v>1</v>
      </c>
      <c r="D69" s="146">
        <v>5.05</v>
      </c>
      <c r="E69" s="146">
        <v>4.75</v>
      </c>
      <c r="F69" s="142">
        <f>(D69*E69)*C69</f>
        <v>23.987500000000001</v>
      </c>
      <c r="G69" s="14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ht="15.75" customHeight="1">
      <c r="A70" s="125"/>
      <c r="B70" s="156" t="s">
        <v>598</v>
      </c>
      <c r="C70" s="142">
        <v>1</v>
      </c>
      <c r="D70" s="146">
        <v>3.05</v>
      </c>
      <c r="E70" s="146">
        <v>1.8</v>
      </c>
      <c r="F70" s="142">
        <f t="shared" si="8"/>
        <v>5.49</v>
      </c>
      <c r="G70" s="14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ht="15.75" customHeight="1">
      <c r="A71" s="125"/>
      <c r="B71" s="156" t="s">
        <v>601</v>
      </c>
      <c r="C71" s="141">
        <v>1</v>
      </c>
      <c r="D71" s="146">
        <v>20</v>
      </c>
      <c r="E71" s="146">
        <v>5</v>
      </c>
      <c r="F71" s="141">
        <f t="shared" si="8"/>
        <v>100</v>
      </c>
      <c r="G71" s="14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15.75" customHeight="1">
      <c r="A72" s="125"/>
      <c r="B72" s="149"/>
      <c r="C72" s="249" t="s">
        <v>602</v>
      </c>
      <c r="D72" s="250"/>
      <c r="E72" s="251"/>
      <c r="F72" s="141">
        <f>SUM(F64:F71)</f>
        <v>251.70250000000001</v>
      </c>
      <c r="G72" s="14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15.75" customHeight="1">
      <c r="A73" s="125"/>
      <c r="B73" s="147"/>
      <c r="C73" s="249" t="s">
        <v>603</v>
      </c>
      <c r="D73" s="250"/>
      <c r="E73" s="251"/>
      <c r="F73" s="148" t="e">
        <f>#REF!</f>
        <v>#REF!</v>
      </c>
      <c r="G73" s="14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15.75" customHeight="1">
      <c r="A74" s="125"/>
      <c r="B74" s="138"/>
      <c r="C74" s="249" t="s">
        <v>610</v>
      </c>
      <c r="D74" s="250"/>
      <c r="E74" s="251"/>
      <c r="F74" s="148" t="e">
        <f>F73-F72</f>
        <v>#REF!</v>
      </c>
      <c r="G74" s="14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ht="15.75" customHeight="1">
      <c r="A75" s="8" t="s">
        <v>95</v>
      </c>
      <c r="B75" s="9" t="s">
        <v>46</v>
      </c>
      <c r="C75" s="8" t="s">
        <v>119</v>
      </c>
      <c r="D75" s="8" t="s">
        <v>120</v>
      </c>
      <c r="E75" s="8" t="s">
        <v>121</v>
      </c>
      <c r="F75" s="8" t="s">
        <v>122</v>
      </c>
      <c r="G75" s="9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22.5" customHeight="1">
      <c r="A76" s="8" t="s">
        <v>96</v>
      </c>
      <c r="B76" s="23" t="e">
        <f>#REF!</f>
        <v>#REF!</v>
      </c>
      <c r="C76" s="246" t="s">
        <v>123</v>
      </c>
      <c r="D76" s="247"/>
      <c r="E76" s="248"/>
      <c r="F76" s="24" t="e">
        <f>F80</f>
        <v>#REF!</v>
      </c>
      <c r="G76" s="25" t="s">
        <v>124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ht="15.75" customHeight="1">
      <c r="A77" s="11"/>
      <c r="B77" s="13" t="s">
        <v>137</v>
      </c>
      <c r="C77" s="14">
        <v>1</v>
      </c>
      <c r="D77" s="14">
        <v>0.56999999999999995</v>
      </c>
      <c r="E77" s="14">
        <v>2.1</v>
      </c>
      <c r="F77" s="14">
        <f>D77*E77</f>
        <v>1.1969999999999998</v>
      </c>
      <c r="G77" s="27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ht="15.75" customHeight="1">
      <c r="A78" s="11"/>
      <c r="B78" s="13"/>
      <c r="C78" s="249" t="s">
        <v>602</v>
      </c>
      <c r="D78" s="250"/>
      <c r="E78" s="251"/>
      <c r="F78" s="158">
        <f>F77</f>
        <v>1.1969999999999998</v>
      </c>
      <c r="G78" s="27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15.75" customHeight="1">
      <c r="A79" s="11"/>
      <c r="B79" s="13"/>
      <c r="C79" s="249" t="s">
        <v>603</v>
      </c>
      <c r="D79" s="250"/>
      <c r="E79" s="251"/>
      <c r="F79" s="148" t="e">
        <f>#REF!</f>
        <v>#REF!</v>
      </c>
      <c r="G79" s="2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ht="15.75" customHeight="1">
      <c r="A80" s="11"/>
      <c r="B80" s="13"/>
      <c r="C80" s="249" t="s">
        <v>610</v>
      </c>
      <c r="D80" s="250"/>
      <c r="E80" s="251"/>
      <c r="F80" s="148" t="e">
        <f>F79-F78</f>
        <v>#REF!</v>
      </c>
      <c r="G80" s="2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24" customHeight="1">
      <c r="A81" s="8" t="s">
        <v>97</v>
      </c>
      <c r="B81" s="23" t="e">
        <f>#REF!</f>
        <v>#REF!</v>
      </c>
      <c r="C81" s="246" t="s">
        <v>131</v>
      </c>
      <c r="D81" s="247"/>
      <c r="E81" s="248"/>
      <c r="F81" s="24">
        <f>SUM(F82:F83)</f>
        <v>61.37</v>
      </c>
      <c r="G81" s="25" t="s">
        <v>124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14.5">
      <c r="A82" s="11"/>
      <c r="B82" s="159" t="s">
        <v>597</v>
      </c>
      <c r="C82" s="142">
        <v>1</v>
      </c>
      <c r="D82" s="142">
        <v>18.05</v>
      </c>
      <c r="E82" s="142">
        <v>1.7</v>
      </c>
      <c r="F82" s="142">
        <f>(D82*E82)*C82</f>
        <v>30.684999999999999</v>
      </c>
      <c r="G82" s="2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ht="14.5">
      <c r="A83" s="11"/>
      <c r="B83" s="159" t="s">
        <v>593</v>
      </c>
      <c r="C83" s="142">
        <v>1</v>
      </c>
      <c r="D83" s="142">
        <v>18.05</v>
      </c>
      <c r="E83" s="142">
        <v>1.7</v>
      </c>
      <c r="F83" s="142">
        <f>(D83*E83)*C83</f>
        <v>30.684999999999999</v>
      </c>
      <c r="G83" s="2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ht="15.75" customHeight="1">
      <c r="A84" s="8" t="s">
        <v>98</v>
      </c>
      <c r="B84" s="9" t="s">
        <v>51</v>
      </c>
      <c r="C84" s="8" t="s">
        <v>119</v>
      </c>
      <c r="D84" s="8" t="s">
        <v>120</v>
      </c>
      <c r="E84" s="8" t="s">
        <v>121</v>
      </c>
      <c r="F84" s="8" t="s">
        <v>122</v>
      </c>
      <c r="G84" s="9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ht="15.75" customHeight="1">
      <c r="A85" s="132" t="s">
        <v>99</v>
      </c>
      <c r="B85" s="161" t="e">
        <f>#REF!</f>
        <v>#REF!</v>
      </c>
      <c r="C85" s="255" t="s">
        <v>131</v>
      </c>
      <c r="D85" s="256"/>
      <c r="E85" s="257"/>
      <c r="F85" s="122" t="e">
        <f>F105</f>
        <v>#REF!</v>
      </c>
      <c r="G85" s="139" t="s">
        <v>124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ht="15.75" customHeight="1">
      <c r="A86" s="141"/>
      <c r="B86" s="166" t="s">
        <v>606</v>
      </c>
      <c r="C86" s="163">
        <v>1</v>
      </c>
      <c r="D86" s="168">
        <v>29.6</v>
      </c>
      <c r="E86" s="168">
        <v>2.6</v>
      </c>
      <c r="F86" s="163">
        <f>(D86*E86)*C86</f>
        <v>76.960000000000008</v>
      </c>
      <c r="G86" s="16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ht="15.75" customHeight="1">
      <c r="A87" s="141"/>
      <c r="B87" s="167" t="s">
        <v>607</v>
      </c>
      <c r="C87" s="163">
        <v>1</v>
      </c>
      <c r="D87" s="168">
        <v>21.3</v>
      </c>
      <c r="E87" s="168">
        <v>2.6</v>
      </c>
      <c r="F87" s="163">
        <f t="shared" ref="F87:F94" si="9">(D87*E87)*C87</f>
        <v>55.38</v>
      </c>
      <c r="G87" s="16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ht="15.75" customHeight="1">
      <c r="A88" s="141"/>
      <c r="B88" s="167" t="s">
        <v>608</v>
      </c>
      <c r="C88" s="163">
        <v>1</v>
      </c>
      <c r="D88" s="168">
        <v>18</v>
      </c>
      <c r="E88" s="168">
        <v>2.6</v>
      </c>
      <c r="F88" s="163">
        <f t="shared" si="9"/>
        <v>46.800000000000004</v>
      </c>
      <c r="G88" s="16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ht="15.75" customHeight="1">
      <c r="A89" s="141"/>
      <c r="B89" s="167" t="s">
        <v>609</v>
      </c>
      <c r="C89" s="163">
        <v>1</v>
      </c>
      <c r="D89" s="168">
        <v>7.25</v>
      </c>
      <c r="E89" s="168">
        <v>2.6</v>
      </c>
      <c r="F89" s="163">
        <f t="shared" si="9"/>
        <v>18.850000000000001</v>
      </c>
      <c r="G89" s="16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15.75" customHeight="1">
      <c r="A90" s="141"/>
      <c r="B90" s="167" t="s">
        <v>599</v>
      </c>
      <c r="C90" s="163">
        <v>1</v>
      </c>
      <c r="D90" s="168">
        <v>24.3</v>
      </c>
      <c r="E90" s="168">
        <v>2.6</v>
      </c>
      <c r="F90" s="163">
        <f t="shared" si="9"/>
        <v>63.180000000000007</v>
      </c>
      <c r="G90" s="16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ht="15.75" customHeight="1">
      <c r="A91" s="141"/>
      <c r="B91" s="167" t="s">
        <v>600</v>
      </c>
      <c r="C91" s="163">
        <v>1</v>
      </c>
      <c r="D91" s="168">
        <v>19.600000000000001</v>
      </c>
      <c r="E91" s="168">
        <v>2.6</v>
      </c>
      <c r="F91" s="163">
        <f t="shared" si="9"/>
        <v>50.960000000000008</v>
      </c>
      <c r="G91" s="16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ht="15.75" customHeight="1">
      <c r="A92" s="141"/>
      <c r="B92" s="167" t="s">
        <v>598</v>
      </c>
      <c r="C92" s="163">
        <v>1</v>
      </c>
      <c r="D92" s="168">
        <v>6.65</v>
      </c>
      <c r="E92" s="168">
        <v>2.6</v>
      </c>
      <c r="F92" s="163">
        <f t="shared" si="9"/>
        <v>17.290000000000003</v>
      </c>
      <c r="G92" s="16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15.75" customHeight="1">
      <c r="A93" s="141"/>
      <c r="B93" s="167" t="s">
        <v>611</v>
      </c>
      <c r="C93" s="163">
        <v>1</v>
      </c>
      <c r="D93" s="168">
        <v>12.5</v>
      </c>
      <c r="E93" s="168">
        <v>0.9</v>
      </c>
      <c r="F93" s="163">
        <f t="shared" si="9"/>
        <v>11.25</v>
      </c>
      <c r="G93" s="16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ht="15.75" customHeight="1">
      <c r="A94" s="141"/>
      <c r="B94" s="167" t="s">
        <v>612</v>
      </c>
      <c r="C94" s="163">
        <v>1</v>
      </c>
      <c r="D94" s="168">
        <v>12.5</v>
      </c>
      <c r="E94" s="168">
        <v>0.9</v>
      </c>
      <c r="F94" s="163">
        <f t="shared" si="9"/>
        <v>11.25</v>
      </c>
      <c r="G94" s="16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ht="15.75" customHeight="1">
      <c r="A95" s="141"/>
      <c r="B95" s="162"/>
      <c r="C95" s="235" t="s">
        <v>614</v>
      </c>
      <c r="D95" s="238"/>
      <c r="E95" s="239"/>
      <c r="F95" s="163">
        <f>SUM(F86:F94)</f>
        <v>351.92</v>
      </c>
      <c r="G95" s="16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ht="15.75" customHeight="1">
      <c r="A96" s="141"/>
      <c r="B96" s="162"/>
      <c r="C96" s="170">
        <v>8</v>
      </c>
      <c r="D96" s="163">
        <v>0.8</v>
      </c>
      <c r="E96" s="163">
        <v>2.1</v>
      </c>
      <c r="F96" s="163">
        <f>(D96*E96)*C96</f>
        <v>13.440000000000001</v>
      </c>
      <c r="G96" s="16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ht="15.75" customHeight="1">
      <c r="A97" s="141"/>
      <c r="B97" s="162"/>
      <c r="C97" s="170">
        <v>2</v>
      </c>
      <c r="D97" s="163">
        <v>0.7</v>
      </c>
      <c r="E97" s="163">
        <v>2.1</v>
      </c>
      <c r="F97" s="163">
        <f t="shared" ref="F97:F101" si="10">(D97*E97)*C97</f>
        <v>2.94</v>
      </c>
      <c r="G97" s="16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ht="15.75" customHeight="1">
      <c r="A98" s="141"/>
      <c r="B98" s="162"/>
      <c r="C98" s="170">
        <v>2</v>
      </c>
      <c r="D98" s="163">
        <v>0.9</v>
      </c>
      <c r="E98" s="163">
        <v>2.1</v>
      </c>
      <c r="F98" s="163">
        <f t="shared" si="10"/>
        <v>3.7800000000000002</v>
      </c>
      <c r="G98" s="16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ht="15.75" customHeight="1">
      <c r="A99" s="141"/>
      <c r="B99" s="162"/>
      <c r="C99" s="170">
        <v>1</v>
      </c>
      <c r="D99" s="163">
        <v>1.1499999999999999</v>
      </c>
      <c r="E99" s="163">
        <v>2.1</v>
      </c>
      <c r="F99" s="163">
        <f t="shared" si="10"/>
        <v>2.415</v>
      </c>
      <c r="G99" s="16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ht="15.75" customHeight="1">
      <c r="A100" s="141"/>
      <c r="B100" s="162"/>
      <c r="C100" s="170">
        <v>13</v>
      </c>
      <c r="D100" s="163">
        <v>1.5</v>
      </c>
      <c r="E100" s="163">
        <v>1.1000000000000001</v>
      </c>
      <c r="F100" s="163">
        <f t="shared" si="10"/>
        <v>21.450000000000003</v>
      </c>
      <c r="G100" s="16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ht="15.75" customHeight="1">
      <c r="A101" s="141"/>
      <c r="B101" s="162"/>
      <c r="C101" s="170">
        <v>2</v>
      </c>
      <c r="D101" s="163">
        <v>2</v>
      </c>
      <c r="E101" s="163">
        <v>0.4</v>
      </c>
      <c r="F101" s="163">
        <f t="shared" si="10"/>
        <v>1.6</v>
      </c>
      <c r="G101" s="16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ht="15.75" customHeight="1">
      <c r="A102" s="141"/>
      <c r="B102" s="162"/>
      <c r="C102" s="235" t="s">
        <v>615</v>
      </c>
      <c r="D102" s="236"/>
      <c r="E102" s="237"/>
      <c r="F102" s="163">
        <f>F96+F97+F98+F99+F100+F101</f>
        <v>45.625000000000007</v>
      </c>
      <c r="G102" s="16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ht="15.75" customHeight="1">
      <c r="A103" s="141"/>
      <c r="B103" s="162"/>
      <c r="C103" s="235" t="s">
        <v>602</v>
      </c>
      <c r="D103" s="236"/>
      <c r="E103" s="237"/>
      <c r="F103" s="163">
        <f>F95-F102</f>
        <v>306.29500000000002</v>
      </c>
      <c r="G103" s="16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ht="15.75" customHeight="1">
      <c r="A104" s="141"/>
      <c r="B104" s="162"/>
      <c r="C104" s="235" t="s">
        <v>603</v>
      </c>
      <c r="D104" s="238"/>
      <c r="E104" s="239"/>
      <c r="F104" s="163" t="e">
        <f>#REF!</f>
        <v>#REF!</v>
      </c>
      <c r="G104" s="16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ht="15.75" customHeight="1">
      <c r="A105" s="141"/>
      <c r="B105" s="162"/>
      <c r="C105" s="235" t="s">
        <v>613</v>
      </c>
      <c r="D105" s="236"/>
      <c r="E105" s="237"/>
      <c r="F105" s="163" t="e">
        <f>F103-F104</f>
        <v>#REF!</v>
      </c>
      <c r="G105" s="16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ht="24.75" customHeight="1">
      <c r="A106" s="8" t="s">
        <v>100</v>
      </c>
      <c r="B106" s="23" t="e">
        <f>#REF!</f>
        <v>#REF!</v>
      </c>
      <c r="C106" s="246" t="s">
        <v>123</v>
      </c>
      <c r="D106" s="247"/>
      <c r="E106" s="248"/>
      <c r="F106" s="24" t="e">
        <f>F126</f>
        <v>#REF!</v>
      </c>
      <c r="G106" s="25" t="s">
        <v>124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ht="14.5">
      <c r="A107" s="133"/>
      <c r="B107" s="166" t="s">
        <v>606</v>
      </c>
      <c r="C107" s="163">
        <v>1</v>
      </c>
      <c r="D107" s="168">
        <v>29.6</v>
      </c>
      <c r="E107" s="168">
        <v>2.6</v>
      </c>
      <c r="F107" s="163">
        <f>(D107*E107)*C107</f>
        <v>76.960000000000008</v>
      </c>
      <c r="G107" s="160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ht="14.5">
      <c r="A108" s="133"/>
      <c r="B108" s="167" t="s">
        <v>607</v>
      </c>
      <c r="C108" s="163">
        <v>1</v>
      </c>
      <c r="D108" s="168">
        <v>21.3</v>
      </c>
      <c r="E108" s="168">
        <v>2.6</v>
      </c>
      <c r="F108" s="163">
        <f t="shared" ref="F108:F115" si="11">(D108*E108)*C108</f>
        <v>55.38</v>
      </c>
      <c r="G108" s="160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ht="14.5">
      <c r="A109" s="133"/>
      <c r="B109" s="167" t="s">
        <v>608</v>
      </c>
      <c r="C109" s="163">
        <v>1</v>
      </c>
      <c r="D109" s="168">
        <v>18</v>
      </c>
      <c r="E109" s="168">
        <v>2.6</v>
      </c>
      <c r="F109" s="163">
        <f t="shared" si="11"/>
        <v>46.800000000000004</v>
      </c>
      <c r="G109" s="160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ht="14.5">
      <c r="A110" s="133"/>
      <c r="B110" s="167" t="s">
        <v>609</v>
      </c>
      <c r="C110" s="163">
        <v>1</v>
      </c>
      <c r="D110" s="168">
        <v>7.25</v>
      </c>
      <c r="E110" s="168">
        <v>2.6</v>
      </c>
      <c r="F110" s="163">
        <f t="shared" si="11"/>
        <v>18.850000000000001</v>
      </c>
      <c r="G110" s="160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ht="14.5">
      <c r="A111" s="133"/>
      <c r="B111" s="167" t="s">
        <v>599</v>
      </c>
      <c r="C111" s="163">
        <v>1</v>
      </c>
      <c r="D111" s="168">
        <v>24.3</v>
      </c>
      <c r="E111" s="168">
        <v>2.6</v>
      </c>
      <c r="F111" s="163">
        <f t="shared" si="11"/>
        <v>63.180000000000007</v>
      </c>
      <c r="G111" s="160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14.5">
      <c r="A112" s="133"/>
      <c r="B112" s="167" t="s">
        <v>600</v>
      </c>
      <c r="C112" s="163">
        <v>1</v>
      </c>
      <c r="D112" s="168">
        <v>19.600000000000001</v>
      </c>
      <c r="E112" s="168">
        <v>2.6</v>
      </c>
      <c r="F112" s="163">
        <f t="shared" si="11"/>
        <v>50.960000000000008</v>
      </c>
      <c r="G112" s="160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ht="14.5">
      <c r="A113" s="133"/>
      <c r="B113" s="167" t="s">
        <v>598</v>
      </c>
      <c r="C113" s="163">
        <v>1</v>
      </c>
      <c r="D113" s="168">
        <v>6.65</v>
      </c>
      <c r="E113" s="168">
        <v>2.6</v>
      </c>
      <c r="F113" s="163">
        <f t="shared" si="11"/>
        <v>17.290000000000003</v>
      </c>
      <c r="G113" s="160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ht="14.5">
      <c r="A114" s="133"/>
      <c r="B114" s="167" t="s">
        <v>611</v>
      </c>
      <c r="C114" s="163">
        <v>1</v>
      </c>
      <c r="D114" s="168">
        <v>12.5</v>
      </c>
      <c r="E114" s="168">
        <v>0.9</v>
      </c>
      <c r="F114" s="163">
        <f t="shared" si="11"/>
        <v>11.25</v>
      </c>
      <c r="G114" s="160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ht="14.5">
      <c r="A115" s="133"/>
      <c r="B115" s="167" t="s">
        <v>612</v>
      </c>
      <c r="C115" s="163">
        <v>1</v>
      </c>
      <c r="D115" s="168">
        <v>12.5</v>
      </c>
      <c r="E115" s="168">
        <v>0.9</v>
      </c>
      <c r="F115" s="163">
        <f t="shared" si="11"/>
        <v>11.25</v>
      </c>
      <c r="G115" s="160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ht="14.5">
      <c r="A116" s="133"/>
      <c r="B116" s="167"/>
      <c r="C116" s="235" t="s">
        <v>616</v>
      </c>
      <c r="D116" s="238"/>
      <c r="E116" s="239"/>
      <c r="F116" s="163">
        <f>SUM(F107:F115)</f>
        <v>351.92</v>
      </c>
      <c r="G116" s="160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ht="14.5">
      <c r="A117" s="133"/>
      <c r="B117" s="167"/>
      <c r="C117" s="170">
        <v>8</v>
      </c>
      <c r="D117" s="163">
        <v>0.8</v>
      </c>
      <c r="E117" s="163">
        <v>2.1</v>
      </c>
      <c r="F117" s="163">
        <f>(D117*E117)*C117</f>
        <v>13.440000000000001</v>
      </c>
      <c r="G117" s="160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ht="14.5">
      <c r="A118" s="133"/>
      <c r="B118" s="167"/>
      <c r="C118" s="170">
        <v>2</v>
      </c>
      <c r="D118" s="163">
        <v>0.7</v>
      </c>
      <c r="E118" s="163">
        <v>2.1</v>
      </c>
      <c r="F118" s="163">
        <f t="shared" ref="F118:F122" si="12">(D118*E118)*C118</f>
        <v>2.94</v>
      </c>
      <c r="G118" s="160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ht="14.5">
      <c r="A119" s="133"/>
      <c r="B119" s="167"/>
      <c r="C119" s="170">
        <v>2</v>
      </c>
      <c r="D119" s="163">
        <v>0.9</v>
      </c>
      <c r="E119" s="163">
        <v>2.1</v>
      </c>
      <c r="F119" s="163">
        <f t="shared" si="12"/>
        <v>3.7800000000000002</v>
      </c>
      <c r="G119" s="160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ht="14.5">
      <c r="A120" s="133"/>
      <c r="B120" s="167"/>
      <c r="C120" s="170">
        <v>1</v>
      </c>
      <c r="D120" s="163">
        <v>1.1499999999999999</v>
      </c>
      <c r="E120" s="163">
        <v>2.1</v>
      </c>
      <c r="F120" s="163">
        <f t="shared" si="12"/>
        <v>2.415</v>
      </c>
      <c r="G120" s="160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ht="14.5">
      <c r="A121" s="133"/>
      <c r="B121" s="167"/>
      <c r="C121" s="170">
        <v>13</v>
      </c>
      <c r="D121" s="163">
        <v>1.5</v>
      </c>
      <c r="E121" s="163">
        <v>1.1000000000000001</v>
      </c>
      <c r="F121" s="163">
        <f t="shared" si="12"/>
        <v>21.450000000000003</v>
      </c>
      <c r="G121" s="160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14.5">
      <c r="A122" s="133"/>
      <c r="B122" s="167"/>
      <c r="C122" s="170">
        <v>2</v>
      </c>
      <c r="D122" s="163">
        <v>2</v>
      </c>
      <c r="E122" s="163">
        <v>0.4</v>
      </c>
      <c r="F122" s="163">
        <f t="shared" si="12"/>
        <v>1.6</v>
      </c>
      <c r="G122" s="160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ht="14.5">
      <c r="A123" s="133"/>
      <c r="B123" s="167"/>
      <c r="C123" s="235" t="s">
        <v>615</v>
      </c>
      <c r="D123" s="236"/>
      <c r="E123" s="237"/>
      <c r="F123" s="163">
        <f>F117+F118+F119+F120+F121+F122</f>
        <v>45.625000000000007</v>
      </c>
      <c r="G123" s="160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ht="14.5">
      <c r="A124" s="133"/>
      <c r="B124" s="162"/>
      <c r="C124" s="235" t="s">
        <v>602</v>
      </c>
      <c r="D124" s="238"/>
      <c r="E124" s="239"/>
      <c r="F124" s="163">
        <f>F116-F123</f>
        <v>306.29500000000002</v>
      </c>
      <c r="G124" s="160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ht="14.5">
      <c r="A125" s="133"/>
      <c r="B125" s="162"/>
      <c r="C125" s="235" t="s">
        <v>603</v>
      </c>
      <c r="D125" s="238"/>
      <c r="E125" s="239"/>
      <c r="F125" s="163" t="e">
        <f>#REF!</f>
        <v>#REF!</v>
      </c>
      <c r="G125" s="160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ht="14.5">
      <c r="A126" s="133"/>
      <c r="B126" s="162"/>
      <c r="C126" s="235" t="s">
        <v>610</v>
      </c>
      <c r="D126" s="236"/>
      <c r="E126" s="237"/>
      <c r="F126" s="163" t="e">
        <f>F125-F124</f>
        <v>#REF!</v>
      </c>
      <c r="G126" s="160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ht="27" customHeight="1">
      <c r="A127" s="8" t="s">
        <v>101</v>
      </c>
      <c r="B127" s="23" t="e">
        <f>#REF!</f>
        <v>#REF!</v>
      </c>
      <c r="C127" s="246" t="s">
        <v>123</v>
      </c>
      <c r="D127" s="247"/>
      <c r="E127" s="248"/>
      <c r="F127" s="24" t="e">
        <f>F147</f>
        <v>#REF!</v>
      </c>
      <c r="G127" s="25" t="s">
        <v>124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ht="14.5">
      <c r="A128" s="133"/>
      <c r="B128" s="166" t="s">
        <v>606</v>
      </c>
      <c r="C128" s="163">
        <v>1</v>
      </c>
      <c r="D128" s="168">
        <v>29.6</v>
      </c>
      <c r="E128" s="168">
        <v>2.6</v>
      </c>
      <c r="F128" s="163">
        <f>(D128*E128)*C128</f>
        <v>76.960000000000008</v>
      </c>
      <c r="G128" s="160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ht="14.5">
      <c r="A129" s="133"/>
      <c r="B129" s="167" t="s">
        <v>607</v>
      </c>
      <c r="C129" s="163">
        <v>1</v>
      </c>
      <c r="D129" s="168">
        <v>21.3</v>
      </c>
      <c r="E129" s="168">
        <v>2.6</v>
      </c>
      <c r="F129" s="163">
        <f t="shared" ref="F129:F136" si="13">(D129*E129)*C129</f>
        <v>55.38</v>
      </c>
      <c r="G129" s="160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ht="14.5">
      <c r="A130" s="133"/>
      <c r="B130" s="167" t="s">
        <v>608</v>
      </c>
      <c r="C130" s="163">
        <v>1</v>
      </c>
      <c r="D130" s="168">
        <v>18</v>
      </c>
      <c r="E130" s="168">
        <v>2.6</v>
      </c>
      <c r="F130" s="163">
        <f t="shared" si="13"/>
        <v>46.800000000000004</v>
      </c>
      <c r="G130" s="160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ht="14.5">
      <c r="A131" s="133"/>
      <c r="B131" s="167" t="s">
        <v>609</v>
      </c>
      <c r="C131" s="163">
        <v>1</v>
      </c>
      <c r="D131" s="168">
        <v>7.25</v>
      </c>
      <c r="E131" s="168">
        <v>2.6</v>
      </c>
      <c r="F131" s="163">
        <f t="shared" si="13"/>
        <v>18.850000000000001</v>
      </c>
      <c r="G131" s="160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ht="14.5">
      <c r="A132" s="133"/>
      <c r="B132" s="167" t="s">
        <v>599</v>
      </c>
      <c r="C132" s="163">
        <v>1</v>
      </c>
      <c r="D132" s="168">
        <v>24.3</v>
      </c>
      <c r="E132" s="168">
        <v>2.6</v>
      </c>
      <c r="F132" s="163">
        <f t="shared" si="13"/>
        <v>63.180000000000007</v>
      </c>
      <c r="G132" s="160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ht="14.5">
      <c r="A133" s="133"/>
      <c r="B133" s="167" t="s">
        <v>600</v>
      </c>
      <c r="C133" s="163">
        <v>1</v>
      </c>
      <c r="D133" s="168">
        <v>19.600000000000001</v>
      </c>
      <c r="E133" s="168">
        <v>2.6</v>
      </c>
      <c r="F133" s="163">
        <f t="shared" si="13"/>
        <v>50.960000000000008</v>
      </c>
      <c r="G133" s="160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14.5">
      <c r="A134" s="133"/>
      <c r="B134" s="167" t="s">
        <v>598</v>
      </c>
      <c r="C134" s="163">
        <v>1</v>
      </c>
      <c r="D134" s="168">
        <v>6.65</v>
      </c>
      <c r="E134" s="168">
        <v>2.6</v>
      </c>
      <c r="F134" s="163">
        <f>(D134*E134)*C134</f>
        <v>17.290000000000003</v>
      </c>
      <c r="G134" s="160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ht="14.5">
      <c r="A135" s="133"/>
      <c r="B135" s="167" t="s">
        <v>611</v>
      </c>
      <c r="C135" s="163">
        <v>1</v>
      </c>
      <c r="D135" s="168">
        <v>12.5</v>
      </c>
      <c r="E135" s="168">
        <v>0.9</v>
      </c>
      <c r="F135" s="163">
        <f t="shared" si="13"/>
        <v>11.25</v>
      </c>
      <c r="G135" s="160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ht="14.5">
      <c r="A136" s="133"/>
      <c r="B136" s="167" t="s">
        <v>612</v>
      </c>
      <c r="C136" s="163">
        <v>1</v>
      </c>
      <c r="D136" s="168">
        <v>12.5</v>
      </c>
      <c r="E136" s="168">
        <v>0.9</v>
      </c>
      <c r="F136" s="163">
        <f t="shared" si="13"/>
        <v>11.25</v>
      </c>
      <c r="G136" s="160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ht="14.5">
      <c r="A137" s="133"/>
      <c r="B137" s="167"/>
      <c r="C137" s="235" t="s">
        <v>617</v>
      </c>
      <c r="D137" s="238"/>
      <c r="E137" s="239"/>
      <c r="F137" s="163">
        <f>SUM(F128:F136)</f>
        <v>351.92</v>
      </c>
      <c r="G137" s="160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ht="14.5">
      <c r="A138" s="133"/>
      <c r="B138" s="167"/>
      <c r="C138" s="170">
        <v>8</v>
      </c>
      <c r="D138" s="163">
        <v>0.8</v>
      </c>
      <c r="E138" s="163">
        <v>2.1</v>
      </c>
      <c r="F138" s="163">
        <f>(D138*E138)*C138</f>
        <v>13.440000000000001</v>
      </c>
      <c r="G138" s="160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ht="14.5">
      <c r="A139" s="133"/>
      <c r="B139" s="167"/>
      <c r="C139" s="170">
        <v>2</v>
      </c>
      <c r="D139" s="163">
        <v>0.7</v>
      </c>
      <c r="E139" s="163">
        <v>2.1</v>
      </c>
      <c r="F139" s="163">
        <f t="shared" ref="F139:F143" si="14">(D139*E139)*C139</f>
        <v>2.94</v>
      </c>
      <c r="G139" s="160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ht="14.5">
      <c r="A140" s="133"/>
      <c r="B140" s="167"/>
      <c r="C140" s="170">
        <v>2</v>
      </c>
      <c r="D140" s="163">
        <v>0.9</v>
      </c>
      <c r="E140" s="163">
        <v>2.1</v>
      </c>
      <c r="F140" s="163">
        <f t="shared" si="14"/>
        <v>3.7800000000000002</v>
      </c>
      <c r="G140" s="160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14.5">
      <c r="A141" s="133"/>
      <c r="B141" s="167"/>
      <c r="C141" s="170">
        <v>1</v>
      </c>
      <c r="D141" s="163">
        <v>1.1499999999999999</v>
      </c>
      <c r="E141" s="163">
        <v>2.1</v>
      </c>
      <c r="F141" s="163">
        <f t="shared" si="14"/>
        <v>2.415</v>
      </c>
      <c r="G141" s="160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14.5">
      <c r="A142" s="133"/>
      <c r="B142" s="167"/>
      <c r="C142" s="170">
        <v>13</v>
      </c>
      <c r="D142" s="163">
        <v>1.5</v>
      </c>
      <c r="E142" s="163">
        <v>1.1000000000000001</v>
      </c>
      <c r="F142" s="163">
        <f t="shared" si="14"/>
        <v>21.450000000000003</v>
      </c>
      <c r="G142" s="160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14.5">
      <c r="A143" s="133"/>
      <c r="B143" s="167"/>
      <c r="C143" s="170">
        <v>2</v>
      </c>
      <c r="D143" s="163">
        <v>2</v>
      </c>
      <c r="E143" s="163">
        <v>0.4</v>
      </c>
      <c r="F143" s="163">
        <f t="shared" si="14"/>
        <v>1.6</v>
      </c>
      <c r="G143" s="160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14.5">
      <c r="A144" s="133"/>
      <c r="B144" s="167"/>
      <c r="C144" s="235" t="s">
        <v>615</v>
      </c>
      <c r="D144" s="236"/>
      <c r="E144" s="237"/>
      <c r="F144" s="163">
        <f>F138+F139+F140+F141+F142+F143</f>
        <v>45.625000000000007</v>
      </c>
      <c r="G144" s="160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14.5">
      <c r="A145" s="133"/>
      <c r="B145" s="162"/>
      <c r="C145" s="235" t="s">
        <v>602</v>
      </c>
      <c r="D145" s="238"/>
      <c r="E145" s="239"/>
      <c r="F145" s="163">
        <f>F137-F144</f>
        <v>306.29500000000002</v>
      </c>
      <c r="G145" s="160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14.5">
      <c r="A146" s="133"/>
      <c r="B146" s="162"/>
      <c r="C146" s="235" t="s">
        <v>603</v>
      </c>
      <c r="D146" s="238"/>
      <c r="E146" s="239"/>
      <c r="F146" s="163" t="e">
        <f>#REF!</f>
        <v>#REF!</v>
      </c>
      <c r="G146" s="160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ht="14.5">
      <c r="A147" s="134"/>
      <c r="B147" s="177"/>
      <c r="C147" s="240" t="s">
        <v>610</v>
      </c>
      <c r="D147" s="241"/>
      <c r="E147" s="242"/>
      <c r="F147" s="178" t="e">
        <f>F146-F145</f>
        <v>#REF!</v>
      </c>
      <c r="G147" s="17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ht="26">
      <c r="A148" s="124" t="s">
        <v>102</v>
      </c>
      <c r="B148" s="137" t="s">
        <v>56</v>
      </c>
      <c r="C148" s="246" t="s">
        <v>123</v>
      </c>
      <c r="D148" s="247"/>
      <c r="E148" s="248"/>
      <c r="F148" s="24">
        <f>SUM(F149:F150)</f>
        <v>67.4238</v>
      </c>
      <c r="G148" s="25" t="s">
        <v>124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ht="14.5">
      <c r="A149" s="141"/>
      <c r="B149" s="183" t="s">
        <v>626</v>
      </c>
      <c r="C149" s="170">
        <v>1</v>
      </c>
      <c r="D149" s="170">
        <v>6.18</v>
      </c>
      <c r="E149" s="170">
        <v>6.23</v>
      </c>
      <c r="F149" s="163">
        <f>(D149*E149)*C149</f>
        <v>38.501400000000004</v>
      </c>
      <c r="G149" s="16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4.5">
      <c r="A150" s="141"/>
      <c r="B150" s="183" t="s">
        <v>627</v>
      </c>
      <c r="C150" s="170">
        <v>1</v>
      </c>
      <c r="D150" s="170">
        <v>6.18</v>
      </c>
      <c r="E150" s="170">
        <v>4.68</v>
      </c>
      <c r="F150" s="163">
        <f>(D150*E150)*C150</f>
        <v>28.922399999999996</v>
      </c>
      <c r="G150" s="16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15.75" customHeight="1">
      <c r="A151" s="175" t="s">
        <v>103</v>
      </c>
      <c r="B151" s="180" t="s">
        <v>58</v>
      </c>
      <c r="C151" s="181"/>
      <c r="D151" s="181"/>
      <c r="E151" s="181"/>
      <c r="F151" s="181"/>
      <c r="G151" s="18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ht="15.75" customHeight="1">
      <c r="A152" s="8" t="s">
        <v>104</v>
      </c>
      <c r="B152" s="9" t="s">
        <v>60</v>
      </c>
      <c r="C152" s="8" t="s">
        <v>119</v>
      </c>
      <c r="D152" s="8" t="s">
        <v>120</v>
      </c>
      <c r="E152" s="8" t="s">
        <v>121</v>
      </c>
      <c r="F152" s="8" t="s">
        <v>122</v>
      </c>
      <c r="G152" s="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ht="14.5">
      <c r="A153" s="132" t="s">
        <v>105</v>
      </c>
      <c r="B153" s="161" t="e">
        <f>#REF!</f>
        <v>#REF!</v>
      </c>
      <c r="C153" s="243" t="s">
        <v>131</v>
      </c>
      <c r="D153" s="244"/>
      <c r="E153" s="245"/>
      <c r="F153" s="140" t="e">
        <f>F173</f>
        <v>#REF!</v>
      </c>
      <c r="G153" s="174" t="s">
        <v>124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ht="14.5">
      <c r="A154" s="141"/>
      <c r="B154" s="172" t="s">
        <v>618</v>
      </c>
      <c r="C154" s="163"/>
      <c r="D154" s="164"/>
      <c r="E154" s="164"/>
      <c r="F154" s="163"/>
      <c r="G154" s="16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ht="14.5">
      <c r="A155" s="141"/>
      <c r="B155" s="167" t="s">
        <v>623</v>
      </c>
      <c r="C155" s="163">
        <v>1</v>
      </c>
      <c r="D155" s="169">
        <v>20</v>
      </c>
      <c r="E155" s="169">
        <v>15.2</v>
      </c>
      <c r="F155" s="173">
        <f>(D155*E155)*C155</f>
        <v>304</v>
      </c>
      <c r="G155" s="163">
        <f>F155+F156</f>
        <v>313.92939999999999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ht="14.5">
      <c r="A156" s="141"/>
      <c r="B156" s="167" t="s">
        <v>624</v>
      </c>
      <c r="C156" s="163">
        <v>2</v>
      </c>
      <c r="D156" s="169">
        <v>7.41</v>
      </c>
      <c r="E156" s="169">
        <v>1.34</v>
      </c>
      <c r="F156" s="173">
        <f>(D156*E156)*C156/2</f>
        <v>9.9294000000000011</v>
      </c>
      <c r="G156" s="16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ht="14.5">
      <c r="A157" s="141"/>
      <c r="B157" s="172" t="s">
        <v>619</v>
      </c>
      <c r="C157" s="163"/>
      <c r="D157" s="169"/>
      <c r="E157" s="169"/>
      <c r="F157" s="173"/>
      <c r="G157" s="16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ht="14.5">
      <c r="A158" s="141"/>
      <c r="B158" s="172"/>
      <c r="C158" s="163">
        <v>2</v>
      </c>
      <c r="D158" s="169">
        <v>5</v>
      </c>
      <c r="E158" s="169">
        <v>0.77</v>
      </c>
      <c r="F158" s="173">
        <f>(D158*E158)*C158</f>
        <v>7.7</v>
      </c>
      <c r="G158" s="16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ht="14.5">
      <c r="A159" s="141"/>
      <c r="B159" s="172" t="s">
        <v>620</v>
      </c>
      <c r="C159" s="163"/>
      <c r="D159" s="169"/>
      <c r="E159" s="169"/>
      <c r="F159" s="173"/>
      <c r="G159" s="16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ht="14.5">
      <c r="A160" s="141"/>
      <c r="B160" s="172"/>
      <c r="C160" s="163">
        <v>1</v>
      </c>
      <c r="D160" s="169">
        <v>10.199999999999999</v>
      </c>
      <c r="E160" s="169">
        <v>3.04</v>
      </c>
      <c r="F160" s="173">
        <f t="shared" ref="F160" si="15">(D160*E160)*C160</f>
        <v>31.007999999999999</v>
      </c>
      <c r="G160" s="16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ht="14.5">
      <c r="A161" s="141"/>
      <c r="B161" s="172" t="s">
        <v>621</v>
      </c>
      <c r="C161" s="163"/>
      <c r="D161" s="169"/>
      <c r="E161" s="169"/>
      <c r="F161" s="173"/>
      <c r="G161" s="16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ht="14.5">
      <c r="A162" s="141"/>
      <c r="B162" s="167" t="s">
        <v>623</v>
      </c>
      <c r="C162" s="163">
        <v>1</v>
      </c>
      <c r="D162" s="169">
        <v>20</v>
      </c>
      <c r="E162" s="169">
        <v>15.2</v>
      </c>
      <c r="F162" s="173">
        <f t="shared" ref="F162" si="16">(D162*E162)*C162</f>
        <v>304</v>
      </c>
      <c r="G162" s="16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ht="14.5">
      <c r="A163" s="141"/>
      <c r="B163" s="167" t="s">
        <v>624</v>
      </c>
      <c r="C163" s="163">
        <v>2</v>
      </c>
      <c r="D163" s="169">
        <v>7.41</v>
      </c>
      <c r="E163" s="169">
        <v>1.34</v>
      </c>
      <c r="F163" s="173">
        <f>(D163*E163)*C163/2</f>
        <v>9.9294000000000011</v>
      </c>
      <c r="G163" s="16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ht="14.5">
      <c r="A164" s="141"/>
      <c r="B164" s="172" t="s">
        <v>622</v>
      </c>
      <c r="C164" s="163"/>
      <c r="D164" s="169"/>
      <c r="E164" s="169"/>
      <c r="F164" s="173"/>
      <c r="G164" s="16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ht="14.5">
      <c r="A165" s="141"/>
      <c r="B165" s="171"/>
      <c r="C165" s="163">
        <v>1</v>
      </c>
      <c r="D165" s="169">
        <v>10.199999999999999</v>
      </c>
      <c r="E165" s="169">
        <v>3.04</v>
      </c>
      <c r="F165" s="173">
        <f t="shared" ref="F165" si="17">(D165*E165)*C165</f>
        <v>31.007999999999999</v>
      </c>
      <c r="G165" s="16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ht="14.5">
      <c r="A166" s="141"/>
      <c r="B166" s="171"/>
      <c r="C166" s="235" t="s">
        <v>625</v>
      </c>
      <c r="D166" s="238"/>
      <c r="E166" s="239"/>
      <c r="F166" s="163">
        <f>SUM(F155:F165)</f>
        <v>697.57479999999998</v>
      </c>
      <c r="G166" s="16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ht="14.5">
      <c r="A167" s="141"/>
      <c r="B167" s="171"/>
      <c r="C167" s="170">
        <v>1</v>
      </c>
      <c r="D167" s="163">
        <v>1.1499999999999999</v>
      </c>
      <c r="E167" s="163">
        <v>2.1</v>
      </c>
      <c r="F167" s="163">
        <f>(D167*E167)*C167</f>
        <v>2.415</v>
      </c>
      <c r="G167" s="16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ht="14.5">
      <c r="A168" s="141"/>
      <c r="B168" s="171"/>
      <c r="C168" s="170">
        <v>13</v>
      </c>
      <c r="D168" s="163">
        <v>1.5</v>
      </c>
      <c r="E168" s="163">
        <v>1.1000000000000001</v>
      </c>
      <c r="F168" s="163">
        <f t="shared" ref="F168:F169" si="18">(D168*E168)*C168</f>
        <v>21.450000000000003</v>
      </c>
      <c r="G168" s="16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ht="14.5">
      <c r="A169" s="141"/>
      <c r="B169" s="171"/>
      <c r="C169" s="170">
        <v>2</v>
      </c>
      <c r="D169" s="163">
        <v>2</v>
      </c>
      <c r="E169" s="163">
        <v>0.4</v>
      </c>
      <c r="F169" s="163">
        <f t="shared" si="18"/>
        <v>1.6</v>
      </c>
      <c r="G169" s="16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ht="14.5">
      <c r="A170" s="141"/>
      <c r="B170" s="171"/>
      <c r="C170" s="235" t="s">
        <v>615</v>
      </c>
      <c r="D170" s="236"/>
      <c r="E170" s="237"/>
      <c r="F170" s="163">
        <f>F167+F168+F169</f>
        <v>25.465000000000003</v>
      </c>
      <c r="G170" s="16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ht="14.5">
      <c r="A171" s="141"/>
      <c r="B171" s="171"/>
      <c r="C171" s="235" t="s">
        <v>602</v>
      </c>
      <c r="D171" s="238"/>
      <c r="E171" s="239"/>
      <c r="F171" s="163">
        <f>F166-F170</f>
        <v>672.10979999999995</v>
      </c>
      <c r="G171" s="16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ht="14.5">
      <c r="A172" s="141"/>
      <c r="B172" s="171"/>
      <c r="C172" s="235" t="s">
        <v>603</v>
      </c>
      <c r="D172" s="238"/>
      <c r="E172" s="239"/>
      <c r="F172" s="163" t="e">
        <f>#REF!</f>
        <v>#REF!</v>
      </c>
      <c r="G172" s="16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ht="14.5">
      <c r="A173" s="141"/>
      <c r="B173" s="171"/>
      <c r="C173" s="235" t="s">
        <v>613</v>
      </c>
      <c r="D173" s="236"/>
      <c r="E173" s="237"/>
      <c r="F173" s="163" t="e">
        <f>F171-F172</f>
        <v>#REF!</v>
      </c>
      <c r="G173" s="16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ht="15.75" customHeight="1">
      <c r="A174" s="175" t="s">
        <v>106</v>
      </c>
      <c r="B174" s="176" t="s">
        <v>107</v>
      </c>
      <c r="C174" s="175" t="s">
        <v>119</v>
      </c>
      <c r="D174" s="175" t="s">
        <v>120</v>
      </c>
      <c r="E174" s="175" t="s">
        <v>138</v>
      </c>
      <c r="F174" s="175" t="s">
        <v>122</v>
      </c>
      <c r="G174" s="17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ht="15.75" customHeight="1">
      <c r="A175" s="8" t="s">
        <v>108</v>
      </c>
      <c r="B175" s="30" t="s">
        <v>109</v>
      </c>
      <c r="C175" s="246" t="s">
        <v>131</v>
      </c>
      <c r="D175" s="247"/>
      <c r="E175" s="248"/>
      <c r="F175" s="24">
        <f>1.2*0.5</f>
        <v>0.6</v>
      </c>
      <c r="G175" s="25" t="s">
        <v>124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14.5">
      <c r="A176" s="11"/>
      <c r="B176" s="16" t="s">
        <v>139</v>
      </c>
      <c r="C176" s="14"/>
      <c r="D176" s="14">
        <v>1.2</v>
      </c>
      <c r="E176" s="14">
        <v>0.5</v>
      </c>
      <c r="F176" s="14">
        <f>D176*E176</f>
        <v>0.6</v>
      </c>
      <c r="G176" s="27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ht="15.75" customHeight="1">
      <c r="A177" s="8" t="s">
        <v>110</v>
      </c>
      <c r="B177" s="30" t="s">
        <v>111</v>
      </c>
      <c r="C177" s="246" t="s">
        <v>131</v>
      </c>
      <c r="D177" s="247"/>
      <c r="E177" s="248"/>
      <c r="F177" s="24">
        <v>1</v>
      </c>
      <c r="G177" s="25" t="s">
        <v>132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ht="15.75" customHeight="1">
      <c r="A178" s="11"/>
      <c r="B178" s="16"/>
      <c r="C178" s="14">
        <v>1</v>
      </c>
      <c r="D178" s="14"/>
      <c r="E178" s="14"/>
      <c r="F178" s="14"/>
      <c r="G178" s="27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ht="15.75" customHeight="1">
      <c r="A179" s="8" t="s">
        <v>112</v>
      </c>
      <c r="B179" s="30" t="s">
        <v>113</v>
      </c>
      <c r="C179" s="246" t="s">
        <v>131</v>
      </c>
      <c r="D179" s="247"/>
      <c r="E179" s="248"/>
      <c r="F179" s="24">
        <v>1</v>
      </c>
      <c r="G179" s="25" t="s">
        <v>132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ht="15.75" customHeight="1">
      <c r="A180" s="11"/>
      <c r="B180" s="16"/>
      <c r="C180" s="14">
        <v>1</v>
      </c>
      <c r="D180" s="14"/>
      <c r="E180" s="14"/>
      <c r="F180" s="14"/>
      <c r="G180" s="27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ht="15.75" customHeight="1">
      <c r="A181" s="8" t="s">
        <v>114</v>
      </c>
      <c r="B181" s="23" t="s">
        <v>115</v>
      </c>
      <c r="C181" s="246" t="s">
        <v>131</v>
      </c>
      <c r="D181" s="247"/>
      <c r="E181" s="248"/>
      <c r="F181" s="32">
        <v>1</v>
      </c>
      <c r="G181" s="33" t="s">
        <v>132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ht="15.75" customHeight="1">
      <c r="A182" s="11"/>
      <c r="B182" s="13"/>
      <c r="C182" s="14">
        <v>1</v>
      </c>
      <c r="D182" s="14"/>
      <c r="E182" s="18"/>
      <c r="F182" s="18"/>
      <c r="G182" s="3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15.75" customHeight="1">
      <c r="A183" s="8" t="s">
        <v>116</v>
      </c>
      <c r="B183" s="23" t="s">
        <v>117</v>
      </c>
      <c r="C183" s="246" t="s">
        <v>131</v>
      </c>
      <c r="D183" s="247"/>
      <c r="E183" s="248"/>
      <c r="F183" s="24">
        <f>C184</f>
        <v>2</v>
      </c>
      <c r="G183" s="25" t="s">
        <v>132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ht="15.75" customHeight="1">
      <c r="A184" s="11"/>
      <c r="B184" s="13"/>
      <c r="C184" s="14">
        <v>2</v>
      </c>
      <c r="D184" s="14"/>
      <c r="E184" s="14"/>
      <c r="F184" s="14"/>
      <c r="G184" s="27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ht="15.75" customHeight="1">
      <c r="A185" s="8" t="e">
        <f>'MD02'!#REF!</f>
        <v>#REF!</v>
      </c>
      <c r="B185" s="23" t="e">
        <f>'MD02'!#REF!</f>
        <v>#REF!</v>
      </c>
      <c r="C185" s="246" t="s">
        <v>131</v>
      </c>
      <c r="D185" s="247"/>
      <c r="E185" s="248"/>
      <c r="F185" s="24">
        <f>C186</f>
        <v>2</v>
      </c>
      <c r="G185" s="25" t="s">
        <v>132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ht="15.75" customHeight="1">
      <c r="A186" s="11"/>
      <c r="B186" s="13"/>
      <c r="C186" s="14">
        <v>2</v>
      </c>
      <c r="D186" s="14"/>
      <c r="E186" s="14"/>
      <c r="F186" s="14"/>
      <c r="G186" s="27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ht="15.75" customHeight="1">
      <c r="A187" s="21"/>
      <c r="B187" s="22"/>
      <c r="C187" s="20"/>
      <c r="D187" s="20"/>
      <c r="E187" s="20"/>
      <c r="F187" s="20"/>
      <c r="G187" s="3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15.75" customHeight="1">
      <c r="A188" s="21"/>
      <c r="B188" s="22"/>
      <c r="C188" s="20"/>
      <c r="D188" s="20"/>
      <c r="E188" s="20"/>
      <c r="F188" s="20"/>
      <c r="G188" s="3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ht="15.75" customHeight="1">
      <c r="A189" s="21"/>
      <c r="B189" s="22"/>
      <c r="C189" s="20"/>
      <c r="D189" s="20"/>
      <c r="E189" s="20"/>
      <c r="F189" s="20"/>
      <c r="G189" s="3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ht="15.75" customHeight="1">
      <c r="A190" s="21"/>
      <c r="B190" s="22"/>
      <c r="C190" s="20"/>
      <c r="D190" s="20"/>
      <c r="E190" s="20"/>
      <c r="F190" s="20"/>
      <c r="G190" s="3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15.75" customHeight="1">
      <c r="A191" s="21"/>
      <c r="B191" s="22"/>
      <c r="C191" s="20"/>
      <c r="D191" s="20"/>
      <c r="E191" s="20"/>
      <c r="F191" s="20"/>
      <c r="G191" s="3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15.75" customHeight="1">
      <c r="A192" s="21"/>
      <c r="B192" s="22"/>
      <c r="C192" s="20"/>
      <c r="D192" s="20"/>
      <c r="E192" s="20"/>
      <c r="F192" s="20"/>
      <c r="G192" s="3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15.75" customHeight="1">
      <c r="A193" s="21"/>
      <c r="B193" s="22"/>
      <c r="C193" s="20"/>
      <c r="D193" s="20"/>
      <c r="E193" s="20"/>
      <c r="F193" s="20"/>
      <c r="G193" s="3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15.75" customHeight="1">
      <c r="A194" s="21"/>
      <c r="B194" s="22"/>
      <c r="C194" s="20"/>
      <c r="D194" s="20"/>
      <c r="E194" s="20"/>
      <c r="F194" s="20"/>
      <c r="G194" s="3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15.75" customHeight="1">
      <c r="A195" s="21"/>
      <c r="B195" s="22"/>
      <c r="C195" s="20"/>
      <c r="D195" s="20"/>
      <c r="E195" s="20"/>
      <c r="F195" s="20"/>
      <c r="G195" s="3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15.75" customHeight="1">
      <c r="A196" s="21"/>
      <c r="B196" s="22"/>
      <c r="C196" s="20"/>
      <c r="D196" s="20"/>
      <c r="E196" s="20"/>
      <c r="F196" s="20"/>
      <c r="G196" s="3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15.75" customHeight="1">
      <c r="A197" s="21"/>
      <c r="B197" s="22"/>
      <c r="C197" s="20"/>
      <c r="D197" s="20"/>
      <c r="E197" s="20"/>
      <c r="F197" s="20"/>
      <c r="G197" s="3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15.75" customHeight="1">
      <c r="A198" s="21"/>
      <c r="B198" s="22"/>
      <c r="C198" s="20"/>
      <c r="D198" s="20"/>
      <c r="E198" s="20"/>
      <c r="F198" s="20"/>
      <c r="G198" s="3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15.75" customHeight="1">
      <c r="A199" s="21"/>
      <c r="B199" s="22"/>
      <c r="C199" s="20"/>
      <c r="D199" s="20"/>
      <c r="E199" s="20"/>
      <c r="F199" s="20"/>
      <c r="G199" s="3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ht="15.75" customHeight="1">
      <c r="A200" s="21"/>
      <c r="B200" s="22"/>
      <c r="C200" s="20"/>
      <c r="D200" s="20"/>
      <c r="E200" s="20"/>
      <c r="F200" s="20"/>
      <c r="G200" s="3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ht="15.75" customHeight="1">
      <c r="A201" s="21"/>
      <c r="B201" s="22"/>
      <c r="C201" s="20"/>
      <c r="D201" s="20"/>
      <c r="E201" s="20"/>
      <c r="F201" s="20"/>
      <c r="G201" s="3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15.75" customHeight="1">
      <c r="A202" s="21"/>
      <c r="B202" s="22"/>
      <c r="C202" s="20"/>
      <c r="D202" s="20"/>
      <c r="E202" s="20"/>
      <c r="F202" s="20"/>
      <c r="G202" s="3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15.75" customHeight="1">
      <c r="A203" s="21"/>
      <c r="B203" s="22"/>
      <c r="C203" s="20"/>
      <c r="D203" s="20"/>
      <c r="E203" s="20"/>
      <c r="F203" s="20"/>
      <c r="G203" s="3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15.75" customHeight="1">
      <c r="A204" s="21"/>
      <c r="B204" s="22"/>
      <c r="C204" s="20"/>
      <c r="D204" s="20"/>
      <c r="E204" s="20"/>
      <c r="F204" s="20"/>
      <c r="G204" s="3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ht="15.75" customHeight="1">
      <c r="A205" s="21"/>
      <c r="B205" s="22"/>
      <c r="C205" s="20"/>
      <c r="D205" s="20"/>
      <c r="E205" s="20"/>
      <c r="F205" s="20"/>
      <c r="G205" s="3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ht="15.75" customHeight="1">
      <c r="A206" s="21"/>
      <c r="B206" s="22"/>
      <c r="C206" s="20"/>
      <c r="D206" s="20"/>
      <c r="E206" s="20"/>
      <c r="F206" s="20"/>
      <c r="G206" s="3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15.75" customHeight="1">
      <c r="A207" s="21"/>
      <c r="B207" s="22"/>
      <c r="C207" s="20"/>
      <c r="D207" s="20"/>
      <c r="E207" s="20"/>
      <c r="F207" s="20"/>
      <c r="G207" s="3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15.75" customHeight="1">
      <c r="A208" s="21"/>
      <c r="B208" s="22"/>
      <c r="C208" s="20"/>
      <c r="D208" s="20"/>
      <c r="E208" s="20"/>
      <c r="F208" s="20"/>
      <c r="G208" s="3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15.75" customHeight="1">
      <c r="A209" s="21"/>
      <c r="B209" s="22"/>
      <c r="C209" s="20"/>
      <c r="D209" s="20"/>
      <c r="E209" s="20"/>
      <c r="F209" s="20"/>
      <c r="G209" s="3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ht="15.75" customHeight="1">
      <c r="A210" s="21"/>
      <c r="B210" s="22"/>
      <c r="C210" s="20"/>
      <c r="D210" s="20"/>
      <c r="E210" s="20"/>
      <c r="F210" s="20"/>
      <c r="G210" s="3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15.75" customHeight="1">
      <c r="A211" s="21"/>
      <c r="B211" s="22"/>
      <c r="C211" s="20"/>
      <c r="D211" s="20"/>
      <c r="E211" s="20"/>
      <c r="F211" s="20"/>
      <c r="G211" s="3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15.75" customHeight="1">
      <c r="A212" s="21"/>
      <c r="B212" s="22"/>
      <c r="C212" s="20"/>
      <c r="D212" s="20"/>
      <c r="E212" s="20"/>
      <c r="F212" s="20"/>
      <c r="G212" s="3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15.75" customHeight="1">
      <c r="A213" s="21"/>
      <c r="B213" s="22"/>
      <c r="C213" s="20"/>
      <c r="D213" s="20"/>
      <c r="E213" s="20"/>
      <c r="F213" s="20"/>
      <c r="G213" s="3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ht="15.75" customHeight="1">
      <c r="A214" s="21"/>
      <c r="B214" s="22"/>
      <c r="C214" s="20"/>
      <c r="D214" s="20"/>
      <c r="E214" s="20"/>
      <c r="F214" s="20"/>
      <c r="G214" s="3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15.75" customHeight="1">
      <c r="A215" s="21"/>
      <c r="B215" s="22"/>
      <c r="C215" s="20"/>
      <c r="D215" s="20"/>
      <c r="E215" s="20"/>
      <c r="F215" s="20"/>
      <c r="G215" s="3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15.75" customHeight="1">
      <c r="A216" s="21"/>
      <c r="B216" s="22"/>
      <c r="C216" s="20"/>
      <c r="D216" s="20"/>
      <c r="E216" s="20"/>
      <c r="F216" s="20"/>
      <c r="G216" s="3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15.75" customHeight="1">
      <c r="A217" s="21"/>
      <c r="B217" s="22"/>
      <c r="C217" s="20"/>
      <c r="D217" s="20"/>
      <c r="E217" s="20"/>
      <c r="F217" s="20"/>
      <c r="G217" s="3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15.75" customHeight="1">
      <c r="A218" s="21"/>
      <c r="B218" s="22"/>
      <c r="C218" s="20"/>
      <c r="D218" s="20"/>
      <c r="E218" s="20"/>
      <c r="F218" s="20"/>
      <c r="G218" s="3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15.75" customHeight="1">
      <c r="A219" s="21"/>
      <c r="B219" s="22"/>
      <c r="C219" s="20"/>
      <c r="D219" s="20"/>
      <c r="E219" s="20"/>
      <c r="F219" s="20"/>
      <c r="G219" s="3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ht="15.75" customHeight="1">
      <c r="A220" s="21"/>
      <c r="B220" s="22"/>
      <c r="C220" s="20"/>
      <c r="D220" s="20"/>
      <c r="E220" s="20"/>
      <c r="F220" s="20"/>
      <c r="G220" s="3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15.75" customHeight="1">
      <c r="A221" s="21"/>
      <c r="B221" s="22"/>
      <c r="C221" s="20"/>
      <c r="D221" s="20"/>
      <c r="E221" s="20"/>
      <c r="F221" s="20"/>
      <c r="G221" s="3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15.75" customHeight="1">
      <c r="A222" s="21"/>
      <c r="B222" s="22"/>
      <c r="C222" s="20"/>
      <c r="D222" s="20"/>
      <c r="E222" s="20"/>
      <c r="F222" s="20"/>
      <c r="G222" s="3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15.75" customHeight="1">
      <c r="A223" s="21"/>
      <c r="B223" s="22"/>
      <c r="C223" s="20"/>
      <c r="D223" s="20"/>
      <c r="E223" s="20"/>
      <c r="F223" s="20"/>
      <c r="G223" s="3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15.75" customHeight="1">
      <c r="A224" s="21"/>
      <c r="B224" s="22"/>
      <c r="C224" s="20"/>
      <c r="D224" s="20"/>
      <c r="E224" s="20"/>
      <c r="F224" s="20"/>
      <c r="G224" s="3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ht="15.75" customHeight="1">
      <c r="A225" s="21"/>
      <c r="B225" s="22"/>
      <c r="C225" s="20"/>
      <c r="D225" s="20"/>
      <c r="E225" s="20"/>
      <c r="F225" s="20"/>
      <c r="G225" s="3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15.75" customHeight="1">
      <c r="A226" s="21"/>
      <c r="B226" s="22"/>
      <c r="C226" s="20"/>
      <c r="D226" s="20"/>
      <c r="E226" s="20"/>
      <c r="F226" s="20"/>
      <c r="G226" s="3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ht="15.75" customHeight="1">
      <c r="A227" s="21"/>
      <c r="B227" s="22"/>
      <c r="C227" s="20"/>
      <c r="D227" s="20"/>
      <c r="E227" s="20"/>
      <c r="F227" s="20"/>
      <c r="G227" s="3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ht="15.75" customHeight="1">
      <c r="A228" s="21"/>
      <c r="B228" s="22"/>
      <c r="C228" s="20"/>
      <c r="D228" s="20"/>
      <c r="E228" s="20"/>
      <c r="F228" s="20"/>
      <c r="G228" s="3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15.75" customHeight="1">
      <c r="A229" s="21"/>
      <c r="B229" s="22"/>
      <c r="C229" s="20"/>
      <c r="D229" s="20"/>
      <c r="E229" s="20"/>
      <c r="F229" s="20"/>
      <c r="G229" s="3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ht="15.75" customHeight="1">
      <c r="A230" s="21"/>
      <c r="B230" s="22"/>
      <c r="C230" s="20"/>
      <c r="D230" s="20"/>
      <c r="E230" s="20"/>
      <c r="F230" s="20"/>
      <c r="G230" s="3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ht="15.75" customHeight="1">
      <c r="A231" s="21"/>
      <c r="B231" s="22"/>
      <c r="C231" s="20"/>
      <c r="D231" s="20"/>
      <c r="E231" s="20"/>
      <c r="F231" s="20"/>
      <c r="G231" s="3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ht="15.75" customHeight="1">
      <c r="A232" s="21"/>
      <c r="B232" s="22"/>
      <c r="C232" s="20"/>
      <c r="D232" s="20"/>
      <c r="E232" s="20"/>
      <c r="F232" s="20"/>
      <c r="G232" s="3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15.75" customHeight="1">
      <c r="A233" s="21"/>
      <c r="B233" s="22"/>
      <c r="C233" s="20"/>
      <c r="D233" s="20"/>
      <c r="E233" s="20"/>
      <c r="F233" s="20"/>
      <c r="G233" s="3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ht="15.75" customHeight="1">
      <c r="A234" s="21"/>
      <c r="B234" s="22"/>
      <c r="C234" s="20"/>
      <c r="D234" s="20"/>
      <c r="E234" s="20"/>
      <c r="F234" s="20"/>
      <c r="G234" s="3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ht="15.75" customHeight="1">
      <c r="A235" s="21"/>
      <c r="B235" s="22"/>
      <c r="C235" s="20"/>
      <c r="D235" s="20"/>
      <c r="E235" s="20"/>
      <c r="F235" s="20"/>
      <c r="G235" s="3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ht="15.75" customHeight="1">
      <c r="A236" s="21"/>
      <c r="B236" s="22"/>
      <c r="C236" s="20"/>
      <c r="D236" s="20"/>
      <c r="E236" s="20"/>
      <c r="F236" s="20"/>
      <c r="G236" s="3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ht="15.75" customHeight="1">
      <c r="A237" s="21"/>
      <c r="B237" s="22"/>
      <c r="C237" s="20"/>
      <c r="D237" s="20"/>
      <c r="E237" s="20"/>
      <c r="F237" s="20"/>
      <c r="G237" s="3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ht="15.75" customHeight="1">
      <c r="A238" s="21"/>
      <c r="B238" s="22"/>
      <c r="C238" s="20"/>
      <c r="D238" s="20"/>
      <c r="E238" s="20"/>
      <c r="F238" s="20"/>
      <c r="G238" s="3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ht="15.75" customHeight="1">
      <c r="A239" s="21"/>
      <c r="B239" s="22"/>
      <c r="C239" s="20"/>
      <c r="D239" s="20"/>
      <c r="E239" s="20"/>
      <c r="F239" s="20"/>
      <c r="G239" s="3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ht="15.75" customHeight="1">
      <c r="A240" s="21"/>
      <c r="B240" s="22"/>
      <c r="C240" s="20"/>
      <c r="D240" s="20"/>
      <c r="E240" s="20"/>
      <c r="F240" s="20"/>
      <c r="G240" s="3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ht="15.75" customHeight="1">
      <c r="A241" s="21"/>
      <c r="B241" s="22"/>
      <c r="C241" s="20"/>
      <c r="D241" s="20"/>
      <c r="E241" s="20"/>
      <c r="F241" s="20"/>
      <c r="G241" s="3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ht="15.75" customHeight="1">
      <c r="A242" s="21"/>
      <c r="B242" s="22"/>
      <c r="C242" s="20"/>
      <c r="D242" s="20"/>
      <c r="E242" s="20"/>
      <c r="F242" s="20"/>
      <c r="G242" s="3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ht="15.75" customHeight="1">
      <c r="A243" s="21"/>
      <c r="B243" s="22"/>
      <c r="C243" s="20"/>
      <c r="D243" s="20"/>
      <c r="E243" s="20"/>
      <c r="F243" s="20"/>
      <c r="G243" s="3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ht="15.75" customHeight="1">
      <c r="A244" s="21"/>
      <c r="B244" s="22"/>
      <c r="C244" s="20"/>
      <c r="D244" s="20"/>
      <c r="E244" s="20"/>
      <c r="F244" s="20"/>
      <c r="G244" s="3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ht="15.75" customHeight="1">
      <c r="A245" s="21"/>
      <c r="B245" s="22"/>
      <c r="C245" s="20"/>
      <c r="D245" s="20"/>
      <c r="E245" s="20"/>
      <c r="F245" s="20"/>
      <c r="G245" s="3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ht="15.75" customHeight="1">
      <c r="A246" s="21"/>
      <c r="B246" s="22"/>
      <c r="C246" s="20"/>
      <c r="D246" s="20"/>
      <c r="E246" s="20"/>
      <c r="F246" s="20"/>
      <c r="G246" s="3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ht="15.75" customHeight="1">
      <c r="A247" s="21"/>
      <c r="B247" s="22"/>
      <c r="C247" s="20"/>
      <c r="D247" s="20"/>
      <c r="E247" s="20"/>
      <c r="F247" s="20"/>
      <c r="G247" s="3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ht="15.75" customHeight="1">
      <c r="A248" s="21"/>
      <c r="B248" s="22"/>
      <c r="C248" s="20"/>
      <c r="D248" s="20"/>
      <c r="E248" s="20"/>
      <c r="F248" s="20"/>
      <c r="G248" s="3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ht="15.75" customHeight="1">
      <c r="A249" s="21"/>
      <c r="B249" s="22"/>
      <c r="C249" s="20"/>
      <c r="D249" s="20"/>
      <c r="E249" s="20"/>
      <c r="F249" s="20"/>
      <c r="G249" s="3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ht="15.75" customHeight="1">
      <c r="A250" s="21"/>
      <c r="B250" s="22"/>
      <c r="C250" s="20"/>
      <c r="D250" s="20"/>
      <c r="E250" s="20"/>
      <c r="F250" s="20"/>
      <c r="G250" s="3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ht="15.75" customHeight="1">
      <c r="A251" s="21"/>
      <c r="B251" s="22"/>
      <c r="C251" s="20"/>
      <c r="D251" s="20"/>
      <c r="E251" s="20"/>
      <c r="F251" s="20"/>
      <c r="G251" s="3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ht="15.75" customHeight="1">
      <c r="A252" s="21"/>
      <c r="B252" s="22"/>
      <c r="C252" s="20"/>
      <c r="D252" s="20"/>
      <c r="E252" s="20"/>
      <c r="F252" s="20"/>
      <c r="G252" s="3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ht="15.75" customHeight="1">
      <c r="A253" s="21"/>
      <c r="B253" s="22"/>
      <c r="C253" s="20"/>
      <c r="D253" s="20"/>
      <c r="E253" s="20"/>
      <c r="F253" s="20"/>
      <c r="G253" s="3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ht="15.75" customHeight="1">
      <c r="A254" s="21"/>
      <c r="B254" s="22"/>
      <c r="C254" s="20"/>
      <c r="D254" s="20"/>
      <c r="E254" s="20"/>
      <c r="F254" s="20"/>
      <c r="G254" s="3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ht="15.75" customHeight="1">
      <c r="A255" s="21"/>
      <c r="B255" s="22"/>
      <c r="C255" s="20"/>
      <c r="D255" s="20"/>
      <c r="E255" s="20"/>
      <c r="F255" s="20"/>
      <c r="G255" s="3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ht="15.75" customHeight="1">
      <c r="A256" s="21"/>
      <c r="B256" s="22"/>
      <c r="C256" s="20"/>
      <c r="D256" s="20"/>
      <c r="E256" s="20"/>
      <c r="F256" s="20"/>
      <c r="G256" s="3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ht="15.75" customHeight="1">
      <c r="A257" s="21"/>
      <c r="B257" s="22"/>
      <c r="C257" s="20"/>
      <c r="D257" s="20"/>
      <c r="E257" s="20"/>
      <c r="F257" s="20"/>
      <c r="G257" s="3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ht="15.75" customHeight="1">
      <c r="A258" s="21"/>
      <c r="B258" s="22"/>
      <c r="C258" s="20"/>
      <c r="D258" s="20"/>
      <c r="E258" s="20"/>
      <c r="F258" s="20"/>
      <c r="G258" s="3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ht="15.75" customHeight="1">
      <c r="A259" s="21"/>
      <c r="B259" s="22"/>
      <c r="C259" s="20"/>
      <c r="D259" s="20"/>
      <c r="E259" s="20"/>
      <c r="F259" s="20"/>
      <c r="G259" s="3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ht="15.75" customHeight="1">
      <c r="A260" s="21"/>
      <c r="B260" s="22"/>
      <c r="C260" s="20"/>
      <c r="D260" s="20"/>
      <c r="E260" s="20"/>
      <c r="F260" s="20"/>
      <c r="G260" s="3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ht="15.75" customHeight="1">
      <c r="A261" s="21"/>
      <c r="B261" s="22"/>
      <c r="C261" s="20"/>
      <c r="D261" s="20"/>
      <c r="E261" s="20"/>
      <c r="F261" s="20"/>
      <c r="G261" s="3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ht="15.75" customHeight="1">
      <c r="A262" s="21"/>
      <c r="B262" s="22"/>
      <c r="C262" s="20"/>
      <c r="D262" s="20"/>
      <c r="E262" s="20"/>
      <c r="F262" s="20"/>
      <c r="G262" s="3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ht="15.75" customHeight="1">
      <c r="A263" s="21"/>
      <c r="B263" s="22"/>
      <c r="C263" s="20"/>
      <c r="D263" s="20"/>
      <c r="E263" s="20"/>
      <c r="F263" s="20"/>
      <c r="G263" s="3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ht="15.75" customHeight="1">
      <c r="A264" s="21"/>
      <c r="B264" s="22"/>
      <c r="C264" s="20"/>
      <c r="D264" s="20"/>
      <c r="E264" s="20"/>
      <c r="F264" s="20"/>
      <c r="G264" s="3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ht="15.75" customHeight="1">
      <c r="A265" s="21"/>
      <c r="B265" s="22"/>
      <c r="C265" s="20"/>
      <c r="D265" s="20"/>
      <c r="E265" s="20"/>
      <c r="F265" s="20"/>
      <c r="G265" s="3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ht="15.75" customHeight="1">
      <c r="A266" s="21"/>
      <c r="B266" s="22"/>
      <c r="C266" s="20"/>
      <c r="D266" s="20"/>
      <c r="E266" s="20"/>
      <c r="F266" s="20"/>
      <c r="G266" s="3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ht="15.75" customHeight="1">
      <c r="A267" s="21"/>
      <c r="B267" s="22"/>
      <c r="C267" s="20"/>
      <c r="D267" s="20"/>
      <c r="E267" s="20"/>
      <c r="F267" s="20"/>
      <c r="G267" s="3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ht="15.75" customHeight="1">
      <c r="A268" s="21"/>
      <c r="B268" s="22"/>
      <c r="C268" s="20"/>
      <c r="D268" s="20"/>
      <c r="E268" s="20"/>
      <c r="F268" s="20"/>
      <c r="G268" s="3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ht="15.75" customHeight="1">
      <c r="A269" s="21"/>
      <c r="B269" s="22"/>
      <c r="C269" s="20"/>
      <c r="D269" s="20"/>
      <c r="E269" s="20"/>
      <c r="F269" s="20"/>
      <c r="G269" s="3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ht="15.75" customHeight="1">
      <c r="A270" s="21"/>
      <c r="B270" s="22"/>
      <c r="C270" s="20"/>
      <c r="D270" s="20"/>
      <c r="E270" s="20"/>
      <c r="F270" s="20"/>
      <c r="G270" s="3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ht="15.75" customHeight="1">
      <c r="A271" s="21"/>
      <c r="B271" s="22"/>
      <c r="C271" s="20"/>
      <c r="D271" s="20"/>
      <c r="E271" s="20"/>
      <c r="F271" s="20"/>
      <c r="G271" s="3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ht="15.75" customHeight="1">
      <c r="A272" s="21"/>
      <c r="B272" s="22"/>
      <c r="C272" s="20"/>
      <c r="D272" s="20"/>
      <c r="E272" s="20"/>
      <c r="F272" s="20"/>
      <c r="G272" s="3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ht="15.75" customHeight="1">
      <c r="A273" s="21"/>
      <c r="B273" s="22"/>
      <c r="C273" s="20"/>
      <c r="D273" s="20"/>
      <c r="E273" s="20"/>
      <c r="F273" s="20"/>
      <c r="G273" s="3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ht="15.75" customHeight="1">
      <c r="A274" s="21"/>
      <c r="B274" s="22"/>
      <c r="C274" s="20"/>
      <c r="D274" s="20"/>
      <c r="E274" s="20"/>
      <c r="F274" s="20"/>
      <c r="G274" s="3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ht="15.75" customHeight="1">
      <c r="A275" s="21"/>
      <c r="B275" s="22"/>
      <c r="C275" s="20"/>
      <c r="D275" s="20"/>
      <c r="E275" s="20"/>
      <c r="F275" s="20"/>
      <c r="G275" s="3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ht="15.75" customHeight="1">
      <c r="A276" s="21"/>
      <c r="B276" s="22"/>
      <c r="C276" s="20"/>
      <c r="D276" s="20"/>
      <c r="E276" s="20"/>
      <c r="F276" s="20"/>
      <c r="G276" s="3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ht="15.75" customHeight="1">
      <c r="A277" s="21"/>
      <c r="B277" s="22"/>
      <c r="C277" s="20"/>
      <c r="D277" s="20"/>
      <c r="E277" s="20"/>
      <c r="F277" s="20"/>
      <c r="G277" s="3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ht="15.75" customHeight="1">
      <c r="A278" s="21"/>
      <c r="B278" s="22"/>
      <c r="C278" s="20"/>
      <c r="D278" s="20"/>
      <c r="E278" s="20"/>
      <c r="F278" s="20"/>
      <c r="G278" s="3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ht="15.75" customHeight="1">
      <c r="A279" s="21"/>
      <c r="B279" s="22"/>
      <c r="C279" s="20"/>
      <c r="D279" s="20"/>
      <c r="E279" s="20"/>
      <c r="F279" s="20"/>
      <c r="G279" s="3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ht="15.75" customHeight="1">
      <c r="A280" s="21"/>
      <c r="B280" s="22"/>
      <c r="C280" s="20"/>
      <c r="D280" s="20"/>
      <c r="E280" s="20"/>
      <c r="F280" s="20"/>
      <c r="G280" s="3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ht="15.75" customHeight="1">
      <c r="A281" s="21"/>
      <c r="B281" s="22"/>
      <c r="C281" s="20"/>
      <c r="D281" s="20"/>
      <c r="E281" s="20"/>
      <c r="F281" s="20"/>
      <c r="G281" s="3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ht="15.75" customHeight="1">
      <c r="A282" s="21"/>
      <c r="B282" s="22"/>
      <c r="C282" s="20"/>
      <c r="D282" s="20"/>
      <c r="E282" s="20"/>
      <c r="F282" s="20"/>
      <c r="G282" s="3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ht="15.75" customHeight="1">
      <c r="A283" s="21"/>
      <c r="B283" s="22"/>
      <c r="C283" s="20"/>
      <c r="D283" s="20"/>
      <c r="E283" s="20"/>
      <c r="F283" s="20"/>
      <c r="G283" s="3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ht="15.75" customHeight="1">
      <c r="A284" s="21"/>
      <c r="B284" s="22"/>
      <c r="C284" s="20"/>
      <c r="D284" s="20"/>
      <c r="E284" s="20"/>
      <c r="F284" s="20"/>
      <c r="G284" s="3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ht="15.75" customHeight="1">
      <c r="A285" s="21"/>
      <c r="B285" s="22"/>
      <c r="C285" s="20"/>
      <c r="D285" s="20"/>
      <c r="E285" s="20"/>
      <c r="F285" s="20"/>
      <c r="G285" s="3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ht="15.75" customHeight="1">
      <c r="A286" s="21"/>
      <c r="B286" s="22"/>
      <c r="C286" s="20"/>
      <c r="D286" s="20"/>
      <c r="E286" s="20"/>
      <c r="F286" s="20"/>
      <c r="G286" s="3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ht="15.75" customHeight="1">
      <c r="A287" s="21"/>
      <c r="B287" s="22"/>
      <c r="C287" s="20"/>
      <c r="D287" s="20"/>
      <c r="E287" s="20"/>
      <c r="F287" s="20"/>
      <c r="G287" s="3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ht="15.75" customHeight="1">
      <c r="A288" s="21"/>
      <c r="B288" s="22"/>
      <c r="C288" s="20"/>
      <c r="D288" s="20"/>
      <c r="E288" s="20"/>
      <c r="F288" s="20"/>
      <c r="G288" s="3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ht="15.75" customHeight="1">
      <c r="A289" s="21"/>
      <c r="B289" s="22"/>
      <c r="C289" s="20"/>
      <c r="D289" s="20"/>
      <c r="E289" s="20"/>
      <c r="F289" s="20"/>
      <c r="G289" s="3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ht="15.75" customHeight="1">
      <c r="A290" s="21"/>
      <c r="B290" s="22"/>
      <c r="C290" s="20"/>
      <c r="D290" s="20"/>
      <c r="E290" s="20"/>
      <c r="F290" s="20"/>
      <c r="G290" s="3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ht="15.75" customHeight="1">
      <c r="A291" s="21"/>
      <c r="B291" s="22"/>
      <c r="C291" s="20"/>
      <c r="D291" s="20"/>
      <c r="E291" s="20"/>
      <c r="F291" s="20"/>
      <c r="G291" s="3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ht="15.75" customHeight="1">
      <c r="A292" s="21"/>
      <c r="B292" s="22"/>
      <c r="C292" s="20"/>
      <c r="D292" s="20"/>
      <c r="E292" s="20"/>
      <c r="F292" s="20"/>
      <c r="G292" s="3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ht="15.75" customHeight="1">
      <c r="A293" s="21"/>
      <c r="B293" s="22"/>
      <c r="C293" s="20"/>
      <c r="D293" s="20"/>
      <c r="E293" s="20"/>
      <c r="F293" s="20"/>
      <c r="G293" s="3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ht="15.75" customHeight="1">
      <c r="A294" s="21"/>
      <c r="B294" s="22"/>
      <c r="C294" s="20"/>
      <c r="D294" s="20"/>
      <c r="E294" s="20"/>
      <c r="F294" s="20"/>
      <c r="G294" s="3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ht="15.75" customHeight="1">
      <c r="A295" s="21"/>
      <c r="B295" s="22"/>
      <c r="C295" s="20"/>
      <c r="D295" s="20"/>
      <c r="E295" s="20"/>
      <c r="F295" s="20"/>
      <c r="G295" s="3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ht="15.75" customHeight="1">
      <c r="A296" s="21"/>
      <c r="B296" s="22"/>
      <c r="C296" s="20"/>
      <c r="D296" s="20"/>
      <c r="E296" s="20"/>
      <c r="F296" s="20"/>
      <c r="G296" s="3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ht="15.75" customHeight="1">
      <c r="A297" s="21"/>
      <c r="B297" s="22"/>
      <c r="C297" s="20"/>
      <c r="D297" s="20"/>
      <c r="E297" s="20"/>
      <c r="F297" s="20"/>
      <c r="G297" s="3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ht="15.75" customHeight="1">
      <c r="A298" s="21"/>
      <c r="B298" s="22"/>
      <c r="C298" s="20"/>
      <c r="D298" s="20"/>
      <c r="E298" s="20"/>
      <c r="F298" s="20"/>
      <c r="G298" s="3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ht="15.75" customHeight="1">
      <c r="A299" s="21"/>
      <c r="B299" s="22"/>
      <c r="C299" s="20"/>
      <c r="D299" s="20"/>
      <c r="E299" s="20"/>
      <c r="F299" s="20"/>
      <c r="G299" s="3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ht="15.75" customHeight="1">
      <c r="A300" s="21"/>
      <c r="B300" s="22"/>
      <c r="C300" s="20"/>
      <c r="D300" s="20"/>
      <c r="E300" s="20"/>
      <c r="F300" s="20"/>
      <c r="G300" s="3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ht="15.75" customHeight="1">
      <c r="A301" s="21"/>
      <c r="B301" s="22"/>
      <c r="C301" s="20"/>
      <c r="D301" s="20"/>
      <c r="E301" s="20"/>
      <c r="F301" s="20"/>
      <c r="G301" s="3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ht="15.75" customHeight="1">
      <c r="A302" s="21"/>
      <c r="B302" s="22"/>
      <c r="C302" s="20"/>
      <c r="D302" s="20"/>
      <c r="E302" s="20"/>
      <c r="F302" s="20"/>
      <c r="G302" s="3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ht="15.75" customHeight="1">
      <c r="A303" s="21"/>
      <c r="B303" s="22"/>
      <c r="C303" s="20"/>
      <c r="D303" s="20"/>
      <c r="E303" s="20"/>
      <c r="F303" s="20"/>
      <c r="G303" s="3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ht="15.75" customHeight="1">
      <c r="A304" s="21"/>
      <c r="B304" s="22"/>
      <c r="C304" s="20"/>
      <c r="D304" s="20"/>
      <c r="E304" s="20"/>
      <c r="F304" s="20"/>
      <c r="G304" s="3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ht="15.75" customHeight="1">
      <c r="A305" s="21"/>
      <c r="B305" s="22"/>
      <c r="C305" s="20"/>
      <c r="D305" s="20"/>
      <c r="E305" s="20"/>
      <c r="F305" s="20"/>
      <c r="G305" s="3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ht="15.75" customHeight="1">
      <c r="A306" s="21"/>
      <c r="B306" s="22"/>
      <c r="C306" s="20"/>
      <c r="D306" s="20"/>
      <c r="E306" s="20"/>
      <c r="F306" s="20"/>
      <c r="G306" s="3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ht="15.75" customHeight="1">
      <c r="A307" s="21"/>
      <c r="B307" s="22"/>
      <c r="C307" s="20"/>
      <c r="D307" s="20"/>
      <c r="E307" s="20"/>
      <c r="F307" s="20"/>
      <c r="G307" s="3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ht="15.75" customHeight="1">
      <c r="A308" s="21"/>
      <c r="B308" s="22"/>
      <c r="C308" s="20"/>
      <c r="D308" s="20"/>
      <c r="E308" s="20"/>
      <c r="F308" s="20"/>
      <c r="G308" s="3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ht="15.75" customHeight="1">
      <c r="A309" s="21"/>
      <c r="B309" s="22"/>
      <c r="C309" s="20"/>
      <c r="D309" s="20"/>
      <c r="E309" s="20"/>
      <c r="F309" s="20"/>
      <c r="G309" s="3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ht="15.75" customHeight="1">
      <c r="A310" s="21"/>
      <c r="B310" s="22"/>
      <c r="C310" s="20"/>
      <c r="D310" s="20"/>
      <c r="E310" s="20"/>
      <c r="F310" s="20"/>
      <c r="G310" s="3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ht="15.75" customHeight="1">
      <c r="A311" s="21"/>
      <c r="B311" s="22"/>
      <c r="C311" s="20"/>
      <c r="D311" s="20"/>
      <c r="E311" s="20"/>
      <c r="F311" s="20"/>
      <c r="G311" s="3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ht="15.75" customHeight="1">
      <c r="A312" s="21"/>
      <c r="B312" s="22"/>
      <c r="C312" s="20"/>
      <c r="D312" s="20"/>
      <c r="E312" s="20"/>
      <c r="F312" s="20"/>
      <c r="G312" s="3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ht="15.75" customHeight="1">
      <c r="A313" s="21"/>
      <c r="B313" s="22"/>
      <c r="C313" s="20"/>
      <c r="D313" s="20"/>
      <c r="E313" s="20"/>
      <c r="F313" s="20"/>
      <c r="G313" s="3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ht="15.75" customHeight="1">
      <c r="A314" s="21"/>
      <c r="B314" s="22"/>
      <c r="C314" s="20"/>
      <c r="D314" s="20"/>
      <c r="E314" s="20"/>
      <c r="F314" s="20"/>
      <c r="G314" s="3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ht="15.75" customHeight="1">
      <c r="A315" s="21"/>
      <c r="B315" s="22"/>
      <c r="C315" s="20"/>
      <c r="D315" s="20"/>
      <c r="E315" s="20"/>
      <c r="F315" s="20"/>
      <c r="G315" s="3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ht="15.75" customHeight="1">
      <c r="A316" s="21"/>
      <c r="B316" s="22"/>
      <c r="C316" s="20"/>
      <c r="D316" s="20"/>
      <c r="E316" s="20"/>
      <c r="F316" s="20"/>
      <c r="G316" s="3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ht="15.75" customHeight="1">
      <c r="A317" s="21"/>
      <c r="B317" s="22"/>
      <c r="C317" s="20"/>
      <c r="D317" s="20"/>
      <c r="E317" s="20"/>
      <c r="F317" s="20"/>
      <c r="G317" s="3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ht="15.75" customHeight="1">
      <c r="A318" s="21"/>
      <c r="B318" s="22"/>
      <c r="C318" s="20"/>
      <c r="D318" s="20"/>
      <c r="E318" s="20"/>
      <c r="F318" s="20"/>
      <c r="G318" s="3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ht="15.75" customHeight="1">
      <c r="A319" s="21"/>
      <c r="B319" s="22"/>
      <c r="C319" s="20"/>
      <c r="D319" s="20"/>
      <c r="E319" s="20"/>
      <c r="F319" s="20"/>
      <c r="G319" s="3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ht="15.75" customHeight="1">
      <c r="A320" s="21"/>
      <c r="B320" s="22"/>
      <c r="C320" s="20"/>
      <c r="D320" s="20"/>
      <c r="E320" s="20"/>
      <c r="F320" s="20"/>
      <c r="G320" s="3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ht="15.75" customHeight="1">
      <c r="A321" s="21"/>
      <c r="B321" s="22"/>
      <c r="C321" s="20"/>
      <c r="D321" s="20"/>
      <c r="E321" s="20"/>
      <c r="F321" s="20"/>
      <c r="G321" s="3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ht="15.75" customHeight="1">
      <c r="A322" s="21"/>
      <c r="B322" s="22"/>
      <c r="C322" s="20"/>
      <c r="D322" s="20"/>
      <c r="E322" s="20"/>
      <c r="F322" s="20"/>
      <c r="G322" s="3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ht="15.75" customHeight="1">
      <c r="A323" s="21"/>
      <c r="B323" s="22"/>
      <c r="C323" s="20"/>
      <c r="D323" s="20"/>
      <c r="E323" s="20"/>
      <c r="F323" s="20"/>
      <c r="G323" s="3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ht="15.75" customHeight="1">
      <c r="A324" s="21"/>
      <c r="B324" s="22"/>
      <c r="C324" s="20"/>
      <c r="D324" s="20"/>
      <c r="E324" s="20"/>
      <c r="F324" s="20"/>
      <c r="G324" s="3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ht="15.75" customHeight="1">
      <c r="A325" s="21"/>
      <c r="B325" s="22"/>
      <c r="C325" s="20"/>
      <c r="D325" s="20"/>
      <c r="E325" s="20"/>
      <c r="F325" s="20"/>
      <c r="G325" s="3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ht="15.75" customHeight="1">
      <c r="A326" s="21"/>
      <c r="B326" s="22"/>
      <c r="C326" s="20"/>
      <c r="D326" s="20"/>
      <c r="E326" s="20"/>
      <c r="F326" s="20"/>
      <c r="G326" s="3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ht="15.75" customHeight="1">
      <c r="A327" s="21"/>
      <c r="B327" s="22"/>
      <c r="C327" s="20"/>
      <c r="D327" s="20"/>
      <c r="E327" s="20"/>
      <c r="F327" s="20"/>
      <c r="G327" s="3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ht="15.75" customHeight="1">
      <c r="A328" s="21"/>
      <c r="B328" s="22"/>
      <c r="C328" s="20"/>
      <c r="D328" s="20"/>
      <c r="E328" s="20"/>
      <c r="F328" s="20"/>
      <c r="G328" s="3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ht="15.75" customHeight="1">
      <c r="A329" s="21"/>
      <c r="B329" s="22"/>
      <c r="C329" s="20"/>
      <c r="D329" s="20"/>
      <c r="E329" s="20"/>
      <c r="F329" s="20"/>
      <c r="G329" s="3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ht="15.75" customHeight="1">
      <c r="A330" s="21"/>
      <c r="B330" s="22"/>
      <c r="C330" s="20"/>
      <c r="D330" s="20"/>
      <c r="E330" s="20"/>
      <c r="F330" s="20"/>
      <c r="G330" s="3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ht="15.75" customHeight="1">
      <c r="A331" s="21"/>
      <c r="B331" s="22"/>
      <c r="C331" s="20"/>
      <c r="D331" s="20"/>
      <c r="E331" s="20"/>
      <c r="F331" s="20"/>
      <c r="G331" s="3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ht="15.75" customHeight="1">
      <c r="A332" s="21"/>
      <c r="B332" s="22"/>
      <c r="C332" s="20"/>
      <c r="D332" s="20"/>
      <c r="E332" s="20"/>
      <c r="F332" s="20"/>
      <c r="G332" s="3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ht="15.75" customHeight="1">
      <c r="A333" s="21"/>
      <c r="B333" s="22"/>
      <c r="C333" s="20"/>
      <c r="D333" s="20"/>
      <c r="E333" s="20"/>
      <c r="F333" s="20"/>
      <c r="G333" s="3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ht="15.75" customHeight="1">
      <c r="A334" s="21"/>
      <c r="B334" s="22"/>
      <c r="C334" s="20"/>
      <c r="D334" s="20"/>
      <c r="E334" s="20"/>
      <c r="F334" s="20"/>
      <c r="G334" s="3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ht="15.75" customHeight="1">
      <c r="A335" s="21"/>
      <c r="B335" s="22"/>
      <c r="C335" s="20"/>
      <c r="D335" s="20"/>
      <c r="E335" s="20"/>
      <c r="F335" s="20"/>
      <c r="G335" s="3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ht="15.75" customHeight="1">
      <c r="A336" s="21"/>
      <c r="B336" s="22"/>
      <c r="C336" s="20"/>
      <c r="D336" s="20"/>
      <c r="E336" s="20"/>
      <c r="F336" s="20"/>
      <c r="G336" s="3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ht="15.75" customHeight="1">
      <c r="A337" s="21"/>
      <c r="B337" s="22"/>
      <c r="C337" s="20"/>
      <c r="D337" s="20"/>
      <c r="E337" s="20"/>
      <c r="F337" s="20"/>
      <c r="G337" s="3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ht="15.75" customHeight="1">
      <c r="A338" s="21"/>
      <c r="B338" s="22"/>
      <c r="C338" s="20"/>
      <c r="D338" s="20"/>
      <c r="E338" s="20"/>
      <c r="F338" s="20"/>
      <c r="G338" s="3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ht="15.75" customHeight="1">
      <c r="A339" s="21"/>
      <c r="B339" s="22"/>
      <c r="C339" s="20"/>
      <c r="D339" s="20"/>
      <c r="E339" s="20"/>
      <c r="F339" s="20"/>
      <c r="G339" s="3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ht="15.75" customHeight="1">
      <c r="A340" s="21"/>
      <c r="B340" s="22"/>
      <c r="C340" s="20"/>
      <c r="D340" s="20"/>
      <c r="E340" s="20"/>
      <c r="F340" s="20"/>
      <c r="G340" s="3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ht="15.75" customHeight="1">
      <c r="A341" s="21"/>
      <c r="B341" s="22"/>
      <c r="C341" s="20"/>
      <c r="D341" s="20"/>
      <c r="E341" s="20"/>
      <c r="F341" s="20"/>
      <c r="G341" s="3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ht="15.75" customHeight="1">
      <c r="A342" s="21"/>
      <c r="B342" s="22"/>
      <c r="C342" s="20"/>
      <c r="D342" s="20"/>
      <c r="E342" s="20"/>
      <c r="F342" s="20"/>
      <c r="G342" s="3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ht="15.75" customHeight="1">
      <c r="A343" s="21"/>
      <c r="B343" s="22"/>
      <c r="C343" s="20"/>
      <c r="D343" s="20"/>
      <c r="E343" s="20"/>
      <c r="F343" s="20"/>
      <c r="G343" s="3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ht="15.75" customHeight="1">
      <c r="A344" s="21"/>
      <c r="B344" s="22"/>
      <c r="C344" s="20"/>
      <c r="D344" s="20"/>
      <c r="E344" s="20"/>
      <c r="F344" s="20"/>
      <c r="G344" s="3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ht="15.75" customHeight="1">
      <c r="A345" s="21"/>
      <c r="B345" s="22"/>
      <c r="C345" s="20"/>
      <c r="D345" s="20"/>
      <c r="E345" s="20"/>
      <c r="F345" s="20"/>
      <c r="G345" s="3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ht="15.75" customHeight="1">
      <c r="A346" s="21"/>
      <c r="B346" s="22"/>
      <c r="C346" s="20"/>
      <c r="D346" s="20"/>
      <c r="E346" s="20"/>
      <c r="F346" s="20"/>
      <c r="G346" s="3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ht="15.75" customHeight="1">
      <c r="A347" s="21"/>
      <c r="B347" s="22"/>
      <c r="C347" s="20"/>
      <c r="D347" s="20"/>
      <c r="E347" s="20"/>
      <c r="F347" s="20"/>
      <c r="G347" s="3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ht="15.75" customHeight="1">
      <c r="A348" s="21"/>
      <c r="B348" s="22"/>
      <c r="C348" s="20"/>
      <c r="D348" s="20"/>
      <c r="E348" s="20"/>
      <c r="F348" s="20"/>
      <c r="G348" s="3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ht="15.75" customHeight="1">
      <c r="A349" s="21"/>
      <c r="B349" s="22"/>
      <c r="C349" s="20"/>
      <c r="D349" s="20"/>
      <c r="E349" s="20"/>
      <c r="F349" s="20"/>
      <c r="G349" s="3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ht="15.75" customHeight="1">
      <c r="A350" s="21"/>
      <c r="B350" s="22"/>
      <c r="C350" s="20"/>
      <c r="D350" s="20"/>
      <c r="E350" s="20"/>
      <c r="F350" s="20"/>
      <c r="G350" s="3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ht="15.75" customHeight="1">
      <c r="A351" s="21"/>
      <c r="B351" s="22"/>
      <c r="C351" s="20"/>
      <c r="D351" s="20"/>
      <c r="E351" s="20"/>
      <c r="F351" s="20"/>
      <c r="G351" s="3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ht="15.75" customHeight="1">
      <c r="A352" s="21"/>
      <c r="B352" s="22"/>
      <c r="C352" s="20"/>
      <c r="D352" s="20"/>
      <c r="E352" s="20"/>
      <c r="F352" s="20"/>
      <c r="G352" s="3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ht="15.75" customHeight="1">
      <c r="A353" s="21"/>
      <c r="B353" s="22"/>
      <c r="C353" s="20"/>
      <c r="D353" s="20"/>
      <c r="E353" s="20"/>
      <c r="F353" s="20"/>
      <c r="G353" s="3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ht="15.75" customHeight="1">
      <c r="A354" s="21"/>
      <c r="B354" s="22"/>
      <c r="C354" s="20"/>
      <c r="D354" s="20"/>
      <c r="E354" s="20"/>
      <c r="F354" s="20"/>
      <c r="G354" s="3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ht="15.75" customHeight="1">
      <c r="A355" s="21"/>
      <c r="B355" s="22"/>
      <c r="C355" s="20"/>
      <c r="D355" s="20"/>
      <c r="E355" s="20"/>
      <c r="F355" s="20"/>
      <c r="G355" s="3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ht="15.75" customHeight="1">
      <c r="A356" s="21"/>
      <c r="B356" s="22"/>
      <c r="C356" s="20"/>
      <c r="D356" s="20"/>
      <c r="E356" s="20"/>
      <c r="F356" s="20"/>
      <c r="G356" s="3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ht="15.75" customHeight="1">
      <c r="A357" s="21"/>
      <c r="B357" s="22"/>
      <c r="C357" s="20"/>
      <c r="D357" s="20"/>
      <c r="E357" s="20"/>
      <c r="F357" s="20"/>
      <c r="G357" s="3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ht="15.75" customHeight="1">
      <c r="A358" s="21"/>
      <c r="B358" s="22"/>
      <c r="C358" s="20"/>
      <c r="D358" s="20"/>
      <c r="E358" s="20"/>
      <c r="F358" s="20"/>
      <c r="G358" s="3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ht="15.75" customHeight="1">
      <c r="A359" s="21"/>
      <c r="B359" s="22"/>
      <c r="C359" s="20"/>
      <c r="D359" s="20"/>
      <c r="E359" s="20"/>
      <c r="F359" s="20"/>
      <c r="G359" s="3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ht="15.75" customHeight="1">
      <c r="A360" s="21"/>
      <c r="B360" s="22"/>
      <c r="C360" s="20"/>
      <c r="D360" s="20"/>
      <c r="E360" s="20"/>
      <c r="F360" s="20"/>
      <c r="G360" s="3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ht="15.75" customHeight="1">
      <c r="A361" s="21"/>
      <c r="B361" s="22"/>
      <c r="C361" s="20"/>
      <c r="D361" s="20"/>
      <c r="E361" s="20"/>
      <c r="F361" s="20"/>
      <c r="G361" s="3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ht="15.75" customHeight="1">
      <c r="A362" s="21"/>
      <c r="B362" s="22"/>
      <c r="C362" s="20"/>
      <c r="D362" s="20"/>
      <c r="E362" s="20"/>
      <c r="F362" s="20"/>
      <c r="G362" s="3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ht="15.75" customHeight="1">
      <c r="A363" s="21"/>
      <c r="B363" s="22"/>
      <c r="C363" s="20"/>
      <c r="D363" s="20"/>
      <c r="E363" s="20"/>
      <c r="F363" s="20"/>
      <c r="G363" s="3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ht="15.75" customHeight="1">
      <c r="A364" s="21"/>
      <c r="B364" s="22"/>
      <c r="C364" s="20"/>
      <c r="D364" s="20"/>
      <c r="E364" s="20"/>
      <c r="F364" s="20"/>
      <c r="G364" s="3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ht="15.75" customHeight="1">
      <c r="A365" s="21"/>
      <c r="B365" s="22"/>
      <c r="C365" s="20"/>
      <c r="D365" s="20"/>
      <c r="E365" s="20"/>
      <c r="F365" s="20"/>
      <c r="G365" s="3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ht="15.75" customHeight="1">
      <c r="A366" s="21"/>
      <c r="B366" s="22"/>
      <c r="C366" s="20"/>
      <c r="D366" s="20"/>
      <c r="E366" s="20"/>
      <c r="F366" s="20"/>
      <c r="G366" s="3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ht="15.75" customHeight="1">
      <c r="A367" s="21"/>
      <c r="B367" s="22"/>
      <c r="C367" s="20"/>
      <c r="D367" s="20"/>
      <c r="E367" s="20"/>
      <c r="F367" s="20"/>
      <c r="G367" s="3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ht="15.75" customHeight="1">
      <c r="A368" s="21"/>
      <c r="B368" s="22"/>
      <c r="C368" s="20"/>
      <c r="D368" s="20"/>
      <c r="E368" s="20"/>
      <c r="F368" s="20"/>
      <c r="G368" s="3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ht="15.75" customHeight="1">
      <c r="A369" s="21"/>
      <c r="B369" s="22"/>
      <c r="C369" s="20"/>
      <c r="D369" s="20"/>
      <c r="E369" s="20"/>
      <c r="F369" s="20"/>
      <c r="G369" s="3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ht="15.75" customHeight="1">
      <c r="A370" s="21"/>
      <c r="B370" s="22"/>
      <c r="C370" s="20"/>
      <c r="D370" s="20"/>
      <c r="E370" s="20"/>
      <c r="F370" s="20"/>
      <c r="G370" s="3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ht="15.75" customHeight="1">
      <c r="A371" s="21"/>
      <c r="B371" s="22"/>
      <c r="C371" s="20"/>
      <c r="D371" s="20"/>
      <c r="E371" s="20"/>
      <c r="F371" s="20"/>
      <c r="G371" s="3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ht="15.75" customHeight="1">
      <c r="A372" s="21"/>
      <c r="B372" s="22"/>
      <c r="C372" s="20"/>
      <c r="D372" s="20"/>
      <c r="E372" s="20"/>
      <c r="F372" s="20"/>
      <c r="G372" s="3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ht="15.75" customHeight="1">
      <c r="A373" s="21"/>
      <c r="B373" s="22"/>
      <c r="C373" s="20"/>
      <c r="D373" s="20"/>
      <c r="E373" s="20"/>
      <c r="F373" s="20"/>
      <c r="G373" s="3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ht="15.75" customHeight="1">
      <c r="A374" s="21"/>
      <c r="B374" s="22"/>
      <c r="C374" s="20"/>
      <c r="D374" s="20"/>
      <c r="E374" s="20"/>
      <c r="F374" s="20"/>
      <c r="G374" s="3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ht="15.75" customHeight="1">
      <c r="A375" s="21"/>
      <c r="B375" s="22"/>
      <c r="C375" s="20"/>
      <c r="D375" s="20"/>
      <c r="E375" s="20"/>
      <c r="F375" s="20"/>
      <c r="G375" s="3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ht="15.75" customHeight="1">
      <c r="A376" s="21"/>
      <c r="B376" s="22"/>
      <c r="C376" s="20"/>
      <c r="D376" s="20"/>
      <c r="E376" s="20"/>
      <c r="F376" s="20"/>
      <c r="G376" s="3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ht="15.75" customHeight="1">
      <c r="A377" s="21"/>
      <c r="B377" s="22"/>
      <c r="C377" s="20"/>
      <c r="D377" s="20"/>
      <c r="E377" s="20"/>
      <c r="F377" s="20"/>
      <c r="G377" s="3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ht="15.75" customHeight="1">
      <c r="A378" s="21"/>
      <c r="B378" s="22"/>
      <c r="C378" s="20"/>
      <c r="D378" s="20"/>
      <c r="E378" s="20"/>
      <c r="F378" s="20"/>
      <c r="G378" s="3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ht="15.75" customHeight="1">
      <c r="A379" s="21"/>
      <c r="B379" s="22"/>
      <c r="C379" s="20"/>
      <c r="D379" s="20"/>
      <c r="E379" s="20"/>
      <c r="F379" s="20"/>
      <c r="G379" s="3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ht="15.75" customHeight="1">
      <c r="A380" s="21"/>
      <c r="B380" s="22"/>
      <c r="C380" s="20"/>
      <c r="D380" s="20"/>
      <c r="E380" s="20"/>
      <c r="F380" s="20"/>
      <c r="G380" s="3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ht="15.75" customHeight="1">
      <c r="A381" s="21"/>
      <c r="B381" s="22"/>
      <c r="C381" s="20"/>
      <c r="D381" s="20"/>
      <c r="E381" s="20"/>
      <c r="F381" s="20"/>
      <c r="G381" s="3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ht="15.75" customHeight="1">
      <c r="A382" s="21"/>
      <c r="B382" s="22"/>
      <c r="C382" s="20"/>
      <c r="D382" s="20"/>
      <c r="E382" s="20"/>
      <c r="F382" s="20"/>
      <c r="G382" s="3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ht="15.75" customHeight="1">
      <c r="A383" s="21"/>
      <c r="B383" s="22"/>
      <c r="C383" s="20"/>
      <c r="D383" s="20"/>
      <c r="E383" s="20"/>
      <c r="F383" s="20"/>
      <c r="G383" s="3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ht="15.75" customHeight="1">
      <c r="A384" s="21"/>
      <c r="B384" s="22"/>
      <c r="C384" s="20"/>
      <c r="D384" s="20"/>
      <c r="E384" s="20"/>
      <c r="F384" s="20"/>
      <c r="G384" s="3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ht="15.75" customHeight="1">
      <c r="A385" s="21"/>
      <c r="B385" s="22"/>
      <c r="C385" s="20"/>
      <c r="D385" s="20"/>
      <c r="E385" s="20"/>
      <c r="F385" s="20"/>
      <c r="G385" s="3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ht="15.75" customHeight="1">
      <c r="A386" s="21"/>
      <c r="B386" s="22"/>
      <c r="C386" s="20"/>
      <c r="D386" s="20"/>
      <c r="E386" s="20"/>
      <c r="F386" s="20"/>
      <c r="G386" s="3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ht="15.75" customHeight="1">
      <c r="A387" s="21"/>
      <c r="B387" s="22"/>
      <c r="C387" s="20"/>
      <c r="D387" s="20"/>
      <c r="E387" s="20"/>
      <c r="F387" s="20"/>
      <c r="G387" s="3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ht="15.75" customHeight="1">
      <c r="A388" s="21"/>
      <c r="B388" s="22"/>
      <c r="C388" s="20"/>
      <c r="D388" s="20"/>
      <c r="E388" s="20"/>
      <c r="F388" s="20"/>
      <c r="G388" s="3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ht="15.75" customHeight="1">
      <c r="A389" s="21"/>
      <c r="B389" s="22"/>
      <c r="C389" s="20"/>
      <c r="D389" s="20"/>
      <c r="E389" s="20"/>
      <c r="F389" s="20"/>
      <c r="G389" s="3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t="15.75" customHeight="1">
      <c r="A390" s="21"/>
      <c r="B390" s="22"/>
      <c r="C390" s="20"/>
      <c r="D390" s="20"/>
      <c r="E390" s="20"/>
      <c r="F390" s="20"/>
      <c r="G390" s="3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ht="15.75" customHeight="1">
      <c r="A391" s="21"/>
      <c r="B391" s="22"/>
      <c r="C391" s="20"/>
      <c r="D391" s="20"/>
      <c r="E391" s="20"/>
      <c r="F391" s="20"/>
      <c r="G391" s="3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ht="15.75" customHeight="1">
      <c r="A392" s="21"/>
      <c r="B392" s="22"/>
      <c r="C392" s="20"/>
      <c r="D392" s="20"/>
      <c r="E392" s="20"/>
      <c r="F392" s="20"/>
      <c r="G392" s="3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ht="15.75" customHeight="1">
      <c r="A393" s="21"/>
      <c r="B393" s="22"/>
      <c r="C393" s="20"/>
      <c r="D393" s="20"/>
      <c r="E393" s="20"/>
      <c r="F393" s="20"/>
      <c r="G393" s="3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ht="15.75" customHeight="1">
      <c r="A394" s="21"/>
      <c r="B394" s="22"/>
      <c r="C394" s="20"/>
      <c r="D394" s="20"/>
      <c r="E394" s="20"/>
      <c r="F394" s="20"/>
      <c r="G394" s="3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ht="15.75" customHeight="1">
      <c r="A395" s="21"/>
      <c r="B395" s="22"/>
      <c r="C395" s="20"/>
      <c r="D395" s="20"/>
      <c r="E395" s="20"/>
      <c r="F395" s="20"/>
      <c r="G395" s="3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ht="15.75" customHeight="1">
      <c r="A396" s="21"/>
      <c r="B396" s="22"/>
      <c r="C396" s="20"/>
      <c r="D396" s="20"/>
      <c r="E396" s="20"/>
      <c r="F396" s="20"/>
      <c r="G396" s="3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ht="15.75" customHeight="1">
      <c r="A397" s="21"/>
      <c r="B397" s="22"/>
      <c r="C397" s="20"/>
      <c r="D397" s="20"/>
      <c r="E397" s="20"/>
      <c r="F397" s="20"/>
      <c r="G397" s="3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ht="15.75" customHeight="1">
      <c r="A398" s="21"/>
      <c r="B398" s="22"/>
      <c r="C398" s="20"/>
      <c r="D398" s="20"/>
      <c r="E398" s="20"/>
      <c r="F398" s="20"/>
      <c r="G398" s="3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ht="15.75" customHeight="1">
      <c r="A399" s="21"/>
      <c r="B399" s="22"/>
      <c r="C399" s="20"/>
      <c r="D399" s="20"/>
      <c r="E399" s="20"/>
      <c r="F399" s="20"/>
      <c r="G399" s="3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ht="15.75" customHeight="1">
      <c r="A400" s="21"/>
      <c r="B400" s="22"/>
      <c r="C400" s="20"/>
      <c r="D400" s="20"/>
      <c r="E400" s="20"/>
      <c r="F400" s="20"/>
      <c r="G400" s="3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ht="15.75" customHeight="1">
      <c r="A401" s="21"/>
      <c r="B401" s="22"/>
      <c r="C401" s="20"/>
      <c r="D401" s="20"/>
      <c r="E401" s="20"/>
      <c r="F401" s="20"/>
      <c r="G401" s="3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ht="15.75" customHeight="1">
      <c r="A402" s="21"/>
      <c r="B402" s="22"/>
      <c r="C402" s="20"/>
      <c r="D402" s="20"/>
      <c r="E402" s="20"/>
      <c r="F402" s="20"/>
      <c r="G402" s="3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ht="15.75" customHeight="1">
      <c r="A403" s="21"/>
      <c r="B403" s="22"/>
      <c r="C403" s="20"/>
      <c r="D403" s="20"/>
      <c r="E403" s="20"/>
      <c r="F403" s="20"/>
      <c r="G403" s="3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ht="15.75" customHeight="1">
      <c r="A404" s="21"/>
      <c r="B404" s="22"/>
      <c r="C404" s="20"/>
      <c r="D404" s="20"/>
      <c r="E404" s="20"/>
      <c r="F404" s="20"/>
      <c r="G404" s="3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ht="15.75" customHeight="1">
      <c r="A405" s="21"/>
      <c r="B405" s="22"/>
      <c r="C405" s="20"/>
      <c r="D405" s="20"/>
      <c r="E405" s="20"/>
      <c r="F405" s="20"/>
      <c r="G405" s="3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ht="15.75" customHeight="1">
      <c r="A406" s="21"/>
      <c r="B406" s="22"/>
      <c r="C406" s="20"/>
      <c r="D406" s="20"/>
      <c r="E406" s="20"/>
      <c r="F406" s="20"/>
      <c r="G406" s="3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ht="15.75" customHeight="1">
      <c r="A407" s="21"/>
      <c r="B407" s="22"/>
      <c r="C407" s="20"/>
      <c r="D407" s="20"/>
      <c r="E407" s="20"/>
      <c r="F407" s="20"/>
      <c r="G407" s="3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ht="15.75" customHeight="1">
      <c r="A408" s="21"/>
      <c r="B408" s="22"/>
      <c r="C408" s="20"/>
      <c r="D408" s="20"/>
      <c r="E408" s="20"/>
      <c r="F408" s="20"/>
      <c r="G408" s="3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ht="15.75" customHeight="1">
      <c r="A409" s="21"/>
      <c r="B409" s="22"/>
      <c r="C409" s="20"/>
      <c r="D409" s="20"/>
      <c r="E409" s="20"/>
      <c r="F409" s="20"/>
      <c r="G409" s="3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ht="15.75" customHeight="1">
      <c r="A410" s="21"/>
      <c r="B410" s="22"/>
      <c r="C410" s="20"/>
      <c r="D410" s="20"/>
      <c r="E410" s="20"/>
      <c r="F410" s="20"/>
      <c r="G410" s="3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ht="15.75" customHeight="1">
      <c r="A411" s="21"/>
      <c r="B411" s="22"/>
      <c r="C411" s="20"/>
      <c r="D411" s="20"/>
      <c r="E411" s="20"/>
      <c r="F411" s="20"/>
      <c r="G411" s="3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ht="15.75" customHeight="1">
      <c r="A412" s="21"/>
      <c r="B412" s="22"/>
      <c r="C412" s="20"/>
      <c r="D412" s="20"/>
      <c r="E412" s="20"/>
      <c r="F412" s="20"/>
      <c r="G412" s="3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ht="15.75" customHeight="1">
      <c r="A413" s="21"/>
      <c r="B413" s="22"/>
      <c r="C413" s="20"/>
      <c r="D413" s="20"/>
      <c r="E413" s="20"/>
      <c r="F413" s="20"/>
      <c r="G413" s="3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t="15.75" customHeight="1">
      <c r="A414" s="21"/>
      <c r="B414" s="22"/>
      <c r="C414" s="20"/>
      <c r="D414" s="20"/>
      <c r="E414" s="20"/>
      <c r="F414" s="20"/>
      <c r="G414" s="3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ht="15.75" customHeight="1">
      <c r="A415" s="21"/>
      <c r="B415" s="22"/>
      <c r="C415" s="20"/>
      <c r="D415" s="20"/>
      <c r="E415" s="20"/>
      <c r="F415" s="20"/>
      <c r="G415" s="3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ht="15.75" customHeight="1">
      <c r="A416" s="21"/>
      <c r="B416" s="22"/>
      <c r="C416" s="20"/>
      <c r="D416" s="20"/>
      <c r="E416" s="20"/>
      <c r="F416" s="20"/>
      <c r="G416" s="3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ht="15.75" customHeight="1">
      <c r="A417" s="21"/>
      <c r="B417" s="22"/>
      <c r="C417" s="20"/>
      <c r="D417" s="20"/>
      <c r="E417" s="20"/>
      <c r="F417" s="20"/>
      <c r="G417" s="3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ht="15.75" customHeight="1">
      <c r="A418" s="21"/>
      <c r="B418" s="22"/>
      <c r="C418" s="20"/>
      <c r="D418" s="20"/>
      <c r="E418" s="20"/>
      <c r="F418" s="20"/>
      <c r="G418" s="3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ht="15.75" customHeight="1">
      <c r="A419" s="21"/>
      <c r="B419" s="22"/>
      <c r="C419" s="20"/>
      <c r="D419" s="20"/>
      <c r="E419" s="20"/>
      <c r="F419" s="20"/>
      <c r="G419" s="3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ht="15.75" customHeight="1">
      <c r="A420" s="21"/>
      <c r="B420" s="22"/>
      <c r="C420" s="20"/>
      <c r="D420" s="20"/>
      <c r="E420" s="20"/>
      <c r="F420" s="20"/>
      <c r="G420" s="3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ht="15.75" customHeight="1">
      <c r="A421" s="21"/>
      <c r="B421" s="22"/>
      <c r="C421" s="20"/>
      <c r="D421" s="20"/>
      <c r="E421" s="20"/>
      <c r="F421" s="20"/>
      <c r="G421" s="3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ht="15.75" customHeight="1">
      <c r="A422" s="21"/>
      <c r="B422" s="22"/>
      <c r="C422" s="20"/>
      <c r="D422" s="20"/>
      <c r="E422" s="20"/>
      <c r="F422" s="20"/>
      <c r="G422" s="3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ht="15.75" customHeight="1">
      <c r="A423" s="21"/>
      <c r="B423" s="22"/>
      <c r="C423" s="20"/>
      <c r="D423" s="20"/>
      <c r="E423" s="20"/>
      <c r="F423" s="20"/>
      <c r="G423" s="3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ht="15.75" customHeight="1">
      <c r="A424" s="21"/>
      <c r="B424" s="22"/>
      <c r="C424" s="20"/>
      <c r="D424" s="20"/>
      <c r="E424" s="20"/>
      <c r="F424" s="20"/>
      <c r="G424" s="3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ht="15.75" customHeight="1">
      <c r="A425" s="21"/>
      <c r="B425" s="22"/>
      <c r="C425" s="20"/>
      <c r="D425" s="20"/>
      <c r="E425" s="20"/>
      <c r="F425" s="20"/>
      <c r="G425" s="3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ht="15.75" customHeight="1">
      <c r="A426" s="21"/>
      <c r="B426" s="22"/>
      <c r="C426" s="20"/>
      <c r="D426" s="20"/>
      <c r="E426" s="20"/>
      <c r="F426" s="20"/>
      <c r="G426" s="3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ht="15.75" customHeight="1">
      <c r="A427" s="21"/>
      <c r="B427" s="22"/>
      <c r="C427" s="20"/>
      <c r="D427" s="20"/>
      <c r="E427" s="20"/>
      <c r="F427" s="20"/>
      <c r="G427" s="3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ht="15.75" customHeight="1">
      <c r="A428" s="21"/>
      <c r="B428" s="22"/>
      <c r="C428" s="20"/>
      <c r="D428" s="20"/>
      <c r="E428" s="20"/>
      <c r="F428" s="20"/>
      <c r="G428" s="3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ht="15.75" customHeight="1">
      <c r="A429" s="21"/>
      <c r="B429" s="22"/>
      <c r="C429" s="20"/>
      <c r="D429" s="20"/>
      <c r="E429" s="20"/>
      <c r="F429" s="20"/>
      <c r="G429" s="3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ht="15.75" customHeight="1">
      <c r="A430" s="21"/>
      <c r="B430" s="22"/>
      <c r="C430" s="20"/>
      <c r="D430" s="20"/>
      <c r="E430" s="20"/>
      <c r="F430" s="20"/>
      <c r="G430" s="3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ht="15.75" customHeight="1">
      <c r="A431" s="21"/>
      <c r="B431" s="22"/>
      <c r="C431" s="20"/>
      <c r="D431" s="20"/>
      <c r="E431" s="20"/>
      <c r="F431" s="20"/>
      <c r="G431" s="3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ht="15.75" customHeight="1">
      <c r="A432" s="21"/>
      <c r="B432" s="22"/>
      <c r="C432" s="20"/>
      <c r="D432" s="20"/>
      <c r="E432" s="20"/>
      <c r="F432" s="20"/>
      <c r="G432" s="3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ht="15.75" customHeight="1">
      <c r="A433" s="21"/>
      <c r="B433" s="22"/>
      <c r="C433" s="20"/>
      <c r="D433" s="20"/>
      <c r="E433" s="20"/>
      <c r="F433" s="20"/>
      <c r="G433" s="3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ht="15.75" customHeight="1">
      <c r="A434" s="21"/>
      <c r="B434" s="22"/>
      <c r="C434" s="20"/>
      <c r="D434" s="20"/>
      <c r="E434" s="20"/>
      <c r="F434" s="20"/>
      <c r="G434" s="3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ht="15.75" customHeight="1">
      <c r="A435" s="21"/>
      <c r="B435" s="22"/>
      <c r="C435" s="20"/>
      <c r="D435" s="20"/>
      <c r="E435" s="20"/>
      <c r="F435" s="20"/>
      <c r="G435" s="3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ht="15.75" customHeight="1">
      <c r="A436" s="21"/>
      <c r="B436" s="22"/>
      <c r="C436" s="20"/>
      <c r="D436" s="20"/>
      <c r="E436" s="20"/>
      <c r="F436" s="20"/>
      <c r="G436" s="3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ht="15.75" customHeight="1">
      <c r="A437" s="21"/>
      <c r="B437" s="22"/>
      <c r="C437" s="20"/>
      <c r="D437" s="20"/>
      <c r="E437" s="20"/>
      <c r="F437" s="20"/>
      <c r="G437" s="3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ht="15.75" customHeight="1">
      <c r="A438" s="21"/>
      <c r="B438" s="22"/>
      <c r="C438" s="20"/>
      <c r="D438" s="20"/>
      <c r="E438" s="20"/>
      <c r="F438" s="20"/>
      <c r="G438" s="3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ht="15.75" customHeight="1">
      <c r="A439" s="21"/>
      <c r="B439" s="22"/>
      <c r="C439" s="20"/>
      <c r="D439" s="20"/>
      <c r="E439" s="20"/>
      <c r="F439" s="20"/>
      <c r="G439" s="3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ht="15.75" customHeight="1">
      <c r="A440" s="21"/>
      <c r="B440" s="22"/>
      <c r="C440" s="20"/>
      <c r="D440" s="20"/>
      <c r="E440" s="20"/>
      <c r="F440" s="20"/>
      <c r="G440" s="3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ht="15.75" customHeight="1">
      <c r="A441" s="21"/>
      <c r="B441" s="22"/>
      <c r="C441" s="20"/>
      <c r="D441" s="20"/>
      <c r="E441" s="20"/>
      <c r="F441" s="20"/>
      <c r="G441" s="3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ht="15.75" customHeight="1">
      <c r="A442" s="21"/>
      <c r="B442" s="22"/>
      <c r="C442" s="20"/>
      <c r="D442" s="20"/>
      <c r="E442" s="20"/>
      <c r="F442" s="20"/>
      <c r="G442" s="3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ht="15.75" customHeight="1">
      <c r="A443" s="21"/>
      <c r="B443" s="22"/>
      <c r="C443" s="20"/>
      <c r="D443" s="20"/>
      <c r="E443" s="20"/>
      <c r="F443" s="20"/>
      <c r="G443" s="3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ht="15.75" customHeight="1">
      <c r="A444" s="21"/>
      <c r="B444" s="22"/>
      <c r="C444" s="20"/>
      <c r="D444" s="20"/>
      <c r="E444" s="20"/>
      <c r="F444" s="20"/>
      <c r="G444" s="3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ht="15.75" customHeight="1">
      <c r="A445" s="21"/>
      <c r="B445" s="22"/>
      <c r="C445" s="20"/>
      <c r="D445" s="20"/>
      <c r="E445" s="20"/>
      <c r="F445" s="20"/>
      <c r="G445" s="3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ht="15.75" customHeight="1">
      <c r="A446" s="21"/>
      <c r="B446" s="22"/>
      <c r="C446" s="20"/>
      <c r="D446" s="20"/>
      <c r="E446" s="20"/>
      <c r="F446" s="20"/>
      <c r="G446" s="3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ht="15.75" customHeight="1">
      <c r="A447" s="21"/>
      <c r="B447" s="22"/>
      <c r="C447" s="20"/>
      <c r="D447" s="20"/>
      <c r="E447" s="20"/>
      <c r="F447" s="20"/>
      <c r="G447" s="3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ht="15.75" customHeight="1">
      <c r="A448" s="21"/>
      <c r="B448" s="22"/>
      <c r="C448" s="20"/>
      <c r="D448" s="20"/>
      <c r="E448" s="20"/>
      <c r="F448" s="20"/>
      <c r="G448" s="3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ht="15.75" customHeight="1">
      <c r="A449" s="21"/>
      <c r="B449" s="22"/>
      <c r="C449" s="20"/>
      <c r="D449" s="20"/>
      <c r="E449" s="20"/>
      <c r="F449" s="20"/>
      <c r="G449" s="3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t="15.75" customHeight="1">
      <c r="A450" s="21"/>
      <c r="B450" s="22"/>
      <c r="C450" s="20"/>
      <c r="D450" s="20"/>
      <c r="E450" s="20"/>
      <c r="F450" s="20"/>
      <c r="G450" s="3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ht="15.75" customHeight="1">
      <c r="A451" s="21"/>
      <c r="B451" s="22"/>
      <c r="C451" s="20"/>
      <c r="D451" s="20"/>
      <c r="E451" s="20"/>
      <c r="F451" s="20"/>
      <c r="G451" s="3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ht="15.75" customHeight="1">
      <c r="A452" s="21"/>
      <c r="B452" s="22"/>
      <c r="C452" s="20"/>
      <c r="D452" s="20"/>
      <c r="E452" s="20"/>
      <c r="F452" s="20"/>
      <c r="G452" s="3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ht="15.75" customHeight="1">
      <c r="A453" s="21"/>
      <c r="B453" s="22"/>
      <c r="C453" s="20"/>
      <c r="D453" s="20"/>
      <c r="E453" s="20"/>
      <c r="F453" s="20"/>
      <c r="G453" s="3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ht="15.75" customHeight="1">
      <c r="A454" s="21"/>
      <c r="B454" s="22"/>
      <c r="C454" s="20"/>
      <c r="D454" s="20"/>
      <c r="E454" s="20"/>
      <c r="F454" s="20"/>
      <c r="G454" s="3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ht="15.75" customHeight="1">
      <c r="A455" s="21"/>
      <c r="B455" s="22"/>
      <c r="C455" s="20"/>
      <c r="D455" s="20"/>
      <c r="E455" s="20"/>
      <c r="F455" s="20"/>
      <c r="G455" s="3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ht="15.75" customHeight="1">
      <c r="A456" s="21"/>
      <c r="B456" s="22"/>
      <c r="C456" s="20"/>
      <c r="D456" s="20"/>
      <c r="E456" s="20"/>
      <c r="F456" s="20"/>
      <c r="G456" s="3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ht="15.75" customHeight="1">
      <c r="A457" s="21"/>
      <c r="B457" s="22"/>
      <c r="C457" s="20"/>
      <c r="D457" s="20"/>
      <c r="E457" s="20"/>
      <c r="F457" s="20"/>
      <c r="G457" s="3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ht="15.75" customHeight="1">
      <c r="A458" s="21"/>
      <c r="B458" s="22"/>
      <c r="C458" s="20"/>
      <c r="D458" s="20"/>
      <c r="E458" s="20"/>
      <c r="F458" s="20"/>
      <c r="G458" s="3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ht="15.75" customHeight="1">
      <c r="A459" s="21"/>
      <c r="B459" s="22"/>
      <c r="C459" s="20"/>
      <c r="D459" s="20"/>
      <c r="E459" s="20"/>
      <c r="F459" s="20"/>
      <c r="G459" s="3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ht="15.75" customHeight="1">
      <c r="A460" s="21"/>
      <c r="B460" s="22"/>
      <c r="C460" s="20"/>
      <c r="D460" s="20"/>
      <c r="E460" s="20"/>
      <c r="F460" s="20"/>
      <c r="G460" s="3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t="15.75" customHeight="1">
      <c r="A461" s="21"/>
      <c r="B461" s="22"/>
      <c r="C461" s="20"/>
      <c r="D461" s="20"/>
      <c r="E461" s="20"/>
      <c r="F461" s="20"/>
      <c r="G461" s="3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ht="15.75" customHeight="1">
      <c r="A462" s="21"/>
      <c r="B462" s="22"/>
      <c r="C462" s="20"/>
      <c r="D462" s="20"/>
      <c r="E462" s="20"/>
      <c r="F462" s="20"/>
      <c r="G462" s="3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ht="15.75" customHeight="1">
      <c r="A463" s="21"/>
      <c r="B463" s="22"/>
      <c r="C463" s="20"/>
      <c r="D463" s="20"/>
      <c r="E463" s="20"/>
      <c r="F463" s="20"/>
      <c r="G463" s="3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ht="15.75" customHeight="1">
      <c r="A464" s="21"/>
      <c r="B464" s="22"/>
      <c r="C464" s="20"/>
      <c r="D464" s="20"/>
      <c r="E464" s="20"/>
      <c r="F464" s="20"/>
      <c r="G464" s="3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ht="15.75" customHeight="1">
      <c r="A465" s="21"/>
      <c r="B465" s="22"/>
      <c r="C465" s="20"/>
      <c r="D465" s="20"/>
      <c r="E465" s="20"/>
      <c r="F465" s="20"/>
      <c r="G465" s="3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ht="15.75" customHeight="1">
      <c r="A466" s="21"/>
      <c r="B466" s="22"/>
      <c r="C466" s="20"/>
      <c r="D466" s="20"/>
      <c r="E466" s="20"/>
      <c r="F466" s="20"/>
      <c r="G466" s="3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ht="15.75" customHeight="1">
      <c r="A467" s="21"/>
      <c r="B467" s="22"/>
      <c r="C467" s="20"/>
      <c r="D467" s="20"/>
      <c r="E467" s="20"/>
      <c r="F467" s="20"/>
      <c r="G467" s="3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t="15.75" customHeight="1">
      <c r="A468" s="21"/>
      <c r="B468" s="22"/>
      <c r="C468" s="20"/>
      <c r="D468" s="20"/>
      <c r="E468" s="20"/>
      <c r="F468" s="20"/>
      <c r="G468" s="3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ht="15.75" customHeight="1">
      <c r="A469" s="21"/>
      <c r="B469" s="22"/>
      <c r="C469" s="20"/>
      <c r="D469" s="20"/>
      <c r="E469" s="20"/>
      <c r="F469" s="20"/>
      <c r="G469" s="3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ht="15.75" customHeight="1">
      <c r="A470" s="21"/>
      <c r="B470" s="22"/>
      <c r="C470" s="20"/>
      <c r="D470" s="20"/>
      <c r="E470" s="20"/>
      <c r="F470" s="20"/>
      <c r="G470" s="3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ht="15.75" customHeight="1">
      <c r="A471" s="21"/>
      <c r="B471" s="22"/>
      <c r="C471" s="20"/>
      <c r="D471" s="20"/>
      <c r="E471" s="20"/>
      <c r="F471" s="20"/>
      <c r="G471" s="3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ht="15.75" customHeight="1">
      <c r="A472" s="21"/>
      <c r="B472" s="22"/>
      <c r="C472" s="20"/>
      <c r="D472" s="20"/>
      <c r="E472" s="20"/>
      <c r="F472" s="20"/>
      <c r="G472" s="3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ht="15.75" customHeight="1">
      <c r="A473" s="21"/>
      <c r="B473" s="22"/>
      <c r="C473" s="20"/>
      <c r="D473" s="20"/>
      <c r="E473" s="20"/>
      <c r="F473" s="20"/>
      <c r="G473" s="3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ht="15.75" customHeight="1">
      <c r="A474" s="21"/>
      <c r="B474" s="22"/>
      <c r="C474" s="20"/>
      <c r="D474" s="20"/>
      <c r="E474" s="20"/>
      <c r="F474" s="20"/>
      <c r="G474" s="3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ht="15.75" customHeight="1">
      <c r="A475" s="21"/>
      <c r="B475" s="22"/>
      <c r="C475" s="20"/>
      <c r="D475" s="20"/>
      <c r="E475" s="20"/>
      <c r="F475" s="20"/>
      <c r="G475" s="3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ht="15.75" customHeight="1">
      <c r="A476" s="21"/>
      <c r="B476" s="22"/>
      <c r="C476" s="20"/>
      <c r="D476" s="20"/>
      <c r="E476" s="20"/>
      <c r="F476" s="20"/>
      <c r="G476" s="3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ht="15.75" customHeight="1">
      <c r="A477" s="21"/>
      <c r="B477" s="22"/>
      <c r="C477" s="20"/>
      <c r="D477" s="20"/>
      <c r="E477" s="20"/>
      <c r="F477" s="20"/>
      <c r="G477" s="3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ht="15.75" customHeight="1">
      <c r="A478" s="21"/>
      <c r="B478" s="22"/>
      <c r="C478" s="20"/>
      <c r="D478" s="20"/>
      <c r="E478" s="20"/>
      <c r="F478" s="20"/>
      <c r="G478" s="3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ht="15.75" customHeight="1">
      <c r="A479" s="21"/>
      <c r="B479" s="22"/>
      <c r="C479" s="20"/>
      <c r="D479" s="20"/>
      <c r="E479" s="20"/>
      <c r="F479" s="20"/>
      <c r="G479" s="3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ht="15.75" customHeight="1">
      <c r="A480" s="21"/>
      <c r="B480" s="22"/>
      <c r="C480" s="20"/>
      <c r="D480" s="20"/>
      <c r="E480" s="20"/>
      <c r="F480" s="20"/>
      <c r="G480" s="3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ht="15.75" customHeight="1">
      <c r="A481" s="21"/>
      <c r="B481" s="22"/>
      <c r="C481" s="20"/>
      <c r="D481" s="20"/>
      <c r="E481" s="20"/>
      <c r="F481" s="20"/>
      <c r="G481" s="3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ht="15.75" customHeight="1">
      <c r="A482" s="21"/>
      <c r="B482" s="22"/>
      <c r="C482" s="20"/>
      <c r="D482" s="20"/>
      <c r="E482" s="20"/>
      <c r="F482" s="20"/>
      <c r="G482" s="3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ht="15.75" customHeight="1">
      <c r="A483" s="21"/>
      <c r="B483" s="22"/>
      <c r="C483" s="20"/>
      <c r="D483" s="20"/>
      <c r="E483" s="20"/>
      <c r="F483" s="20"/>
      <c r="G483" s="3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ht="15.75" customHeight="1">
      <c r="A484" s="21"/>
      <c r="B484" s="22"/>
      <c r="C484" s="20"/>
      <c r="D484" s="20"/>
      <c r="E484" s="20"/>
      <c r="F484" s="20"/>
      <c r="G484" s="3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ht="15.75" customHeight="1">
      <c r="A485" s="21"/>
      <c r="B485" s="22"/>
      <c r="C485" s="20"/>
      <c r="D485" s="20"/>
      <c r="E485" s="20"/>
      <c r="F485" s="20"/>
      <c r="G485" s="3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ht="15.75" customHeight="1">
      <c r="A486" s="21"/>
      <c r="B486" s="22"/>
      <c r="C486" s="20"/>
      <c r="D486" s="20"/>
      <c r="E486" s="20"/>
      <c r="F486" s="20"/>
      <c r="G486" s="3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ht="15.75" customHeight="1">
      <c r="A487" s="21"/>
      <c r="B487" s="22"/>
      <c r="C487" s="20"/>
      <c r="D487" s="20"/>
      <c r="E487" s="20"/>
      <c r="F487" s="20"/>
      <c r="G487" s="3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ht="15.75" customHeight="1">
      <c r="A488" s="21"/>
      <c r="B488" s="22"/>
      <c r="C488" s="20"/>
      <c r="D488" s="20"/>
      <c r="E488" s="20"/>
      <c r="F488" s="20"/>
      <c r="G488" s="3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ht="15.75" customHeight="1">
      <c r="A489" s="21"/>
      <c r="B489" s="22"/>
      <c r="C489" s="20"/>
      <c r="D489" s="20"/>
      <c r="E489" s="20"/>
      <c r="F489" s="20"/>
      <c r="G489" s="3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ht="15.75" customHeight="1">
      <c r="A490" s="21"/>
      <c r="B490" s="22"/>
      <c r="C490" s="20"/>
      <c r="D490" s="20"/>
      <c r="E490" s="20"/>
      <c r="F490" s="20"/>
      <c r="G490" s="3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ht="15.75" customHeight="1">
      <c r="A491" s="21"/>
      <c r="B491" s="22"/>
      <c r="C491" s="20"/>
      <c r="D491" s="20"/>
      <c r="E491" s="20"/>
      <c r="F491" s="20"/>
      <c r="G491" s="3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ht="15.75" customHeight="1">
      <c r="A492" s="21"/>
      <c r="B492" s="22"/>
      <c r="C492" s="20"/>
      <c r="D492" s="20"/>
      <c r="E492" s="20"/>
      <c r="F492" s="20"/>
      <c r="G492" s="3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ht="15.75" customHeight="1">
      <c r="A493" s="21"/>
      <c r="B493" s="22"/>
      <c r="C493" s="20"/>
      <c r="D493" s="20"/>
      <c r="E493" s="20"/>
      <c r="F493" s="20"/>
      <c r="G493" s="3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ht="15.75" customHeight="1">
      <c r="A494" s="21"/>
      <c r="B494" s="22"/>
      <c r="C494" s="20"/>
      <c r="D494" s="20"/>
      <c r="E494" s="20"/>
      <c r="F494" s="20"/>
      <c r="G494" s="3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ht="15.75" customHeight="1">
      <c r="A495" s="21"/>
      <c r="B495" s="22"/>
      <c r="C495" s="20"/>
      <c r="D495" s="20"/>
      <c r="E495" s="20"/>
      <c r="F495" s="20"/>
      <c r="G495" s="3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ht="15.75" customHeight="1">
      <c r="A496" s="21"/>
      <c r="B496" s="22"/>
      <c r="C496" s="20"/>
      <c r="D496" s="20"/>
      <c r="E496" s="20"/>
      <c r="F496" s="20"/>
      <c r="G496" s="3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ht="15.75" customHeight="1">
      <c r="A497" s="21"/>
      <c r="B497" s="22"/>
      <c r="C497" s="20"/>
      <c r="D497" s="20"/>
      <c r="E497" s="20"/>
      <c r="F497" s="20"/>
      <c r="G497" s="3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ht="15.75" customHeight="1">
      <c r="A498" s="21"/>
      <c r="B498" s="22"/>
      <c r="C498" s="20"/>
      <c r="D498" s="20"/>
      <c r="E498" s="20"/>
      <c r="F498" s="20"/>
      <c r="G498" s="3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ht="15.75" customHeight="1">
      <c r="A499" s="21"/>
      <c r="B499" s="22"/>
      <c r="C499" s="20"/>
      <c r="D499" s="20"/>
      <c r="E499" s="20"/>
      <c r="F499" s="20"/>
      <c r="G499" s="3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ht="15.75" customHeight="1">
      <c r="A500" s="21"/>
      <c r="B500" s="22"/>
      <c r="C500" s="20"/>
      <c r="D500" s="20"/>
      <c r="E500" s="20"/>
      <c r="F500" s="20"/>
      <c r="G500" s="3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ht="15.75" customHeight="1">
      <c r="A501" s="21"/>
      <c r="B501" s="22"/>
      <c r="C501" s="20"/>
      <c r="D501" s="20"/>
      <c r="E501" s="20"/>
      <c r="F501" s="20"/>
      <c r="G501" s="3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ht="15.75" customHeight="1">
      <c r="A502" s="21"/>
      <c r="B502" s="22"/>
      <c r="C502" s="20"/>
      <c r="D502" s="20"/>
      <c r="E502" s="20"/>
      <c r="F502" s="20"/>
      <c r="G502" s="3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ht="15.75" customHeight="1">
      <c r="A503" s="21"/>
      <c r="B503" s="22"/>
      <c r="C503" s="20"/>
      <c r="D503" s="20"/>
      <c r="E503" s="20"/>
      <c r="F503" s="20"/>
      <c r="G503" s="3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ht="15.75" customHeight="1">
      <c r="A504" s="21"/>
      <c r="B504" s="22"/>
      <c r="C504" s="20"/>
      <c r="D504" s="20"/>
      <c r="E504" s="20"/>
      <c r="F504" s="20"/>
      <c r="G504" s="3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ht="15.75" customHeight="1">
      <c r="A505" s="21"/>
      <c r="B505" s="22"/>
      <c r="C505" s="20"/>
      <c r="D505" s="20"/>
      <c r="E505" s="20"/>
      <c r="F505" s="20"/>
      <c r="G505" s="3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ht="15.75" customHeight="1">
      <c r="A506" s="21"/>
      <c r="B506" s="22"/>
      <c r="C506" s="20"/>
      <c r="D506" s="20"/>
      <c r="E506" s="20"/>
      <c r="F506" s="20"/>
      <c r="G506" s="3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ht="15.75" customHeight="1">
      <c r="A507" s="21"/>
      <c r="B507" s="22"/>
      <c r="C507" s="20"/>
      <c r="D507" s="20"/>
      <c r="E507" s="20"/>
      <c r="F507" s="20"/>
      <c r="G507" s="3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ht="15.75" customHeight="1">
      <c r="A508" s="21"/>
      <c r="B508" s="22"/>
      <c r="C508" s="20"/>
      <c r="D508" s="20"/>
      <c r="E508" s="20"/>
      <c r="F508" s="20"/>
      <c r="G508" s="3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ht="15.75" customHeight="1">
      <c r="A509" s="21"/>
      <c r="B509" s="22"/>
      <c r="C509" s="20"/>
      <c r="D509" s="20"/>
      <c r="E509" s="20"/>
      <c r="F509" s="20"/>
      <c r="G509" s="3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ht="15.75" customHeight="1">
      <c r="A510" s="21"/>
      <c r="B510" s="22"/>
      <c r="C510" s="20"/>
      <c r="D510" s="20"/>
      <c r="E510" s="20"/>
      <c r="F510" s="20"/>
      <c r="G510" s="3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ht="15.75" customHeight="1">
      <c r="A511" s="21"/>
      <c r="B511" s="22"/>
      <c r="C511" s="20"/>
      <c r="D511" s="20"/>
      <c r="E511" s="20"/>
      <c r="F511" s="20"/>
      <c r="G511" s="3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ht="15.75" customHeight="1">
      <c r="A512" s="21"/>
      <c r="B512" s="22"/>
      <c r="C512" s="20"/>
      <c r="D512" s="20"/>
      <c r="E512" s="20"/>
      <c r="F512" s="20"/>
      <c r="G512" s="3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ht="15.75" customHeight="1">
      <c r="A513" s="21"/>
      <c r="B513" s="22"/>
      <c r="C513" s="20"/>
      <c r="D513" s="20"/>
      <c r="E513" s="20"/>
      <c r="F513" s="20"/>
      <c r="G513" s="3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ht="15.75" customHeight="1">
      <c r="A514" s="21"/>
      <c r="B514" s="22"/>
      <c r="C514" s="20"/>
      <c r="D514" s="20"/>
      <c r="E514" s="20"/>
      <c r="F514" s="20"/>
      <c r="G514" s="3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ht="15.75" customHeight="1">
      <c r="A515" s="21"/>
      <c r="B515" s="22"/>
      <c r="C515" s="20"/>
      <c r="D515" s="20"/>
      <c r="E515" s="20"/>
      <c r="F515" s="20"/>
      <c r="G515" s="3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ht="15.75" customHeight="1">
      <c r="A516" s="21"/>
      <c r="B516" s="22"/>
      <c r="C516" s="20"/>
      <c r="D516" s="20"/>
      <c r="E516" s="20"/>
      <c r="F516" s="20"/>
      <c r="G516" s="3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ht="15.75" customHeight="1">
      <c r="A517" s="21"/>
      <c r="B517" s="22"/>
      <c r="C517" s="20"/>
      <c r="D517" s="20"/>
      <c r="E517" s="20"/>
      <c r="F517" s="20"/>
      <c r="G517" s="3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ht="15.75" customHeight="1">
      <c r="A518" s="21"/>
      <c r="B518" s="22"/>
      <c r="C518" s="20"/>
      <c r="D518" s="20"/>
      <c r="E518" s="20"/>
      <c r="F518" s="20"/>
      <c r="G518" s="3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ht="15.75" customHeight="1">
      <c r="A519" s="21"/>
      <c r="B519" s="22"/>
      <c r="C519" s="20"/>
      <c r="D519" s="20"/>
      <c r="E519" s="20"/>
      <c r="F519" s="20"/>
      <c r="G519" s="3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ht="15.75" customHeight="1">
      <c r="A520" s="21"/>
      <c r="B520" s="22"/>
      <c r="C520" s="20"/>
      <c r="D520" s="20"/>
      <c r="E520" s="20"/>
      <c r="F520" s="20"/>
      <c r="G520" s="3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ht="15.75" customHeight="1">
      <c r="A521" s="21"/>
      <c r="B521" s="22"/>
      <c r="C521" s="20"/>
      <c r="D521" s="20"/>
      <c r="E521" s="20"/>
      <c r="F521" s="20"/>
      <c r="G521" s="3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ht="15.75" customHeight="1">
      <c r="A522" s="21"/>
      <c r="B522" s="22"/>
      <c r="C522" s="20"/>
      <c r="D522" s="20"/>
      <c r="E522" s="20"/>
      <c r="F522" s="20"/>
      <c r="G522" s="3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ht="15.75" customHeight="1">
      <c r="A523" s="21"/>
      <c r="B523" s="22"/>
      <c r="C523" s="20"/>
      <c r="D523" s="20"/>
      <c r="E523" s="20"/>
      <c r="F523" s="20"/>
      <c r="G523" s="3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ht="15.75" customHeight="1">
      <c r="A524" s="21"/>
      <c r="B524" s="22"/>
      <c r="C524" s="20"/>
      <c r="D524" s="20"/>
      <c r="E524" s="20"/>
      <c r="F524" s="20"/>
      <c r="G524" s="3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ht="15.75" customHeight="1">
      <c r="A525" s="21"/>
      <c r="B525" s="22"/>
      <c r="C525" s="20"/>
      <c r="D525" s="20"/>
      <c r="E525" s="20"/>
      <c r="F525" s="20"/>
      <c r="G525" s="3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ht="15.75" customHeight="1">
      <c r="A526" s="21"/>
      <c r="B526" s="22"/>
      <c r="C526" s="20"/>
      <c r="D526" s="20"/>
      <c r="E526" s="20"/>
      <c r="F526" s="20"/>
      <c r="G526" s="3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ht="15.75" customHeight="1">
      <c r="A527" s="21"/>
      <c r="B527" s="22"/>
      <c r="C527" s="20"/>
      <c r="D527" s="20"/>
      <c r="E527" s="20"/>
      <c r="F527" s="20"/>
      <c r="G527" s="3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ht="15.75" customHeight="1">
      <c r="A528" s="21"/>
      <c r="B528" s="22"/>
      <c r="C528" s="20"/>
      <c r="D528" s="20"/>
      <c r="E528" s="20"/>
      <c r="F528" s="20"/>
      <c r="G528" s="3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ht="15.75" customHeight="1">
      <c r="A529" s="21"/>
      <c r="B529" s="22"/>
      <c r="C529" s="20"/>
      <c r="D529" s="20"/>
      <c r="E529" s="20"/>
      <c r="F529" s="20"/>
      <c r="G529" s="3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ht="15.75" customHeight="1">
      <c r="A530" s="21"/>
      <c r="B530" s="22"/>
      <c r="C530" s="20"/>
      <c r="D530" s="20"/>
      <c r="E530" s="20"/>
      <c r="F530" s="20"/>
      <c r="G530" s="3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ht="15.75" customHeight="1">
      <c r="A531" s="21"/>
      <c r="B531" s="22"/>
      <c r="C531" s="20"/>
      <c r="D531" s="20"/>
      <c r="E531" s="20"/>
      <c r="F531" s="20"/>
      <c r="G531" s="3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ht="15.75" customHeight="1">
      <c r="A532" s="21"/>
      <c r="B532" s="22"/>
      <c r="C532" s="20"/>
      <c r="D532" s="20"/>
      <c r="E532" s="20"/>
      <c r="F532" s="20"/>
      <c r="G532" s="3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ht="15.75" customHeight="1">
      <c r="A533" s="21"/>
      <c r="B533" s="22"/>
      <c r="C533" s="20"/>
      <c r="D533" s="20"/>
      <c r="E533" s="20"/>
      <c r="F533" s="20"/>
      <c r="G533" s="3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ht="15.75" customHeight="1">
      <c r="A534" s="21"/>
      <c r="B534" s="22"/>
      <c r="C534" s="20"/>
      <c r="D534" s="20"/>
      <c r="E534" s="20"/>
      <c r="F534" s="20"/>
      <c r="G534" s="3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ht="15.75" customHeight="1">
      <c r="A535" s="21"/>
      <c r="B535" s="22"/>
      <c r="C535" s="20"/>
      <c r="D535" s="20"/>
      <c r="E535" s="20"/>
      <c r="F535" s="20"/>
      <c r="G535" s="3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ht="15.75" customHeight="1">
      <c r="A536" s="21"/>
      <c r="B536" s="22"/>
      <c r="C536" s="20"/>
      <c r="D536" s="20"/>
      <c r="E536" s="20"/>
      <c r="F536" s="20"/>
      <c r="G536" s="3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ht="15.75" customHeight="1">
      <c r="A537" s="21"/>
      <c r="B537" s="22"/>
      <c r="C537" s="20"/>
      <c r="D537" s="20"/>
      <c r="E537" s="20"/>
      <c r="F537" s="20"/>
      <c r="G537" s="3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ht="15.75" customHeight="1">
      <c r="A538" s="21"/>
      <c r="B538" s="22"/>
      <c r="C538" s="20"/>
      <c r="D538" s="20"/>
      <c r="E538" s="20"/>
      <c r="F538" s="20"/>
      <c r="G538" s="3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ht="15.75" customHeight="1">
      <c r="A539" s="21"/>
      <c r="B539" s="22"/>
      <c r="C539" s="20"/>
      <c r="D539" s="20"/>
      <c r="E539" s="20"/>
      <c r="F539" s="20"/>
      <c r="G539" s="3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ht="15.75" customHeight="1">
      <c r="A540" s="21"/>
      <c r="B540" s="22"/>
      <c r="C540" s="20"/>
      <c r="D540" s="20"/>
      <c r="E540" s="20"/>
      <c r="F540" s="20"/>
      <c r="G540" s="3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ht="15.75" customHeight="1">
      <c r="A541" s="21"/>
      <c r="B541" s="22"/>
      <c r="C541" s="20"/>
      <c r="D541" s="20"/>
      <c r="E541" s="20"/>
      <c r="F541" s="20"/>
      <c r="G541" s="3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ht="15.75" customHeight="1">
      <c r="A542" s="21"/>
      <c r="B542" s="22"/>
      <c r="C542" s="20"/>
      <c r="D542" s="20"/>
      <c r="E542" s="20"/>
      <c r="F542" s="20"/>
      <c r="G542" s="3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ht="15.75" customHeight="1">
      <c r="A543" s="21"/>
      <c r="B543" s="22"/>
      <c r="C543" s="20"/>
      <c r="D543" s="20"/>
      <c r="E543" s="20"/>
      <c r="F543" s="20"/>
      <c r="G543" s="3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ht="15.75" customHeight="1">
      <c r="A544" s="21"/>
      <c r="B544" s="22"/>
      <c r="C544" s="20"/>
      <c r="D544" s="20"/>
      <c r="E544" s="20"/>
      <c r="F544" s="20"/>
      <c r="G544" s="3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ht="15.75" customHeight="1">
      <c r="A545" s="21"/>
      <c r="B545" s="22"/>
      <c r="C545" s="20"/>
      <c r="D545" s="20"/>
      <c r="E545" s="20"/>
      <c r="F545" s="20"/>
      <c r="G545" s="3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ht="15.75" customHeight="1">
      <c r="A546" s="21"/>
      <c r="B546" s="22"/>
      <c r="C546" s="20"/>
      <c r="D546" s="20"/>
      <c r="E546" s="20"/>
      <c r="F546" s="20"/>
      <c r="G546" s="3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ht="15.75" customHeight="1">
      <c r="A547" s="21"/>
      <c r="B547" s="22"/>
      <c r="C547" s="20"/>
      <c r="D547" s="20"/>
      <c r="E547" s="20"/>
      <c r="F547" s="20"/>
      <c r="G547" s="3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ht="15.75" customHeight="1">
      <c r="A548" s="21"/>
      <c r="B548" s="22"/>
      <c r="C548" s="20"/>
      <c r="D548" s="20"/>
      <c r="E548" s="20"/>
      <c r="F548" s="20"/>
      <c r="G548" s="3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ht="15.75" customHeight="1">
      <c r="A549" s="21"/>
      <c r="B549" s="22"/>
      <c r="C549" s="20"/>
      <c r="D549" s="20"/>
      <c r="E549" s="20"/>
      <c r="F549" s="20"/>
      <c r="G549" s="3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ht="15.75" customHeight="1">
      <c r="A550" s="21"/>
      <c r="B550" s="22"/>
      <c r="C550" s="20"/>
      <c r="D550" s="20"/>
      <c r="E550" s="20"/>
      <c r="F550" s="20"/>
      <c r="G550" s="3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ht="15.75" customHeight="1">
      <c r="A551" s="21"/>
      <c r="B551" s="22"/>
      <c r="C551" s="20"/>
      <c r="D551" s="20"/>
      <c r="E551" s="20"/>
      <c r="F551" s="20"/>
      <c r="G551" s="3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ht="15.75" customHeight="1">
      <c r="A552" s="21"/>
      <c r="B552" s="22"/>
      <c r="C552" s="20"/>
      <c r="D552" s="20"/>
      <c r="E552" s="20"/>
      <c r="F552" s="20"/>
      <c r="G552" s="3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ht="15.75" customHeight="1">
      <c r="A553" s="21"/>
      <c r="B553" s="22"/>
      <c r="C553" s="20"/>
      <c r="D553" s="20"/>
      <c r="E553" s="20"/>
      <c r="F553" s="20"/>
      <c r="G553" s="3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ht="15.75" customHeight="1">
      <c r="A554" s="21"/>
      <c r="B554" s="22"/>
      <c r="C554" s="20"/>
      <c r="D554" s="20"/>
      <c r="E554" s="20"/>
      <c r="F554" s="20"/>
      <c r="G554" s="3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ht="15.75" customHeight="1">
      <c r="A555" s="21"/>
      <c r="B555" s="22"/>
      <c r="C555" s="20"/>
      <c r="D555" s="20"/>
      <c r="E555" s="20"/>
      <c r="F555" s="20"/>
      <c r="G555" s="3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ht="15.75" customHeight="1">
      <c r="A556" s="21"/>
      <c r="B556" s="22"/>
      <c r="C556" s="20"/>
      <c r="D556" s="20"/>
      <c r="E556" s="20"/>
      <c r="F556" s="20"/>
      <c r="G556" s="3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ht="15.75" customHeight="1">
      <c r="A557" s="21"/>
      <c r="B557" s="22"/>
      <c r="C557" s="20"/>
      <c r="D557" s="20"/>
      <c r="E557" s="20"/>
      <c r="F557" s="20"/>
      <c r="G557" s="3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ht="15.75" customHeight="1">
      <c r="A558" s="21"/>
      <c r="B558" s="22"/>
      <c r="C558" s="20"/>
      <c r="D558" s="20"/>
      <c r="E558" s="20"/>
      <c r="F558" s="20"/>
      <c r="G558" s="3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ht="15.75" customHeight="1">
      <c r="A559" s="21"/>
      <c r="B559" s="22"/>
      <c r="C559" s="20"/>
      <c r="D559" s="20"/>
      <c r="E559" s="20"/>
      <c r="F559" s="20"/>
      <c r="G559" s="3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ht="15.75" customHeight="1">
      <c r="A560" s="21"/>
      <c r="B560" s="22"/>
      <c r="C560" s="20"/>
      <c r="D560" s="20"/>
      <c r="E560" s="20"/>
      <c r="F560" s="20"/>
      <c r="G560" s="3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ht="15.75" customHeight="1">
      <c r="A561" s="21"/>
      <c r="B561" s="22"/>
      <c r="C561" s="20"/>
      <c r="D561" s="20"/>
      <c r="E561" s="20"/>
      <c r="F561" s="20"/>
      <c r="G561" s="3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ht="15.75" customHeight="1">
      <c r="A562" s="21"/>
      <c r="B562" s="22"/>
      <c r="C562" s="20"/>
      <c r="D562" s="20"/>
      <c r="E562" s="20"/>
      <c r="F562" s="20"/>
      <c r="G562" s="3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ht="15.75" customHeight="1">
      <c r="A563" s="21"/>
      <c r="B563" s="22"/>
      <c r="C563" s="20"/>
      <c r="D563" s="20"/>
      <c r="E563" s="20"/>
      <c r="F563" s="20"/>
      <c r="G563" s="3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ht="15.75" customHeight="1">
      <c r="A564" s="21"/>
      <c r="B564" s="22"/>
      <c r="C564" s="20"/>
      <c r="D564" s="20"/>
      <c r="E564" s="20"/>
      <c r="F564" s="20"/>
      <c r="G564" s="3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ht="15.75" customHeight="1">
      <c r="A565" s="21"/>
      <c r="B565" s="22"/>
      <c r="C565" s="20"/>
      <c r="D565" s="20"/>
      <c r="E565" s="20"/>
      <c r="F565" s="20"/>
      <c r="G565" s="3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ht="15.75" customHeight="1">
      <c r="A566" s="21"/>
      <c r="B566" s="22"/>
      <c r="C566" s="20"/>
      <c r="D566" s="20"/>
      <c r="E566" s="20"/>
      <c r="F566" s="20"/>
      <c r="G566" s="3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ht="15.75" customHeight="1">
      <c r="A567" s="21"/>
      <c r="B567" s="22"/>
      <c r="C567" s="20"/>
      <c r="D567" s="20"/>
      <c r="E567" s="20"/>
      <c r="F567" s="20"/>
      <c r="G567" s="3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ht="15.75" customHeight="1">
      <c r="A568" s="21"/>
      <c r="B568" s="22"/>
      <c r="C568" s="20"/>
      <c r="D568" s="20"/>
      <c r="E568" s="20"/>
      <c r="F568" s="20"/>
      <c r="G568" s="3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ht="15.75" customHeight="1">
      <c r="A569" s="21"/>
      <c r="B569" s="22"/>
      <c r="C569" s="20"/>
      <c r="D569" s="20"/>
      <c r="E569" s="20"/>
      <c r="F569" s="20"/>
      <c r="G569" s="3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ht="15.75" customHeight="1">
      <c r="A570" s="21"/>
      <c r="B570" s="22"/>
      <c r="C570" s="20"/>
      <c r="D570" s="20"/>
      <c r="E570" s="20"/>
      <c r="F570" s="20"/>
      <c r="G570" s="3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ht="15.75" customHeight="1">
      <c r="A571" s="21"/>
      <c r="B571" s="22"/>
      <c r="C571" s="20"/>
      <c r="D571" s="20"/>
      <c r="E571" s="20"/>
      <c r="F571" s="20"/>
      <c r="G571" s="3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ht="15.75" customHeight="1">
      <c r="A572" s="21"/>
      <c r="B572" s="22"/>
      <c r="C572" s="20"/>
      <c r="D572" s="20"/>
      <c r="E572" s="20"/>
      <c r="F572" s="20"/>
      <c r="G572" s="3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ht="15.75" customHeight="1">
      <c r="A573" s="21"/>
      <c r="B573" s="22"/>
      <c r="C573" s="20"/>
      <c r="D573" s="20"/>
      <c r="E573" s="20"/>
      <c r="F573" s="20"/>
      <c r="G573" s="3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ht="15.75" customHeight="1">
      <c r="A574" s="21"/>
      <c r="B574" s="22"/>
      <c r="C574" s="20"/>
      <c r="D574" s="20"/>
      <c r="E574" s="20"/>
      <c r="F574" s="20"/>
      <c r="G574" s="3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ht="15.75" customHeight="1">
      <c r="A575" s="21"/>
      <c r="B575" s="22"/>
      <c r="C575" s="20"/>
      <c r="D575" s="20"/>
      <c r="E575" s="20"/>
      <c r="F575" s="20"/>
      <c r="G575" s="3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ht="15.75" customHeight="1">
      <c r="A576" s="21"/>
      <c r="B576" s="22"/>
      <c r="C576" s="20"/>
      <c r="D576" s="20"/>
      <c r="E576" s="20"/>
      <c r="F576" s="20"/>
      <c r="G576" s="3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ht="15.75" customHeight="1">
      <c r="A577" s="21"/>
      <c r="B577" s="22"/>
      <c r="C577" s="20"/>
      <c r="D577" s="20"/>
      <c r="E577" s="20"/>
      <c r="F577" s="20"/>
      <c r="G577" s="3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ht="15.75" customHeight="1">
      <c r="A578" s="21"/>
      <c r="B578" s="22"/>
      <c r="C578" s="20"/>
      <c r="D578" s="20"/>
      <c r="E578" s="20"/>
      <c r="F578" s="20"/>
      <c r="G578" s="3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ht="15.75" customHeight="1">
      <c r="A579" s="21"/>
      <c r="B579" s="22"/>
      <c r="C579" s="20"/>
      <c r="D579" s="20"/>
      <c r="E579" s="20"/>
      <c r="F579" s="20"/>
      <c r="G579" s="3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ht="15.75" customHeight="1">
      <c r="A580" s="21"/>
      <c r="B580" s="22"/>
      <c r="C580" s="20"/>
      <c r="D580" s="20"/>
      <c r="E580" s="20"/>
      <c r="F580" s="20"/>
      <c r="G580" s="3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ht="15.75" customHeight="1">
      <c r="A581" s="21"/>
      <c r="B581" s="22"/>
      <c r="C581" s="20"/>
      <c r="D581" s="20"/>
      <c r="E581" s="20"/>
      <c r="F581" s="20"/>
      <c r="G581" s="3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ht="15.75" customHeight="1">
      <c r="A582" s="21"/>
      <c r="B582" s="22"/>
      <c r="C582" s="20"/>
      <c r="D582" s="20"/>
      <c r="E582" s="20"/>
      <c r="F582" s="20"/>
      <c r="G582" s="3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ht="15.75" customHeight="1">
      <c r="A583" s="21"/>
      <c r="B583" s="22"/>
      <c r="C583" s="20"/>
      <c r="D583" s="20"/>
      <c r="E583" s="20"/>
      <c r="F583" s="20"/>
      <c r="G583" s="3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ht="15.75" customHeight="1">
      <c r="A584" s="21"/>
      <c r="B584" s="22"/>
      <c r="C584" s="20"/>
      <c r="D584" s="20"/>
      <c r="E584" s="20"/>
      <c r="F584" s="20"/>
      <c r="G584" s="3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ht="15.75" customHeight="1">
      <c r="A585" s="21"/>
      <c r="B585" s="22"/>
      <c r="C585" s="20"/>
      <c r="D585" s="20"/>
      <c r="E585" s="20"/>
      <c r="F585" s="20"/>
      <c r="G585" s="3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ht="15.75" customHeight="1">
      <c r="A586" s="21"/>
      <c r="B586" s="22"/>
      <c r="C586" s="20"/>
      <c r="D586" s="20"/>
      <c r="E586" s="20"/>
      <c r="F586" s="20"/>
      <c r="G586" s="3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ht="15.75" customHeight="1">
      <c r="A587" s="21"/>
      <c r="B587" s="22"/>
      <c r="C587" s="20"/>
      <c r="D587" s="20"/>
      <c r="E587" s="20"/>
      <c r="F587" s="20"/>
      <c r="G587" s="3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ht="15.75" customHeight="1">
      <c r="A588" s="21"/>
      <c r="B588" s="22"/>
      <c r="C588" s="20"/>
      <c r="D588" s="20"/>
      <c r="E588" s="20"/>
      <c r="F588" s="20"/>
      <c r="G588" s="3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ht="15.75" customHeight="1">
      <c r="A589" s="21"/>
      <c r="B589" s="22"/>
      <c r="C589" s="20"/>
      <c r="D589" s="20"/>
      <c r="E589" s="20"/>
      <c r="F589" s="20"/>
      <c r="G589" s="3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ht="15.75" customHeight="1">
      <c r="A590" s="21"/>
      <c r="B590" s="22"/>
      <c r="C590" s="20"/>
      <c r="D590" s="20"/>
      <c r="E590" s="20"/>
      <c r="F590" s="20"/>
      <c r="G590" s="3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ht="15.75" customHeight="1">
      <c r="A591" s="21"/>
      <c r="B591" s="22"/>
      <c r="C591" s="20"/>
      <c r="D591" s="20"/>
      <c r="E591" s="20"/>
      <c r="F591" s="20"/>
      <c r="G591" s="3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ht="15.75" customHeight="1">
      <c r="A592" s="21"/>
      <c r="B592" s="22"/>
      <c r="C592" s="20"/>
      <c r="D592" s="20"/>
      <c r="E592" s="20"/>
      <c r="F592" s="20"/>
      <c r="G592" s="3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ht="15.75" customHeight="1">
      <c r="A593" s="21"/>
      <c r="B593" s="22"/>
      <c r="C593" s="20"/>
      <c r="D593" s="20"/>
      <c r="E593" s="20"/>
      <c r="F593" s="20"/>
      <c r="G593" s="3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15.75" customHeight="1">
      <c r="A594" s="21"/>
      <c r="B594" s="22"/>
      <c r="C594" s="20"/>
      <c r="D594" s="20"/>
      <c r="E594" s="20"/>
      <c r="F594" s="20"/>
      <c r="G594" s="3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ht="15.75" customHeight="1">
      <c r="A595" s="21"/>
      <c r="B595" s="22"/>
      <c r="C595" s="20"/>
      <c r="D595" s="20"/>
      <c r="E595" s="20"/>
      <c r="F595" s="20"/>
      <c r="G595" s="3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15.75" customHeight="1">
      <c r="A596" s="21"/>
      <c r="B596" s="22"/>
      <c r="C596" s="20"/>
      <c r="D596" s="20"/>
      <c r="E596" s="20"/>
      <c r="F596" s="20"/>
      <c r="G596" s="3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15.75" customHeight="1">
      <c r="A597" s="21"/>
      <c r="B597" s="22"/>
      <c r="C597" s="20"/>
      <c r="D597" s="20"/>
      <c r="E597" s="20"/>
      <c r="F597" s="20"/>
      <c r="G597" s="3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15.75" customHeight="1">
      <c r="A598" s="21"/>
      <c r="B598" s="22"/>
      <c r="C598" s="20"/>
      <c r="D598" s="20"/>
      <c r="E598" s="20"/>
      <c r="F598" s="20"/>
      <c r="G598" s="3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ht="15.75" customHeight="1">
      <c r="A599" s="21"/>
      <c r="B599" s="22"/>
      <c r="C599" s="20"/>
      <c r="D599" s="20"/>
      <c r="E599" s="20"/>
      <c r="F599" s="20"/>
      <c r="G599" s="3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ht="15.75" customHeight="1">
      <c r="A600" s="21"/>
      <c r="B600" s="22"/>
      <c r="C600" s="20"/>
      <c r="D600" s="20"/>
      <c r="E600" s="20"/>
      <c r="F600" s="20"/>
      <c r="G600" s="3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ht="15.75" customHeight="1">
      <c r="A601" s="21"/>
      <c r="B601" s="22"/>
      <c r="C601" s="20"/>
      <c r="D601" s="20"/>
      <c r="E601" s="20"/>
      <c r="F601" s="20"/>
      <c r="G601" s="3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ht="15.75" customHeight="1">
      <c r="A602" s="21"/>
      <c r="B602" s="22"/>
      <c r="C602" s="20"/>
      <c r="D602" s="20"/>
      <c r="E602" s="20"/>
      <c r="F602" s="20"/>
      <c r="G602" s="3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ht="15.75" customHeight="1">
      <c r="A603" s="21"/>
      <c r="B603" s="22"/>
      <c r="C603" s="20"/>
      <c r="D603" s="20"/>
      <c r="E603" s="20"/>
      <c r="F603" s="20"/>
      <c r="G603" s="3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ht="15.75" customHeight="1">
      <c r="A604" s="21"/>
      <c r="B604" s="22"/>
      <c r="C604" s="20"/>
      <c r="D604" s="20"/>
      <c r="E604" s="20"/>
      <c r="F604" s="20"/>
      <c r="G604" s="3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ht="15.75" customHeight="1">
      <c r="A605" s="21"/>
      <c r="B605" s="22"/>
      <c r="C605" s="20"/>
      <c r="D605" s="20"/>
      <c r="E605" s="20"/>
      <c r="F605" s="20"/>
      <c r="G605" s="3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ht="15.75" customHeight="1">
      <c r="A606" s="21"/>
      <c r="B606" s="22"/>
      <c r="C606" s="20"/>
      <c r="D606" s="20"/>
      <c r="E606" s="20"/>
      <c r="F606" s="20"/>
      <c r="G606" s="3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ht="15.75" customHeight="1">
      <c r="A607" s="21"/>
      <c r="B607" s="22"/>
      <c r="C607" s="20"/>
      <c r="D607" s="20"/>
      <c r="E607" s="20"/>
      <c r="F607" s="20"/>
      <c r="G607" s="3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ht="15.75" customHeight="1">
      <c r="A608" s="21"/>
      <c r="B608" s="22"/>
      <c r="C608" s="20"/>
      <c r="D608" s="20"/>
      <c r="E608" s="20"/>
      <c r="F608" s="20"/>
      <c r="G608" s="3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ht="15.75" customHeight="1">
      <c r="A609" s="21"/>
      <c r="B609" s="22"/>
      <c r="C609" s="20"/>
      <c r="D609" s="20"/>
      <c r="E609" s="20"/>
      <c r="F609" s="20"/>
      <c r="G609" s="3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ht="15.75" customHeight="1">
      <c r="A610" s="21"/>
      <c r="B610" s="22"/>
      <c r="C610" s="20"/>
      <c r="D610" s="20"/>
      <c r="E610" s="20"/>
      <c r="F610" s="20"/>
      <c r="G610" s="3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ht="15.75" customHeight="1">
      <c r="A611" s="21"/>
      <c r="B611" s="22"/>
      <c r="C611" s="20"/>
      <c r="D611" s="20"/>
      <c r="E611" s="20"/>
      <c r="F611" s="20"/>
      <c r="G611" s="3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ht="15.75" customHeight="1">
      <c r="A612" s="21"/>
      <c r="B612" s="22"/>
      <c r="C612" s="20"/>
      <c r="D612" s="20"/>
      <c r="E612" s="20"/>
      <c r="F612" s="20"/>
      <c r="G612" s="3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ht="15.75" customHeight="1">
      <c r="A613" s="21"/>
      <c r="B613" s="22"/>
      <c r="C613" s="20"/>
      <c r="D613" s="20"/>
      <c r="E613" s="20"/>
      <c r="F613" s="20"/>
      <c r="G613" s="3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ht="15.75" customHeight="1">
      <c r="A614" s="21"/>
      <c r="B614" s="22"/>
      <c r="C614" s="20"/>
      <c r="D614" s="20"/>
      <c r="E614" s="20"/>
      <c r="F614" s="20"/>
      <c r="G614" s="3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ht="15.75" customHeight="1">
      <c r="A615" s="21"/>
      <c r="B615" s="22"/>
      <c r="C615" s="20"/>
      <c r="D615" s="20"/>
      <c r="E615" s="20"/>
      <c r="F615" s="20"/>
      <c r="G615" s="3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ht="15.75" customHeight="1">
      <c r="A616" s="21"/>
      <c r="B616" s="22"/>
      <c r="C616" s="20"/>
      <c r="D616" s="20"/>
      <c r="E616" s="20"/>
      <c r="F616" s="20"/>
      <c r="G616" s="3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ht="15.75" customHeight="1">
      <c r="A617" s="21"/>
      <c r="B617" s="22"/>
      <c r="C617" s="20"/>
      <c r="D617" s="20"/>
      <c r="E617" s="20"/>
      <c r="F617" s="20"/>
      <c r="G617" s="3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ht="15.75" customHeight="1">
      <c r="A618" s="21"/>
      <c r="B618" s="22"/>
      <c r="C618" s="20"/>
      <c r="D618" s="20"/>
      <c r="E618" s="20"/>
      <c r="F618" s="20"/>
      <c r="G618" s="3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ht="15.75" customHeight="1">
      <c r="A619" s="21"/>
      <c r="B619" s="22"/>
      <c r="C619" s="20"/>
      <c r="D619" s="20"/>
      <c r="E619" s="20"/>
      <c r="F619" s="20"/>
      <c r="G619" s="3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ht="15.75" customHeight="1">
      <c r="A620" s="21"/>
      <c r="B620" s="22"/>
      <c r="C620" s="20"/>
      <c r="D620" s="20"/>
      <c r="E620" s="20"/>
      <c r="F620" s="20"/>
      <c r="G620" s="3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ht="15.75" customHeight="1">
      <c r="A621" s="21"/>
      <c r="B621" s="22"/>
      <c r="C621" s="20"/>
      <c r="D621" s="20"/>
      <c r="E621" s="20"/>
      <c r="F621" s="20"/>
      <c r="G621" s="3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ht="15.75" customHeight="1">
      <c r="A622" s="21"/>
      <c r="B622" s="22"/>
      <c r="C622" s="20"/>
      <c r="D622" s="20"/>
      <c r="E622" s="20"/>
      <c r="F622" s="20"/>
      <c r="G622" s="3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ht="15.75" customHeight="1">
      <c r="A623" s="21"/>
      <c r="B623" s="22"/>
      <c r="C623" s="20"/>
      <c r="D623" s="20"/>
      <c r="E623" s="20"/>
      <c r="F623" s="20"/>
      <c r="G623" s="3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ht="15.75" customHeight="1">
      <c r="A624" s="21"/>
      <c r="B624" s="22"/>
      <c r="C624" s="20"/>
      <c r="D624" s="20"/>
      <c r="E624" s="20"/>
      <c r="F624" s="20"/>
      <c r="G624" s="3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ht="15.75" customHeight="1">
      <c r="A625" s="21"/>
      <c r="B625" s="22"/>
      <c r="C625" s="20"/>
      <c r="D625" s="20"/>
      <c r="E625" s="20"/>
      <c r="F625" s="20"/>
      <c r="G625" s="3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ht="15.75" customHeight="1">
      <c r="A626" s="21"/>
      <c r="B626" s="22"/>
      <c r="C626" s="20"/>
      <c r="D626" s="20"/>
      <c r="E626" s="20"/>
      <c r="F626" s="20"/>
      <c r="G626" s="3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ht="15.75" customHeight="1">
      <c r="A627" s="21"/>
      <c r="B627" s="22"/>
      <c r="C627" s="20"/>
      <c r="D627" s="20"/>
      <c r="E627" s="20"/>
      <c r="F627" s="20"/>
      <c r="G627" s="3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ht="15.75" customHeight="1">
      <c r="A628" s="21"/>
      <c r="B628" s="22"/>
      <c r="C628" s="20"/>
      <c r="D628" s="20"/>
      <c r="E628" s="20"/>
      <c r="F628" s="20"/>
      <c r="G628" s="3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ht="15.75" customHeight="1">
      <c r="A629" s="21"/>
      <c r="B629" s="22"/>
      <c r="C629" s="20"/>
      <c r="D629" s="20"/>
      <c r="E629" s="20"/>
      <c r="F629" s="20"/>
      <c r="G629" s="3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ht="15.75" customHeight="1">
      <c r="A630" s="21"/>
      <c r="B630" s="22"/>
      <c r="C630" s="20"/>
      <c r="D630" s="20"/>
      <c r="E630" s="20"/>
      <c r="F630" s="20"/>
      <c r="G630" s="3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ht="15.75" customHeight="1">
      <c r="A631" s="21"/>
      <c r="B631" s="22"/>
      <c r="C631" s="20"/>
      <c r="D631" s="20"/>
      <c r="E631" s="20"/>
      <c r="F631" s="20"/>
      <c r="G631" s="3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ht="15.75" customHeight="1">
      <c r="A632" s="21"/>
      <c r="B632" s="22"/>
      <c r="C632" s="20"/>
      <c r="D632" s="20"/>
      <c r="E632" s="20"/>
      <c r="F632" s="20"/>
      <c r="G632" s="3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ht="15.75" customHeight="1">
      <c r="A633" s="21"/>
      <c r="B633" s="22"/>
      <c r="C633" s="20"/>
      <c r="D633" s="20"/>
      <c r="E633" s="20"/>
      <c r="F633" s="20"/>
      <c r="G633" s="3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ht="15.75" customHeight="1">
      <c r="A634" s="21"/>
      <c r="B634" s="22"/>
      <c r="C634" s="20"/>
      <c r="D634" s="20"/>
      <c r="E634" s="20"/>
      <c r="F634" s="20"/>
      <c r="G634" s="3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ht="15.75" customHeight="1">
      <c r="A635" s="21"/>
      <c r="B635" s="22"/>
      <c r="C635" s="20"/>
      <c r="D635" s="20"/>
      <c r="E635" s="20"/>
      <c r="F635" s="20"/>
      <c r="G635" s="3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ht="15.75" customHeight="1">
      <c r="A636" s="21"/>
      <c r="B636" s="22"/>
      <c r="C636" s="20"/>
      <c r="D636" s="20"/>
      <c r="E636" s="20"/>
      <c r="F636" s="20"/>
      <c r="G636" s="3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ht="15.75" customHeight="1">
      <c r="A637" s="21"/>
      <c r="B637" s="22"/>
      <c r="C637" s="20"/>
      <c r="D637" s="20"/>
      <c r="E637" s="20"/>
      <c r="F637" s="20"/>
      <c r="G637" s="3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ht="15.75" customHeight="1">
      <c r="A638" s="21"/>
      <c r="B638" s="22"/>
      <c r="C638" s="20"/>
      <c r="D638" s="20"/>
      <c r="E638" s="20"/>
      <c r="F638" s="20"/>
      <c r="G638" s="3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ht="15.75" customHeight="1">
      <c r="A639" s="21"/>
      <c r="B639" s="22"/>
      <c r="C639" s="20"/>
      <c r="D639" s="20"/>
      <c r="E639" s="20"/>
      <c r="F639" s="20"/>
      <c r="G639" s="3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ht="15.75" customHeight="1">
      <c r="A640" s="21"/>
      <c r="B640" s="22"/>
      <c r="C640" s="20"/>
      <c r="D640" s="20"/>
      <c r="E640" s="20"/>
      <c r="F640" s="20"/>
      <c r="G640" s="3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ht="15.75" customHeight="1">
      <c r="A641" s="21"/>
      <c r="B641" s="22"/>
      <c r="C641" s="20"/>
      <c r="D641" s="20"/>
      <c r="E641" s="20"/>
      <c r="F641" s="20"/>
      <c r="G641" s="3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ht="15.75" customHeight="1">
      <c r="A642" s="21"/>
      <c r="B642" s="22"/>
      <c r="C642" s="20"/>
      <c r="D642" s="20"/>
      <c r="E642" s="20"/>
      <c r="F642" s="20"/>
      <c r="G642" s="3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ht="15.75" customHeight="1">
      <c r="A643" s="21"/>
      <c r="B643" s="22"/>
      <c r="C643" s="20"/>
      <c r="D643" s="20"/>
      <c r="E643" s="20"/>
      <c r="F643" s="20"/>
      <c r="G643" s="3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ht="15.75" customHeight="1">
      <c r="A644" s="21"/>
      <c r="B644" s="22"/>
      <c r="C644" s="20"/>
      <c r="D644" s="20"/>
      <c r="E644" s="20"/>
      <c r="F644" s="20"/>
      <c r="G644" s="3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ht="15.75" customHeight="1">
      <c r="A645" s="21"/>
      <c r="B645" s="22"/>
      <c r="C645" s="20"/>
      <c r="D645" s="20"/>
      <c r="E645" s="20"/>
      <c r="F645" s="20"/>
      <c r="G645" s="3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ht="15.75" customHeight="1">
      <c r="A646" s="21"/>
      <c r="B646" s="22"/>
      <c r="C646" s="20"/>
      <c r="D646" s="20"/>
      <c r="E646" s="20"/>
      <c r="F646" s="20"/>
      <c r="G646" s="3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ht="15.75" customHeight="1">
      <c r="A647" s="21"/>
      <c r="B647" s="22"/>
      <c r="C647" s="20"/>
      <c r="D647" s="20"/>
      <c r="E647" s="20"/>
      <c r="F647" s="20"/>
      <c r="G647" s="3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ht="15.75" customHeight="1">
      <c r="A648" s="21"/>
      <c r="B648" s="22"/>
      <c r="C648" s="20"/>
      <c r="D648" s="20"/>
      <c r="E648" s="20"/>
      <c r="F648" s="20"/>
      <c r="G648" s="3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ht="15.75" customHeight="1">
      <c r="A649" s="21"/>
      <c r="B649" s="22"/>
      <c r="C649" s="20"/>
      <c r="D649" s="20"/>
      <c r="E649" s="20"/>
      <c r="F649" s="20"/>
      <c r="G649" s="3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ht="15.75" customHeight="1">
      <c r="A650" s="21"/>
      <c r="B650" s="22"/>
      <c r="C650" s="20"/>
      <c r="D650" s="20"/>
      <c r="E650" s="20"/>
      <c r="F650" s="20"/>
      <c r="G650" s="3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ht="15.75" customHeight="1">
      <c r="A651" s="21"/>
      <c r="B651" s="22"/>
      <c r="C651" s="20"/>
      <c r="D651" s="20"/>
      <c r="E651" s="20"/>
      <c r="F651" s="20"/>
      <c r="G651" s="3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ht="15.75" customHeight="1">
      <c r="A652" s="21"/>
      <c r="B652" s="22"/>
      <c r="C652" s="20"/>
      <c r="D652" s="20"/>
      <c r="E652" s="20"/>
      <c r="F652" s="20"/>
      <c r="G652" s="3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ht="15.75" customHeight="1">
      <c r="A653" s="21"/>
      <c r="B653" s="22"/>
      <c r="C653" s="20"/>
      <c r="D653" s="20"/>
      <c r="E653" s="20"/>
      <c r="F653" s="20"/>
      <c r="G653" s="3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ht="15.75" customHeight="1">
      <c r="A654" s="21"/>
      <c r="B654" s="22"/>
      <c r="C654" s="20"/>
      <c r="D654" s="20"/>
      <c r="E654" s="20"/>
      <c r="F654" s="20"/>
      <c r="G654" s="3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ht="15.75" customHeight="1">
      <c r="A655" s="21"/>
      <c r="B655" s="22"/>
      <c r="C655" s="20"/>
      <c r="D655" s="20"/>
      <c r="E655" s="20"/>
      <c r="F655" s="20"/>
      <c r="G655" s="3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ht="15.75" customHeight="1">
      <c r="A656" s="21"/>
      <c r="B656" s="22"/>
      <c r="C656" s="20"/>
      <c r="D656" s="20"/>
      <c r="E656" s="20"/>
      <c r="F656" s="20"/>
      <c r="G656" s="3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ht="15.75" customHeight="1">
      <c r="A657" s="21"/>
      <c r="B657" s="22"/>
      <c r="C657" s="20"/>
      <c r="D657" s="20"/>
      <c r="E657" s="20"/>
      <c r="F657" s="20"/>
      <c r="G657" s="3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ht="15.75" customHeight="1">
      <c r="A658" s="21"/>
      <c r="B658" s="22"/>
      <c r="C658" s="20"/>
      <c r="D658" s="20"/>
      <c r="E658" s="20"/>
      <c r="F658" s="20"/>
      <c r="G658" s="3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ht="15.75" customHeight="1">
      <c r="A659" s="21"/>
      <c r="B659" s="22"/>
      <c r="C659" s="20"/>
      <c r="D659" s="20"/>
      <c r="E659" s="20"/>
      <c r="F659" s="20"/>
      <c r="G659" s="3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ht="15.75" customHeight="1">
      <c r="A660" s="21"/>
      <c r="B660" s="22"/>
      <c r="C660" s="20"/>
      <c r="D660" s="20"/>
      <c r="E660" s="20"/>
      <c r="F660" s="20"/>
      <c r="G660" s="3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ht="15.75" customHeight="1">
      <c r="A661" s="21"/>
      <c r="B661" s="22"/>
      <c r="C661" s="20"/>
      <c r="D661" s="20"/>
      <c r="E661" s="20"/>
      <c r="F661" s="20"/>
      <c r="G661" s="3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ht="15.75" customHeight="1">
      <c r="A662" s="21"/>
      <c r="B662" s="22"/>
      <c r="C662" s="20"/>
      <c r="D662" s="20"/>
      <c r="E662" s="20"/>
      <c r="F662" s="20"/>
      <c r="G662" s="3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ht="15.75" customHeight="1">
      <c r="A663" s="21"/>
      <c r="B663" s="22"/>
      <c r="C663" s="20"/>
      <c r="D663" s="20"/>
      <c r="E663" s="20"/>
      <c r="F663" s="20"/>
      <c r="G663" s="3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ht="15.75" customHeight="1">
      <c r="A664" s="21"/>
      <c r="B664" s="22"/>
      <c r="C664" s="20"/>
      <c r="D664" s="20"/>
      <c r="E664" s="20"/>
      <c r="F664" s="20"/>
      <c r="G664" s="3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ht="15.75" customHeight="1">
      <c r="A665" s="21"/>
      <c r="B665" s="22"/>
      <c r="C665" s="20"/>
      <c r="D665" s="20"/>
      <c r="E665" s="20"/>
      <c r="F665" s="20"/>
      <c r="G665" s="3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ht="15.75" customHeight="1">
      <c r="A666" s="21"/>
      <c r="B666" s="22"/>
      <c r="C666" s="20"/>
      <c r="D666" s="20"/>
      <c r="E666" s="20"/>
      <c r="F666" s="20"/>
      <c r="G666" s="3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ht="15.75" customHeight="1">
      <c r="A667" s="21"/>
      <c r="B667" s="22"/>
      <c r="C667" s="20"/>
      <c r="D667" s="20"/>
      <c r="E667" s="20"/>
      <c r="F667" s="20"/>
      <c r="G667" s="3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ht="15.75" customHeight="1">
      <c r="A668" s="21"/>
      <c r="B668" s="22"/>
      <c r="C668" s="20"/>
      <c r="D668" s="20"/>
      <c r="E668" s="20"/>
      <c r="F668" s="20"/>
      <c r="G668" s="3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ht="15.75" customHeight="1">
      <c r="A669" s="21"/>
      <c r="B669" s="22"/>
      <c r="C669" s="20"/>
      <c r="D669" s="20"/>
      <c r="E669" s="20"/>
      <c r="F669" s="20"/>
      <c r="G669" s="3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ht="15.75" customHeight="1">
      <c r="A670" s="21"/>
      <c r="B670" s="22"/>
      <c r="C670" s="20"/>
      <c r="D670" s="20"/>
      <c r="E670" s="20"/>
      <c r="F670" s="20"/>
      <c r="G670" s="3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ht="15.75" customHeight="1">
      <c r="A671" s="21"/>
      <c r="B671" s="22"/>
      <c r="C671" s="20"/>
      <c r="D671" s="20"/>
      <c r="E671" s="20"/>
      <c r="F671" s="20"/>
      <c r="G671" s="3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ht="15.75" customHeight="1">
      <c r="A672" s="21"/>
      <c r="B672" s="22"/>
      <c r="C672" s="20"/>
      <c r="D672" s="20"/>
      <c r="E672" s="20"/>
      <c r="F672" s="20"/>
      <c r="G672" s="3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ht="15.75" customHeight="1">
      <c r="A673" s="21"/>
      <c r="B673" s="22"/>
      <c r="C673" s="20"/>
      <c r="D673" s="20"/>
      <c r="E673" s="20"/>
      <c r="F673" s="20"/>
      <c r="G673" s="3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ht="15.75" customHeight="1">
      <c r="A674" s="21"/>
      <c r="B674" s="22"/>
      <c r="C674" s="20"/>
      <c r="D674" s="20"/>
      <c r="E674" s="20"/>
      <c r="F674" s="20"/>
      <c r="G674" s="3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ht="15.75" customHeight="1">
      <c r="A675" s="21"/>
      <c r="B675" s="22"/>
      <c r="C675" s="20"/>
      <c r="D675" s="20"/>
      <c r="E675" s="20"/>
      <c r="F675" s="20"/>
      <c r="G675" s="3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ht="15.75" customHeight="1">
      <c r="A676" s="21"/>
      <c r="B676" s="22"/>
      <c r="C676" s="20"/>
      <c r="D676" s="20"/>
      <c r="E676" s="20"/>
      <c r="F676" s="20"/>
      <c r="G676" s="3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ht="15.75" customHeight="1">
      <c r="A677" s="21"/>
      <c r="B677" s="22"/>
      <c r="C677" s="20"/>
      <c r="D677" s="20"/>
      <c r="E677" s="20"/>
      <c r="F677" s="20"/>
      <c r="G677" s="3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ht="15.75" customHeight="1">
      <c r="A678" s="21"/>
      <c r="B678" s="22"/>
      <c r="C678" s="20"/>
      <c r="D678" s="20"/>
      <c r="E678" s="20"/>
      <c r="F678" s="20"/>
      <c r="G678" s="3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ht="15.75" customHeight="1">
      <c r="A679" s="21"/>
      <c r="B679" s="22"/>
      <c r="C679" s="20"/>
      <c r="D679" s="20"/>
      <c r="E679" s="20"/>
      <c r="F679" s="20"/>
      <c r="G679" s="3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ht="15.75" customHeight="1">
      <c r="A680" s="21"/>
      <c r="B680" s="22"/>
      <c r="C680" s="20"/>
      <c r="D680" s="20"/>
      <c r="E680" s="20"/>
      <c r="F680" s="20"/>
      <c r="G680" s="3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ht="15.75" customHeight="1">
      <c r="A681" s="21"/>
      <c r="B681" s="22"/>
      <c r="C681" s="20"/>
      <c r="D681" s="20"/>
      <c r="E681" s="20"/>
      <c r="F681" s="20"/>
      <c r="G681" s="3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ht="15.75" customHeight="1">
      <c r="A682" s="21"/>
      <c r="B682" s="22"/>
      <c r="C682" s="20"/>
      <c r="D682" s="20"/>
      <c r="E682" s="20"/>
      <c r="F682" s="20"/>
      <c r="G682" s="3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ht="15.75" customHeight="1">
      <c r="A683" s="21"/>
      <c r="B683" s="22"/>
      <c r="C683" s="20"/>
      <c r="D683" s="20"/>
      <c r="E683" s="20"/>
      <c r="F683" s="20"/>
      <c r="G683" s="3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ht="15.75" customHeight="1">
      <c r="A684" s="21"/>
      <c r="B684" s="22"/>
      <c r="C684" s="20"/>
      <c r="D684" s="20"/>
      <c r="E684" s="20"/>
      <c r="F684" s="20"/>
      <c r="G684" s="3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ht="15.75" customHeight="1">
      <c r="A685" s="21"/>
      <c r="B685" s="22"/>
      <c r="C685" s="20"/>
      <c r="D685" s="20"/>
      <c r="E685" s="20"/>
      <c r="F685" s="20"/>
      <c r="G685" s="3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ht="15.75" customHeight="1">
      <c r="A686" s="21"/>
      <c r="B686" s="22"/>
      <c r="C686" s="20"/>
      <c r="D686" s="20"/>
      <c r="E686" s="20"/>
      <c r="F686" s="20"/>
      <c r="G686" s="3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ht="15.75" customHeight="1">
      <c r="A687" s="21"/>
      <c r="B687" s="22"/>
      <c r="C687" s="20"/>
      <c r="D687" s="20"/>
      <c r="E687" s="20"/>
      <c r="F687" s="20"/>
      <c r="G687" s="3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ht="15.75" customHeight="1">
      <c r="A688" s="21"/>
      <c r="B688" s="22"/>
      <c r="C688" s="20"/>
      <c r="D688" s="20"/>
      <c r="E688" s="20"/>
      <c r="F688" s="20"/>
      <c r="G688" s="3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ht="15.75" customHeight="1">
      <c r="A689" s="21"/>
      <c r="B689" s="22"/>
      <c r="C689" s="20"/>
      <c r="D689" s="20"/>
      <c r="E689" s="20"/>
      <c r="F689" s="20"/>
      <c r="G689" s="3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ht="15.75" customHeight="1">
      <c r="A690" s="21"/>
      <c r="B690" s="22"/>
      <c r="C690" s="20"/>
      <c r="D690" s="20"/>
      <c r="E690" s="20"/>
      <c r="F690" s="20"/>
      <c r="G690" s="3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ht="15.75" customHeight="1">
      <c r="A691" s="21"/>
      <c r="B691" s="22"/>
      <c r="C691" s="20"/>
      <c r="D691" s="20"/>
      <c r="E691" s="20"/>
      <c r="F691" s="20"/>
      <c r="G691" s="3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ht="15.75" customHeight="1">
      <c r="A692" s="21"/>
      <c r="B692" s="22"/>
      <c r="C692" s="20"/>
      <c r="D692" s="20"/>
      <c r="E692" s="20"/>
      <c r="F692" s="20"/>
      <c r="G692" s="3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ht="15.75" customHeight="1">
      <c r="A693" s="21"/>
      <c r="B693" s="22"/>
      <c r="C693" s="20"/>
      <c r="D693" s="20"/>
      <c r="E693" s="20"/>
      <c r="F693" s="20"/>
      <c r="G693" s="3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ht="15.75" customHeight="1">
      <c r="A694" s="21"/>
      <c r="B694" s="22"/>
      <c r="C694" s="20"/>
      <c r="D694" s="20"/>
      <c r="E694" s="20"/>
      <c r="F694" s="20"/>
      <c r="G694" s="3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ht="15.75" customHeight="1">
      <c r="A695" s="21"/>
      <c r="B695" s="22"/>
      <c r="C695" s="20"/>
      <c r="D695" s="20"/>
      <c r="E695" s="20"/>
      <c r="F695" s="20"/>
      <c r="G695" s="3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ht="15.75" customHeight="1">
      <c r="A696" s="21"/>
      <c r="B696" s="22"/>
      <c r="C696" s="20"/>
      <c r="D696" s="20"/>
      <c r="E696" s="20"/>
      <c r="F696" s="20"/>
      <c r="G696" s="3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ht="15.75" customHeight="1">
      <c r="A697" s="21"/>
      <c r="B697" s="22"/>
      <c r="C697" s="20"/>
      <c r="D697" s="20"/>
      <c r="E697" s="20"/>
      <c r="F697" s="20"/>
      <c r="G697" s="3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ht="15.75" customHeight="1">
      <c r="A698" s="21"/>
      <c r="B698" s="22"/>
      <c r="C698" s="20"/>
      <c r="D698" s="20"/>
      <c r="E698" s="20"/>
      <c r="F698" s="20"/>
      <c r="G698" s="3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ht="15.75" customHeight="1">
      <c r="A699" s="21"/>
      <c r="B699" s="22"/>
      <c r="C699" s="20"/>
      <c r="D699" s="20"/>
      <c r="E699" s="20"/>
      <c r="F699" s="20"/>
      <c r="G699" s="3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ht="15.75" customHeight="1">
      <c r="A700" s="21"/>
      <c r="B700" s="22"/>
      <c r="C700" s="20"/>
      <c r="D700" s="20"/>
      <c r="E700" s="20"/>
      <c r="F700" s="20"/>
      <c r="G700" s="3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ht="15.75" customHeight="1">
      <c r="A701" s="21"/>
      <c r="B701" s="22"/>
      <c r="C701" s="20"/>
      <c r="D701" s="20"/>
      <c r="E701" s="20"/>
      <c r="F701" s="20"/>
      <c r="G701" s="3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ht="15.75" customHeight="1">
      <c r="A702" s="21"/>
      <c r="B702" s="22"/>
      <c r="C702" s="20"/>
      <c r="D702" s="20"/>
      <c r="E702" s="20"/>
      <c r="F702" s="20"/>
      <c r="G702" s="3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ht="15.75" customHeight="1">
      <c r="A703" s="21"/>
      <c r="B703" s="22"/>
      <c r="C703" s="20"/>
      <c r="D703" s="20"/>
      <c r="E703" s="20"/>
      <c r="F703" s="20"/>
      <c r="G703" s="3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ht="15.75" customHeight="1">
      <c r="A704" s="21"/>
      <c r="B704" s="22"/>
      <c r="C704" s="20"/>
      <c r="D704" s="20"/>
      <c r="E704" s="20"/>
      <c r="F704" s="20"/>
      <c r="G704" s="3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ht="15.75" customHeight="1">
      <c r="A705" s="21"/>
      <c r="B705" s="22"/>
      <c r="C705" s="20"/>
      <c r="D705" s="20"/>
      <c r="E705" s="20"/>
      <c r="F705" s="20"/>
      <c r="G705" s="3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ht="15.75" customHeight="1">
      <c r="A706" s="21"/>
      <c r="B706" s="22"/>
      <c r="C706" s="20"/>
      <c r="D706" s="20"/>
      <c r="E706" s="20"/>
      <c r="F706" s="20"/>
      <c r="G706" s="3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ht="15.75" customHeight="1">
      <c r="A707" s="21"/>
      <c r="B707" s="22"/>
      <c r="C707" s="20"/>
      <c r="D707" s="20"/>
      <c r="E707" s="20"/>
      <c r="F707" s="20"/>
      <c r="G707" s="3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ht="15.75" customHeight="1">
      <c r="A708" s="21"/>
      <c r="B708" s="22"/>
      <c r="C708" s="20"/>
      <c r="D708" s="20"/>
      <c r="E708" s="20"/>
      <c r="F708" s="20"/>
      <c r="G708" s="3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ht="15.75" customHeight="1">
      <c r="A709" s="21"/>
      <c r="B709" s="22"/>
      <c r="C709" s="20"/>
      <c r="D709" s="20"/>
      <c r="E709" s="20"/>
      <c r="F709" s="20"/>
      <c r="G709" s="3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ht="15.75" customHeight="1">
      <c r="A710" s="21"/>
      <c r="B710" s="22"/>
      <c r="C710" s="20"/>
      <c r="D710" s="20"/>
      <c r="E710" s="20"/>
      <c r="F710" s="20"/>
      <c r="G710" s="3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ht="15.75" customHeight="1">
      <c r="A711" s="21"/>
      <c r="B711" s="22"/>
      <c r="C711" s="20"/>
      <c r="D711" s="20"/>
      <c r="E711" s="20"/>
      <c r="F711" s="20"/>
      <c r="G711" s="3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ht="15.75" customHeight="1">
      <c r="A712" s="21"/>
      <c r="B712" s="22"/>
      <c r="C712" s="20"/>
      <c r="D712" s="20"/>
      <c r="E712" s="20"/>
      <c r="F712" s="20"/>
      <c r="G712" s="3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ht="15.75" customHeight="1">
      <c r="A713" s="21"/>
      <c r="B713" s="22"/>
      <c r="C713" s="20"/>
      <c r="D713" s="20"/>
      <c r="E713" s="20"/>
      <c r="F713" s="20"/>
      <c r="G713" s="3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ht="15.75" customHeight="1">
      <c r="A714" s="21"/>
      <c r="B714" s="22"/>
      <c r="C714" s="20"/>
      <c r="D714" s="20"/>
      <c r="E714" s="20"/>
      <c r="F714" s="20"/>
      <c r="G714" s="3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ht="15.75" customHeight="1">
      <c r="A715" s="21"/>
      <c r="B715" s="22"/>
      <c r="C715" s="20"/>
      <c r="D715" s="20"/>
      <c r="E715" s="20"/>
      <c r="F715" s="20"/>
      <c r="G715" s="3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ht="15.75" customHeight="1">
      <c r="A716" s="21"/>
      <c r="B716" s="22"/>
      <c r="C716" s="20"/>
      <c r="D716" s="20"/>
      <c r="E716" s="20"/>
      <c r="F716" s="20"/>
      <c r="G716" s="3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ht="15.75" customHeight="1">
      <c r="A717" s="21"/>
      <c r="B717" s="22"/>
      <c r="C717" s="20"/>
      <c r="D717" s="20"/>
      <c r="E717" s="20"/>
      <c r="F717" s="20"/>
      <c r="G717" s="3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ht="15.75" customHeight="1">
      <c r="A718" s="21"/>
      <c r="B718" s="22"/>
      <c r="C718" s="20"/>
      <c r="D718" s="20"/>
      <c r="E718" s="20"/>
      <c r="F718" s="20"/>
      <c r="G718" s="3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ht="15.75" customHeight="1">
      <c r="A719" s="21"/>
      <c r="B719" s="22"/>
      <c r="C719" s="20"/>
      <c r="D719" s="20"/>
      <c r="E719" s="20"/>
      <c r="F719" s="20"/>
      <c r="G719" s="3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ht="15.75" customHeight="1">
      <c r="A720" s="21"/>
      <c r="B720" s="22"/>
      <c r="C720" s="20"/>
      <c r="D720" s="20"/>
      <c r="E720" s="20"/>
      <c r="F720" s="20"/>
      <c r="G720" s="3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ht="15.75" customHeight="1">
      <c r="A721" s="21"/>
      <c r="B721" s="22"/>
      <c r="C721" s="20"/>
      <c r="D721" s="20"/>
      <c r="E721" s="20"/>
      <c r="F721" s="20"/>
      <c r="G721" s="3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ht="15.75" customHeight="1">
      <c r="A722" s="21"/>
      <c r="B722" s="22"/>
      <c r="C722" s="20"/>
      <c r="D722" s="20"/>
      <c r="E722" s="20"/>
      <c r="F722" s="20"/>
      <c r="G722" s="3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ht="15.75" customHeight="1">
      <c r="A723" s="21"/>
      <c r="B723" s="22"/>
      <c r="C723" s="20"/>
      <c r="D723" s="20"/>
      <c r="E723" s="20"/>
      <c r="F723" s="20"/>
      <c r="G723" s="3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ht="15.75" customHeight="1">
      <c r="A724" s="21"/>
      <c r="B724" s="22"/>
      <c r="C724" s="20"/>
      <c r="D724" s="20"/>
      <c r="E724" s="20"/>
      <c r="F724" s="20"/>
      <c r="G724" s="3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ht="15.75" customHeight="1">
      <c r="A725" s="21"/>
      <c r="B725" s="22"/>
      <c r="C725" s="20"/>
      <c r="D725" s="20"/>
      <c r="E725" s="20"/>
      <c r="F725" s="20"/>
      <c r="G725" s="3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ht="15.75" customHeight="1">
      <c r="A726" s="21"/>
      <c r="B726" s="22"/>
      <c r="C726" s="20"/>
      <c r="D726" s="20"/>
      <c r="E726" s="20"/>
      <c r="F726" s="20"/>
      <c r="G726" s="3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ht="15.75" customHeight="1">
      <c r="A727" s="21"/>
      <c r="B727" s="22"/>
      <c r="C727" s="20"/>
      <c r="D727" s="20"/>
      <c r="E727" s="20"/>
      <c r="F727" s="20"/>
      <c r="G727" s="3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ht="15.75" customHeight="1">
      <c r="A728" s="21"/>
      <c r="B728" s="22"/>
      <c r="C728" s="20"/>
      <c r="D728" s="20"/>
      <c r="E728" s="20"/>
      <c r="F728" s="20"/>
      <c r="G728" s="3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ht="15.75" customHeight="1">
      <c r="A729" s="21"/>
      <c r="B729" s="22"/>
      <c r="C729" s="20"/>
      <c r="D729" s="20"/>
      <c r="E729" s="20"/>
      <c r="F729" s="20"/>
      <c r="G729" s="3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ht="15.75" customHeight="1">
      <c r="A730" s="21"/>
      <c r="B730" s="22"/>
      <c r="C730" s="20"/>
      <c r="D730" s="20"/>
      <c r="E730" s="20"/>
      <c r="F730" s="20"/>
      <c r="G730" s="3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ht="15.75" customHeight="1">
      <c r="A731" s="21"/>
      <c r="B731" s="22"/>
      <c r="C731" s="20"/>
      <c r="D731" s="20"/>
      <c r="E731" s="20"/>
      <c r="F731" s="20"/>
      <c r="G731" s="3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ht="15.75" customHeight="1">
      <c r="A732" s="21"/>
      <c r="B732" s="22"/>
      <c r="C732" s="20"/>
      <c r="D732" s="20"/>
      <c r="E732" s="20"/>
      <c r="F732" s="20"/>
      <c r="G732" s="3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ht="15.75" customHeight="1">
      <c r="A733" s="21"/>
      <c r="B733" s="22"/>
      <c r="C733" s="20"/>
      <c r="D733" s="20"/>
      <c r="E733" s="20"/>
      <c r="F733" s="20"/>
      <c r="G733" s="3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ht="15.75" customHeight="1">
      <c r="A734" s="21"/>
      <c r="B734" s="22"/>
      <c r="C734" s="20"/>
      <c r="D734" s="20"/>
      <c r="E734" s="20"/>
      <c r="F734" s="20"/>
      <c r="G734" s="3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ht="15.75" customHeight="1">
      <c r="A735" s="21"/>
      <c r="B735" s="22"/>
      <c r="C735" s="20"/>
      <c r="D735" s="20"/>
      <c r="E735" s="20"/>
      <c r="F735" s="20"/>
      <c r="G735" s="3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ht="15.75" customHeight="1">
      <c r="A736" s="21"/>
      <c r="B736" s="22"/>
      <c r="C736" s="20"/>
      <c r="D736" s="20"/>
      <c r="E736" s="20"/>
      <c r="F736" s="20"/>
      <c r="G736" s="3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ht="15.75" customHeight="1">
      <c r="A737" s="21"/>
      <c r="B737" s="22"/>
      <c r="C737" s="20"/>
      <c r="D737" s="20"/>
      <c r="E737" s="20"/>
      <c r="F737" s="20"/>
      <c r="G737" s="3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ht="15.75" customHeight="1">
      <c r="A738" s="21"/>
      <c r="B738" s="22"/>
      <c r="C738" s="20"/>
      <c r="D738" s="20"/>
      <c r="E738" s="20"/>
      <c r="F738" s="20"/>
      <c r="G738" s="3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ht="15.75" customHeight="1">
      <c r="A739" s="21"/>
      <c r="B739" s="22"/>
      <c r="C739" s="20"/>
      <c r="D739" s="20"/>
      <c r="E739" s="20"/>
      <c r="F739" s="20"/>
      <c r="G739" s="3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ht="15.75" customHeight="1">
      <c r="A740" s="21"/>
      <c r="B740" s="22"/>
      <c r="C740" s="20"/>
      <c r="D740" s="20"/>
      <c r="E740" s="20"/>
      <c r="F740" s="20"/>
      <c r="G740" s="3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ht="15.75" customHeight="1">
      <c r="A741" s="21"/>
      <c r="B741" s="22"/>
      <c r="C741" s="20"/>
      <c r="D741" s="20"/>
      <c r="E741" s="20"/>
      <c r="F741" s="20"/>
      <c r="G741" s="3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ht="15.75" customHeight="1">
      <c r="A742" s="21"/>
      <c r="B742" s="22"/>
      <c r="C742" s="20"/>
      <c r="D742" s="20"/>
      <c r="E742" s="20"/>
      <c r="F742" s="20"/>
      <c r="G742" s="3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ht="15.75" customHeight="1">
      <c r="A743" s="21"/>
      <c r="B743" s="22"/>
      <c r="C743" s="20"/>
      <c r="D743" s="20"/>
      <c r="E743" s="20"/>
      <c r="F743" s="20"/>
      <c r="G743" s="3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ht="15.75" customHeight="1">
      <c r="A744" s="21"/>
      <c r="B744" s="22"/>
      <c r="C744" s="20"/>
      <c r="D744" s="20"/>
      <c r="E744" s="20"/>
      <c r="F744" s="20"/>
      <c r="G744" s="3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ht="15.75" customHeight="1">
      <c r="A745" s="21"/>
      <c r="B745" s="22"/>
      <c r="C745" s="20"/>
      <c r="D745" s="20"/>
      <c r="E745" s="20"/>
      <c r="F745" s="20"/>
      <c r="G745" s="3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ht="15.75" customHeight="1">
      <c r="A746" s="21"/>
      <c r="B746" s="22"/>
      <c r="C746" s="20"/>
      <c r="D746" s="20"/>
      <c r="E746" s="20"/>
      <c r="F746" s="20"/>
      <c r="G746" s="3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ht="15.75" customHeight="1">
      <c r="A747" s="21"/>
      <c r="B747" s="22"/>
      <c r="C747" s="20"/>
      <c r="D747" s="20"/>
      <c r="E747" s="20"/>
      <c r="F747" s="20"/>
      <c r="G747" s="3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ht="15.75" customHeight="1">
      <c r="A748" s="21"/>
      <c r="B748" s="22"/>
      <c r="C748" s="20"/>
      <c r="D748" s="20"/>
      <c r="E748" s="20"/>
      <c r="F748" s="20"/>
      <c r="G748" s="3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ht="15.75" customHeight="1">
      <c r="A749" s="21"/>
      <c r="B749" s="22"/>
      <c r="C749" s="20"/>
      <c r="D749" s="20"/>
      <c r="E749" s="20"/>
      <c r="F749" s="20"/>
      <c r="G749" s="3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ht="15.75" customHeight="1">
      <c r="A750" s="21"/>
      <c r="B750" s="22"/>
      <c r="C750" s="20"/>
      <c r="D750" s="20"/>
      <c r="E750" s="20"/>
      <c r="F750" s="20"/>
      <c r="G750" s="3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ht="15.75" customHeight="1">
      <c r="A751" s="21"/>
      <c r="B751" s="22"/>
      <c r="C751" s="20"/>
      <c r="D751" s="20"/>
      <c r="E751" s="20"/>
      <c r="F751" s="20"/>
      <c r="G751" s="3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ht="15.75" customHeight="1">
      <c r="A752" s="21"/>
      <c r="B752" s="22"/>
      <c r="C752" s="20"/>
      <c r="D752" s="20"/>
      <c r="E752" s="20"/>
      <c r="F752" s="20"/>
      <c r="G752" s="3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ht="15.75" customHeight="1">
      <c r="A753" s="21"/>
      <c r="B753" s="22"/>
      <c r="C753" s="20"/>
      <c r="D753" s="20"/>
      <c r="E753" s="20"/>
      <c r="F753" s="20"/>
      <c r="G753" s="3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ht="15.75" customHeight="1">
      <c r="A754" s="21"/>
      <c r="B754" s="22"/>
      <c r="C754" s="20"/>
      <c r="D754" s="20"/>
      <c r="E754" s="20"/>
      <c r="F754" s="20"/>
      <c r="G754" s="3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ht="15.75" customHeight="1">
      <c r="A755" s="21"/>
      <c r="B755" s="22"/>
      <c r="C755" s="20"/>
      <c r="D755" s="20"/>
      <c r="E755" s="20"/>
      <c r="F755" s="20"/>
      <c r="G755" s="3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ht="15.75" customHeight="1">
      <c r="A756" s="21"/>
      <c r="B756" s="22"/>
      <c r="C756" s="20"/>
      <c r="D756" s="20"/>
      <c r="E756" s="20"/>
      <c r="F756" s="20"/>
      <c r="G756" s="3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ht="15.75" customHeight="1">
      <c r="A757" s="21"/>
      <c r="B757" s="22"/>
      <c r="C757" s="20"/>
      <c r="D757" s="20"/>
      <c r="E757" s="20"/>
      <c r="F757" s="20"/>
      <c r="G757" s="3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ht="15.75" customHeight="1">
      <c r="A758" s="21"/>
      <c r="B758" s="22"/>
      <c r="C758" s="20"/>
      <c r="D758" s="20"/>
      <c r="E758" s="20"/>
      <c r="F758" s="20"/>
      <c r="G758" s="3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ht="15.75" customHeight="1">
      <c r="A759" s="21"/>
      <c r="B759" s="22"/>
      <c r="C759" s="20"/>
      <c r="D759" s="20"/>
      <c r="E759" s="20"/>
      <c r="F759" s="20"/>
      <c r="G759" s="3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ht="15.75" customHeight="1">
      <c r="A760" s="21"/>
      <c r="B760" s="22"/>
      <c r="C760" s="20"/>
      <c r="D760" s="20"/>
      <c r="E760" s="20"/>
      <c r="F760" s="20"/>
      <c r="G760" s="3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ht="15.75" customHeight="1">
      <c r="A761" s="21"/>
      <c r="B761" s="22"/>
      <c r="C761" s="20"/>
      <c r="D761" s="20"/>
      <c r="E761" s="20"/>
      <c r="F761" s="20"/>
      <c r="G761" s="3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ht="15.75" customHeight="1">
      <c r="A762" s="21"/>
      <c r="B762" s="22"/>
      <c r="C762" s="20"/>
      <c r="D762" s="20"/>
      <c r="E762" s="20"/>
      <c r="F762" s="20"/>
      <c r="G762" s="3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ht="15.75" customHeight="1">
      <c r="A763" s="21"/>
      <c r="B763" s="22"/>
      <c r="C763" s="20"/>
      <c r="D763" s="20"/>
      <c r="E763" s="20"/>
      <c r="F763" s="20"/>
      <c r="G763" s="3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ht="15.75" customHeight="1">
      <c r="A764" s="21"/>
      <c r="B764" s="22"/>
      <c r="C764" s="20"/>
      <c r="D764" s="20"/>
      <c r="E764" s="20"/>
      <c r="F764" s="20"/>
      <c r="G764" s="3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ht="15.75" customHeight="1">
      <c r="A765" s="21"/>
      <c r="B765" s="22"/>
      <c r="C765" s="20"/>
      <c r="D765" s="20"/>
      <c r="E765" s="20"/>
      <c r="F765" s="20"/>
      <c r="G765" s="3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ht="15.75" customHeight="1">
      <c r="A766" s="21"/>
      <c r="B766" s="22"/>
      <c r="C766" s="20"/>
      <c r="D766" s="20"/>
      <c r="E766" s="20"/>
      <c r="F766" s="20"/>
      <c r="G766" s="3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ht="15.75" customHeight="1">
      <c r="A767" s="21"/>
      <c r="B767" s="22"/>
      <c r="C767" s="20"/>
      <c r="D767" s="20"/>
      <c r="E767" s="20"/>
      <c r="F767" s="20"/>
      <c r="G767" s="3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ht="15.75" customHeight="1">
      <c r="A768" s="21"/>
      <c r="B768" s="22"/>
      <c r="C768" s="20"/>
      <c r="D768" s="20"/>
      <c r="E768" s="20"/>
      <c r="F768" s="20"/>
      <c r="G768" s="3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ht="15.75" customHeight="1">
      <c r="A769" s="21"/>
      <c r="B769" s="22"/>
      <c r="C769" s="20"/>
      <c r="D769" s="20"/>
      <c r="E769" s="20"/>
      <c r="F769" s="20"/>
      <c r="G769" s="3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ht="15.75" customHeight="1">
      <c r="A770" s="21"/>
      <c r="B770" s="22"/>
      <c r="C770" s="20"/>
      <c r="D770" s="20"/>
      <c r="E770" s="20"/>
      <c r="F770" s="20"/>
      <c r="G770" s="3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ht="15.75" customHeight="1">
      <c r="A771" s="21"/>
      <c r="B771" s="22"/>
      <c r="C771" s="20"/>
      <c r="D771" s="20"/>
      <c r="E771" s="20"/>
      <c r="F771" s="20"/>
      <c r="G771" s="3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ht="15.75" customHeight="1">
      <c r="A772" s="21"/>
      <c r="B772" s="22"/>
      <c r="C772" s="20"/>
      <c r="D772" s="20"/>
      <c r="E772" s="20"/>
      <c r="F772" s="20"/>
      <c r="G772" s="3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ht="15.75" customHeight="1">
      <c r="A773" s="21"/>
      <c r="B773" s="22"/>
      <c r="C773" s="20"/>
      <c r="D773" s="20"/>
      <c r="E773" s="20"/>
      <c r="F773" s="20"/>
      <c r="G773" s="3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ht="15.75" customHeight="1">
      <c r="A774" s="21"/>
      <c r="B774" s="22"/>
      <c r="C774" s="20"/>
      <c r="D774" s="20"/>
      <c r="E774" s="20"/>
      <c r="F774" s="20"/>
      <c r="G774" s="3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ht="15.75" customHeight="1">
      <c r="A775" s="21"/>
      <c r="B775" s="22"/>
      <c r="C775" s="20"/>
      <c r="D775" s="20"/>
      <c r="E775" s="20"/>
      <c r="F775" s="20"/>
      <c r="G775" s="3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ht="15.75" customHeight="1">
      <c r="A776" s="21"/>
      <c r="B776" s="22"/>
      <c r="C776" s="20"/>
      <c r="D776" s="20"/>
      <c r="E776" s="20"/>
      <c r="F776" s="20"/>
      <c r="G776" s="3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ht="15.75" customHeight="1">
      <c r="A777" s="21"/>
      <c r="B777" s="22"/>
      <c r="C777" s="20"/>
      <c r="D777" s="20"/>
      <c r="E777" s="20"/>
      <c r="F777" s="20"/>
      <c r="G777" s="3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ht="15.75" customHeight="1">
      <c r="A778" s="21"/>
      <c r="B778" s="22"/>
      <c r="C778" s="20"/>
      <c r="D778" s="20"/>
      <c r="E778" s="20"/>
      <c r="F778" s="20"/>
      <c r="G778" s="3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ht="15.75" customHeight="1">
      <c r="A779" s="21"/>
      <c r="B779" s="22"/>
      <c r="C779" s="20"/>
      <c r="D779" s="20"/>
      <c r="E779" s="20"/>
      <c r="F779" s="20"/>
      <c r="G779" s="3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ht="15.75" customHeight="1">
      <c r="A780" s="21"/>
      <c r="B780" s="22"/>
      <c r="C780" s="20"/>
      <c r="D780" s="20"/>
      <c r="E780" s="20"/>
      <c r="F780" s="20"/>
      <c r="G780" s="3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ht="15.75" customHeight="1">
      <c r="A781" s="21"/>
      <c r="B781" s="22"/>
      <c r="C781" s="20"/>
      <c r="D781" s="20"/>
      <c r="E781" s="20"/>
      <c r="F781" s="20"/>
      <c r="G781" s="3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ht="15.75" customHeight="1">
      <c r="A782" s="21"/>
      <c r="B782" s="22"/>
      <c r="C782" s="20"/>
      <c r="D782" s="20"/>
      <c r="E782" s="20"/>
      <c r="F782" s="20"/>
      <c r="G782" s="3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ht="15.75" customHeight="1">
      <c r="A783" s="21"/>
      <c r="B783" s="22"/>
      <c r="C783" s="20"/>
      <c r="D783" s="20"/>
      <c r="E783" s="20"/>
      <c r="F783" s="20"/>
      <c r="G783" s="3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ht="15.75" customHeight="1">
      <c r="A784" s="21"/>
      <c r="B784" s="22"/>
      <c r="C784" s="20"/>
      <c r="D784" s="20"/>
      <c r="E784" s="20"/>
      <c r="F784" s="20"/>
      <c r="G784" s="3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ht="15.75" customHeight="1">
      <c r="A785" s="21"/>
      <c r="B785" s="22"/>
      <c r="C785" s="20"/>
      <c r="D785" s="20"/>
      <c r="E785" s="20"/>
      <c r="F785" s="20"/>
      <c r="G785" s="3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ht="15.75" customHeight="1">
      <c r="A786" s="21"/>
      <c r="B786" s="22"/>
      <c r="C786" s="20"/>
      <c r="D786" s="20"/>
      <c r="E786" s="20"/>
      <c r="F786" s="20"/>
      <c r="G786" s="3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ht="15.75" customHeight="1">
      <c r="A787" s="21"/>
      <c r="B787" s="22"/>
      <c r="C787" s="20"/>
      <c r="D787" s="20"/>
      <c r="E787" s="20"/>
      <c r="F787" s="20"/>
      <c r="G787" s="3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ht="15.75" customHeight="1">
      <c r="A788" s="21"/>
      <c r="B788" s="22"/>
      <c r="C788" s="20"/>
      <c r="D788" s="20"/>
      <c r="E788" s="20"/>
      <c r="F788" s="20"/>
      <c r="G788" s="3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ht="15.75" customHeight="1">
      <c r="A789" s="21"/>
      <c r="B789" s="22"/>
      <c r="C789" s="20"/>
      <c r="D789" s="20"/>
      <c r="E789" s="20"/>
      <c r="F789" s="20"/>
      <c r="G789" s="3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ht="15.75" customHeight="1">
      <c r="A790" s="21"/>
      <c r="B790" s="22"/>
      <c r="C790" s="20"/>
      <c r="D790" s="20"/>
      <c r="E790" s="20"/>
      <c r="F790" s="20"/>
      <c r="G790" s="3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ht="15.75" customHeight="1">
      <c r="A791" s="21"/>
      <c r="B791" s="22"/>
      <c r="C791" s="20"/>
      <c r="D791" s="20"/>
      <c r="E791" s="20"/>
      <c r="F791" s="20"/>
      <c r="G791" s="3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ht="15.75" customHeight="1">
      <c r="A792" s="21"/>
      <c r="B792" s="22"/>
      <c r="C792" s="20"/>
      <c r="D792" s="20"/>
      <c r="E792" s="20"/>
      <c r="F792" s="20"/>
      <c r="G792" s="3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ht="15.75" customHeight="1">
      <c r="A793" s="21"/>
      <c r="B793" s="22"/>
      <c r="C793" s="20"/>
      <c r="D793" s="20"/>
      <c r="E793" s="20"/>
      <c r="F793" s="20"/>
      <c r="G793" s="3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ht="15.75" customHeight="1">
      <c r="A794" s="21"/>
      <c r="B794" s="22"/>
      <c r="C794" s="20"/>
      <c r="D794" s="20"/>
      <c r="E794" s="20"/>
      <c r="F794" s="20"/>
      <c r="G794" s="3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ht="15.75" customHeight="1">
      <c r="A795" s="21"/>
      <c r="B795" s="22"/>
      <c r="C795" s="20"/>
      <c r="D795" s="20"/>
      <c r="E795" s="20"/>
      <c r="F795" s="20"/>
      <c r="G795" s="3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ht="15.75" customHeight="1">
      <c r="A796" s="21"/>
      <c r="B796" s="22"/>
      <c r="C796" s="20"/>
      <c r="D796" s="20"/>
      <c r="E796" s="20"/>
      <c r="F796" s="20"/>
      <c r="G796" s="3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ht="15.75" customHeight="1">
      <c r="A797" s="21"/>
      <c r="B797" s="22"/>
      <c r="C797" s="20"/>
      <c r="D797" s="20"/>
      <c r="E797" s="20"/>
      <c r="F797" s="20"/>
      <c r="G797" s="3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ht="15.75" customHeight="1">
      <c r="A798" s="21"/>
      <c r="B798" s="22"/>
      <c r="C798" s="20"/>
      <c r="D798" s="20"/>
      <c r="E798" s="20"/>
      <c r="F798" s="20"/>
      <c r="G798" s="3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ht="15.75" customHeight="1">
      <c r="A799" s="21"/>
      <c r="B799" s="22"/>
      <c r="C799" s="20"/>
      <c r="D799" s="20"/>
      <c r="E799" s="20"/>
      <c r="F799" s="20"/>
      <c r="G799" s="3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ht="15.75" customHeight="1">
      <c r="A800" s="21"/>
      <c r="B800" s="22"/>
      <c r="C800" s="20"/>
      <c r="D800" s="20"/>
      <c r="E800" s="20"/>
      <c r="F800" s="20"/>
      <c r="G800" s="3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ht="15.75" customHeight="1">
      <c r="A801" s="21"/>
      <c r="B801" s="22"/>
      <c r="C801" s="20"/>
      <c r="D801" s="20"/>
      <c r="E801" s="20"/>
      <c r="F801" s="20"/>
      <c r="G801" s="3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ht="15.75" customHeight="1">
      <c r="A802" s="21"/>
      <c r="B802" s="22"/>
      <c r="C802" s="20"/>
      <c r="D802" s="20"/>
      <c r="E802" s="20"/>
      <c r="F802" s="20"/>
      <c r="G802" s="3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ht="15.75" customHeight="1">
      <c r="A803" s="21"/>
      <c r="B803" s="22"/>
      <c r="C803" s="20"/>
      <c r="D803" s="20"/>
      <c r="E803" s="20"/>
      <c r="F803" s="20"/>
      <c r="G803" s="3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ht="15.75" customHeight="1">
      <c r="A804" s="21"/>
      <c r="B804" s="22"/>
      <c r="C804" s="20"/>
      <c r="D804" s="20"/>
      <c r="E804" s="20"/>
      <c r="F804" s="20"/>
      <c r="G804" s="3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ht="15.75" customHeight="1">
      <c r="A805" s="21"/>
      <c r="B805" s="22"/>
      <c r="C805" s="20"/>
      <c r="D805" s="20"/>
      <c r="E805" s="20"/>
      <c r="F805" s="20"/>
      <c r="G805" s="3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ht="15.75" customHeight="1">
      <c r="A806" s="21"/>
      <c r="B806" s="22"/>
      <c r="C806" s="20"/>
      <c r="D806" s="20"/>
      <c r="E806" s="20"/>
      <c r="F806" s="20"/>
      <c r="G806" s="3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ht="15.75" customHeight="1">
      <c r="A807" s="21"/>
      <c r="B807" s="22"/>
      <c r="C807" s="20"/>
      <c r="D807" s="20"/>
      <c r="E807" s="20"/>
      <c r="F807" s="20"/>
      <c r="G807" s="3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ht="15.75" customHeight="1">
      <c r="A808" s="21"/>
      <c r="B808" s="22"/>
      <c r="C808" s="20"/>
      <c r="D808" s="20"/>
      <c r="E808" s="20"/>
      <c r="F808" s="20"/>
      <c r="G808" s="3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ht="15.75" customHeight="1">
      <c r="A809" s="21"/>
      <c r="B809" s="22"/>
      <c r="C809" s="20"/>
      <c r="D809" s="20"/>
      <c r="E809" s="20"/>
      <c r="F809" s="20"/>
      <c r="G809" s="3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ht="15.75" customHeight="1">
      <c r="A810" s="21"/>
      <c r="B810" s="22"/>
      <c r="C810" s="20"/>
      <c r="D810" s="20"/>
      <c r="E810" s="20"/>
      <c r="F810" s="20"/>
      <c r="G810" s="3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ht="15.75" customHeight="1">
      <c r="A811" s="21"/>
      <c r="B811" s="22"/>
      <c r="C811" s="20"/>
      <c r="D811" s="20"/>
      <c r="E811" s="20"/>
      <c r="F811" s="20"/>
      <c r="G811" s="3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ht="15.75" customHeight="1">
      <c r="A812" s="21"/>
      <c r="B812" s="22"/>
      <c r="C812" s="20"/>
      <c r="D812" s="20"/>
      <c r="E812" s="20"/>
      <c r="F812" s="20"/>
      <c r="G812" s="3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ht="15.75" customHeight="1">
      <c r="A813" s="21"/>
      <c r="B813" s="22"/>
      <c r="C813" s="20"/>
      <c r="D813" s="20"/>
      <c r="E813" s="20"/>
      <c r="F813" s="20"/>
      <c r="G813" s="3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ht="15.75" customHeight="1">
      <c r="A814" s="21"/>
      <c r="B814" s="22"/>
      <c r="C814" s="20"/>
      <c r="D814" s="20"/>
      <c r="E814" s="20"/>
      <c r="F814" s="20"/>
      <c r="G814" s="3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ht="15.75" customHeight="1">
      <c r="A815" s="21"/>
      <c r="B815" s="22"/>
      <c r="C815" s="20"/>
      <c r="D815" s="20"/>
      <c r="E815" s="20"/>
      <c r="F815" s="20"/>
      <c r="G815" s="3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ht="15.75" customHeight="1">
      <c r="A816" s="21"/>
      <c r="B816" s="22"/>
      <c r="C816" s="20"/>
      <c r="D816" s="20"/>
      <c r="E816" s="20"/>
      <c r="F816" s="20"/>
      <c r="G816" s="3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ht="15.75" customHeight="1">
      <c r="A817" s="21"/>
      <c r="B817" s="22"/>
      <c r="C817" s="20"/>
      <c r="D817" s="20"/>
      <c r="E817" s="20"/>
      <c r="F817" s="20"/>
      <c r="G817" s="3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ht="15.75" customHeight="1">
      <c r="A818" s="21"/>
      <c r="B818" s="22"/>
      <c r="C818" s="20"/>
      <c r="D818" s="20"/>
      <c r="E818" s="20"/>
      <c r="F818" s="20"/>
      <c r="G818" s="3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ht="15.75" customHeight="1">
      <c r="A819" s="21"/>
      <c r="B819" s="22"/>
      <c r="C819" s="20"/>
      <c r="D819" s="20"/>
      <c r="E819" s="20"/>
      <c r="F819" s="20"/>
      <c r="G819" s="3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ht="15.75" customHeight="1">
      <c r="A820" s="21"/>
      <c r="B820" s="22"/>
      <c r="C820" s="20"/>
      <c r="D820" s="20"/>
      <c r="E820" s="20"/>
      <c r="F820" s="20"/>
      <c r="G820" s="3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ht="15.75" customHeight="1">
      <c r="A821" s="21"/>
      <c r="B821" s="22"/>
      <c r="C821" s="20"/>
      <c r="D821" s="20"/>
      <c r="E821" s="20"/>
      <c r="F821" s="20"/>
      <c r="G821" s="3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ht="15.75" customHeight="1">
      <c r="A822" s="21"/>
      <c r="B822" s="22"/>
      <c r="C822" s="20"/>
      <c r="D822" s="20"/>
      <c r="E822" s="20"/>
      <c r="F822" s="20"/>
      <c r="G822" s="3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ht="15.75" customHeight="1">
      <c r="A823" s="21"/>
      <c r="B823" s="22"/>
      <c r="C823" s="20"/>
      <c r="D823" s="20"/>
      <c r="E823" s="20"/>
      <c r="F823" s="20"/>
      <c r="G823" s="3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ht="15.75" customHeight="1">
      <c r="A824" s="21"/>
      <c r="B824" s="22"/>
      <c r="C824" s="20"/>
      <c r="D824" s="20"/>
      <c r="E824" s="20"/>
      <c r="F824" s="20"/>
      <c r="G824" s="3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ht="15.75" customHeight="1">
      <c r="A825" s="21"/>
      <c r="B825" s="22"/>
      <c r="C825" s="20"/>
      <c r="D825" s="20"/>
      <c r="E825" s="20"/>
      <c r="F825" s="20"/>
      <c r="G825" s="3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ht="15.75" customHeight="1">
      <c r="A826" s="21"/>
      <c r="B826" s="22"/>
      <c r="C826" s="20"/>
      <c r="D826" s="20"/>
      <c r="E826" s="20"/>
      <c r="F826" s="20"/>
      <c r="G826" s="3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ht="15.75" customHeight="1">
      <c r="A827" s="21"/>
      <c r="B827" s="22"/>
      <c r="C827" s="20"/>
      <c r="D827" s="20"/>
      <c r="E827" s="20"/>
      <c r="F827" s="20"/>
      <c r="G827" s="3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ht="15.75" customHeight="1">
      <c r="A828" s="21"/>
      <c r="B828" s="22"/>
      <c r="C828" s="20"/>
      <c r="D828" s="20"/>
      <c r="E828" s="20"/>
      <c r="F828" s="20"/>
      <c r="G828" s="3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ht="15.75" customHeight="1">
      <c r="A829" s="21"/>
      <c r="B829" s="22"/>
      <c r="C829" s="20"/>
      <c r="D829" s="20"/>
      <c r="E829" s="20"/>
      <c r="F829" s="20"/>
      <c r="G829" s="3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ht="15.75" customHeight="1">
      <c r="A830" s="21"/>
      <c r="B830" s="22"/>
      <c r="C830" s="20"/>
      <c r="D830" s="20"/>
      <c r="E830" s="20"/>
      <c r="F830" s="20"/>
      <c r="G830" s="3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ht="15.75" customHeight="1">
      <c r="A831" s="21"/>
      <c r="B831" s="22"/>
      <c r="C831" s="20"/>
      <c r="D831" s="20"/>
      <c r="E831" s="20"/>
      <c r="F831" s="20"/>
      <c r="G831" s="3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ht="15.75" customHeight="1">
      <c r="A832" s="21"/>
      <c r="B832" s="22"/>
      <c r="C832" s="20"/>
      <c r="D832" s="20"/>
      <c r="E832" s="20"/>
      <c r="F832" s="20"/>
      <c r="G832" s="3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ht="15.75" customHeight="1">
      <c r="A833" s="21"/>
      <c r="B833" s="22"/>
      <c r="C833" s="20"/>
      <c r="D833" s="20"/>
      <c r="E833" s="20"/>
      <c r="F833" s="20"/>
      <c r="G833" s="3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ht="15.75" customHeight="1">
      <c r="A834" s="21"/>
      <c r="B834" s="22"/>
      <c r="C834" s="20"/>
      <c r="D834" s="20"/>
      <c r="E834" s="20"/>
      <c r="F834" s="20"/>
      <c r="G834" s="3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ht="15.75" customHeight="1">
      <c r="A835" s="21"/>
      <c r="B835" s="22"/>
      <c r="C835" s="20"/>
      <c r="D835" s="20"/>
      <c r="E835" s="20"/>
      <c r="F835" s="20"/>
      <c r="G835" s="3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ht="15.75" customHeight="1">
      <c r="A836" s="21"/>
      <c r="B836" s="22"/>
      <c r="C836" s="20"/>
      <c r="D836" s="20"/>
      <c r="E836" s="20"/>
      <c r="F836" s="20"/>
      <c r="G836" s="3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ht="15.75" customHeight="1">
      <c r="A837" s="21"/>
      <c r="B837" s="22"/>
      <c r="C837" s="20"/>
      <c r="D837" s="20"/>
      <c r="E837" s="20"/>
      <c r="F837" s="20"/>
      <c r="G837" s="3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ht="15.75" customHeight="1">
      <c r="A838" s="21"/>
      <c r="B838" s="22"/>
      <c r="C838" s="20"/>
      <c r="D838" s="20"/>
      <c r="E838" s="20"/>
      <c r="F838" s="20"/>
      <c r="G838" s="3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ht="15.75" customHeight="1">
      <c r="A839" s="21"/>
      <c r="B839" s="22"/>
      <c r="C839" s="20"/>
      <c r="D839" s="20"/>
      <c r="E839" s="20"/>
      <c r="F839" s="20"/>
      <c r="G839" s="3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ht="15.75" customHeight="1">
      <c r="A840" s="21"/>
      <c r="B840" s="22"/>
      <c r="C840" s="20"/>
      <c r="D840" s="20"/>
      <c r="E840" s="20"/>
      <c r="F840" s="20"/>
      <c r="G840" s="3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ht="15.75" customHeight="1">
      <c r="A841" s="21"/>
      <c r="B841" s="22"/>
      <c r="C841" s="20"/>
      <c r="D841" s="20"/>
      <c r="E841" s="20"/>
      <c r="F841" s="20"/>
      <c r="G841" s="3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ht="15.75" customHeight="1">
      <c r="A842" s="21"/>
      <c r="B842" s="22"/>
      <c r="C842" s="20"/>
      <c r="D842" s="20"/>
      <c r="E842" s="20"/>
      <c r="F842" s="20"/>
      <c r="G842" s="3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ht="15.75" customHeight="1">
      <c r="A843" s="21"/>
      <c r="B843" s="22"/>
      <c r="C843" s="20"/>
      <c r="D843" s="20"/>
      <c r="E843" s="20"/>
      <c r="F843" s="20"/>
      <c r="G843" s="3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ht="15.75" customHeight="1">
      <c r="A844" s="21"/>
      <c r="B844" s="22"/>
      <c r="C844" s="20"/>
      <c r="D844" s="20"/>
      <c r="E844" s="20"/>
      <c r="F844" s="20"/>
      <c r="G844" s="3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ht="15.75" customHeight="1">
      <c r="A845" s="21"/>
      <c r="B845" s="22"/>
      <c r="C845" s="20"/>
      <c r="D845" s="20"/>
      <c r="E845" s="20"/>
      <c r="F845" s="20"/>
      <c r="G845" s="3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ht="15.75" customHeight="1">
      <c r="A846" s="21"/>
      <c r="B846" s="22"/>
      <c r="C846" s="20"/>
      <c r="D846" s="20"/>
      <c r="E846" s="20"/>
      <c r="F846" s="20"/>
      <c r="G846" s="3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ht="15.75" customHeight="1">
      <c r="A847" s="21"/>
      <c r="B847" s="22"/>
      <c r="C847" s="20"/>
      <c r="D847" s="20"/>
      <c r="E847" s="20"/>
      <c r="F847" s="20"/>
      <c r="G847" s="3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ht="15.75" customHeight="1">
      <c r="A848" s="21"/>
      <c r="B848" s="22"/>
      <c r="C848" s="20"/>
      <c r="D848" s="20"/>
      <c r="E848" s="20"/>
      <c r="F848" s="20"/>
      <c r="G848" s="3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ht="15.75" customHeight="1">
      <c r="A849" s="21"/>
      <c r="B849" s="22"/>
      <c r="C849" s="20"/>
      <c r="D849" s="20"/>
      <c r="E849" s="20"/>
      <c r="F849" s="20"/>
      <c r="G849" s="3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ht="15.75" customHeight="1">
      <c r="A850" s="21"/>
      <c r="B850" s="22"/>
      <c r="C850" s="20"/>
      <c r="D850" s="20"/>
      <c r="E850" s="20"/>
      <c r="F850" s="20"/>
      <c r="G850" s="3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ht="15.75" customHeight="1">
      <c r="A851" s="21"/>
      <c r="B851" s="22"/>
      <c r="C851" s="20"/>
      <c r="D851" s="20"/>
      <c r="E851" s="20"/>
      <c r="F851" s="20"/>
      <c r="G851" s="3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ht="15.75" customHeight="1">
      <c r="A852" s="21"/>
      <c r="B852" s="22"/>
      <c r="C852" s="20"/>
      <c r="D852" s="20"/>
      <c r="E852" s="20"/>
      <c r="F852" s="20"/>
      <c r="G852" s="3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ht="15.75" customHeight="1">
      <c r="A853" s="21"/>
      <c r="B853" s="22"/>
      <c r="C853" s="20"/>
      <c r="D853" s="20"/>
      <c r="E853" s="20"/>
      <c r="F853" s="20"/>
      <c r="G853" s="3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ht="15.75" customHeight="1">
      <c r="A854" s="21"/>
      <c r="B854" s="22"/>
      <c r="C854" s="20"/>
      <c r="D854" s="20"/>
      <c r="E854" s="20"/>
      <c r="F854" s="20"/>
      <c r="G854" s="3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ht="15.75" customHeight="1">
      <c r="A855" s="21"/>
      <c r="B855" s="22"/>
      <c r="C855" s="20"/>
      <c r="D855" s="20"/>
      <c r="E855" s="20"/>
      <c r="F855" s="20"/>
      <c r="G855" s="3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ht="15.75" customHeight="1">
      <c r="A856" s="21"/>
      <c r="B856" s="22"/>
      <c r="C856" s="20"/>
      <c r="D856" s="20"/>
      <c r="E856" s="20"/>
      <c r="F856" s="20"/>
      <c r="G856" s="3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ht="15.75" customHeight="1">
      <c r="A857" s="21"/>
      <c r="B857" s="22"/>
      <c r="C857" s="20"/>
      <c r="D857" s="20"/>
      <c r="E857" s="20"/>
      <c r="F857" s="20"/>
      <c r="G857" s="3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ht="15.75" customHeight="1">
      <c r="A858" s="21"/>
      <c r="B858" s="22"/>
      <c r="C858" s="20"/>
      <c r="D858" s="20"/>
      <c r="E858" s="20"/>
      <c r="F858" s="20"/>
      <c r="G858" s="3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ht="15.75" customHeight="1">
      <c r="A859" s="21"/>
      <c r="B859" s="22"/>
      <c r="C859" s="20"/>
      <c r="D859" s="20"/>
      <c r="E859" s="20"/>
      <c r="F859" s="20"/>
      <c r="G859" s="3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ht="15.75" customHeight="1">
      <c r="A860" s="21"/>
      <c r="B860" s="22"/>
      <c r="C860" s="20"/>
      <c r="D860" s="20"/>
      <c r="E860" s="20"/>
      <c r="F860" s="20"/>
      <c r="G860" s="3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ht="15.75" customHeight="1">
      <c r="A861" s="21"/>
      <c r="B861" s="22"/>
      <c r="C861" s="20"/>
      <c r="D861" s="20"/>
      <c r="E861" s="20"/>
      <c r="F861" s="20"/>
      <c r="G861" s="3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ht="15.75" customHeight="1">
      <c r="A862" s="21"/>
      <c r="B862" s="22"/>
      <c r="C862" s="20"/>
      <c r="D862" s="20"/>
      <c r="E862" s="20"/>
      <c r="F862" s="20"/>
      <c r="G862" s="3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ht="15.75" customHeight="1">
      <c r="A863" s="21"/>
      <c r="B863" s="22"/>
      <c r="C863" s="20"/>
      <c r="D863" s="20"/>
      <c r="E863" s="20"/>
      <c r="F863" s="20"/>
      <c r="G863" s="3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ht="15.75" customHeight="1">
      <c r="A864" s="21"/>
      <c r="B864" s="22"/>
      <c r="C864" s="20"/>
      <c r="D864" s="20"/>
      <c r="E864" s="20"/>
      <c r="F864" s="20"/>
      <c r="G864" s="3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ht="15.75" customHeight="1">
      <c r="A865" s="21"/>
      <c r="B865" s="22"/>
      <c r="C865" s="20"/>
      <c r="D865" s="20"/>
      <c r="E865" s="20"/>
      <c r="F865" s="20"/>
      <c r="G865" s="3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ht="15.75" customHeight="1">
      <c r="A866" s="21"/>
      <c r="B866" s="22"/>
      <c r="C866" s="20"/>
      <c r="D866" s="20"/>
      <c r="E866" s="20"/>
      <c r="F866" s="20"/>
      <c r="G866" s="3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ht="15.75" customHeight="1">
      <c r="A867" s="21"/>
      <c r="B867" s="22"/>
      <c r="C867" s="20"/>
      <c r="D867" s="20"/>
      <c r="E867" s="20"/>
      <c r="F867" s="20"/>
      <c r="G867" s="3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ht="15.75" customHeight="1">
      <c r="A868" s="21"/>
      <c r="B868" s="22"/>
      <c r="C868" s="20"/>
      <c r="D868" s="20"/>
      <c r="E868" s="20"/>
      <c r="F868" s="20"/>
      <c r="G868" s="3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ht="15.75" customHeight="1">
      <c r="A869" s="21"/>
      <c r="B869" s="22"/>
      <c r="C869" s="20"/>
      <c r="D869" s="20"/>
      <c r="E869" s="20"/>
      <c r="F869" s="20"/>
      <c r="G869" s="3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ht="15.75" customHeight="1">
      <c r="A870" s="21"/>
      <c r="B870" s="22"/>
      <c r="C870" s="20"/>
      <c r="D870" s="20"/>
      <c r="E870" s="20"/>
      <c r="F870" s="20"/>
      <c r="G870" s="3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ht="15.75" customHeight="1">
      <c r="A871" s="21"/>
      <c r="B871" s="22"/>
      <c r="C871" s="20"/>
      <c r="D871" s="20"/>
      <c r="E871" s="20"/>
      <c r="F871" s="20"/>
      <c r="G871" s="3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ht="15.75" customHeight="1">
      <c r="A872" s="21"/>
      <c r="B872" s="22"/>
      <c r="C872" s="20"/>
      <c r="D872" s="20"/>
      <c r="E872" s="20"/>
      <c r="F872" s="20"/>
      <c r="G872" s="3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ht="15.75" customHeight="1">
      <c r="A873" s="21"/>
      <c r="B873" s="22"/>
      <c r="C873" s="20"/>
      <c r="D873" s="20"/>
      <c r="E873" s="20"/>
      <c r="F873" s="20"/>
      <c r="G873" s="3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ht="15.75" customHeight="1">
      <c r="A874" s="21"/>
      <c r="B874" s="22"/>
      <c r="C874" s="20"/>
      <c r="D874" s="20"/>
      <c r="E874" s="20"/>
      <c r="F874" s="20"/>
      <c r="G874" s="3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ht="15.75" customHeight="1">
      <c r="A875" s="21"/>
      <c r="B875" s="22"/>
      <c r="C875" s="20"/>
      <c r="D875" s="20"/>
      <c r="E875" s="20"/>
      <c r="F875" s="20"/>
      <c r="G875" s="3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ht="15.75" customHeight="1">
      <c r="A876" s="21"/>
      <c r="B876" s="22"/>
      <c r="C876" s="20"/>
      <c r="D876" s="20"/>
      <c r="E876" s="20"/>
      <c r="F876" s="20"/>
      <c r="G876" s="3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ht="15.75" customHeight="1">
      <c r="A877" s="21"/>
      <c r="B877" s="22"/>
      <c r="C877" s="20"/>
      <c r="D877" s="20"/>
      <c r="E877" s="20"/>
      <c r="F877" s="20"/>
      <c r="G877" s="3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ht="15.75" customHeight="1">
      <c r="A878" s="21"/>
      <c r="B878" s="22"/>
      <c r="C878" s="20"/>
      <c r="D878" s="20"/>
      <c r="E878" s="20"/>
      <c r="F878" s="20"/>
      <c r="G878" s="3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ht="15.75" customHeight="1">
      <c r="A879" s="21"/>
      <c r="B879" s="22"/>
      <c r="C879" s="20"/>
      <c r="D879" s="20"/>
      <c r="E879" s="20"/>
      <c r="F879" s="20"/>
      <c r="G879" s="3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ht="15.75" customHeight="1">
      <c r="A880" s="21"/>
      <c r="B880" s="22"/>
      <c r="C880" s="20"/>
      <c r="D880" s="20"/>
      <c r="E880" s="20"/>
      <c r="F880" s="20"/>
      <c r="G880" s="3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ht="15.75" customHeight="1">
      <c r="A881" s="21"/>
      <c r="B881" s="22"/>
      <c r="C881" s="20"/>
      <c r="D881" s="20"/>
      <c r="E881" s="20"/>
      <c r="F881" s="20"/>
      <c r="G881" s="3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ht="15.75" customHeight="1">
      <c r="A882" s="21"/>
      <c r="B882" s="22"/>
      <c r="C882" s="20"/>
      <c r="D882" s="20"/>
      <c r="E882" s="20"/>
      <c r="F882" s="20"/>
      <c r="G882" s="3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ht="15.75" customHeight="1">
      <c r="A883" s="21"/>
      <c r="B883" s="22"/>
      <c r="C883" s="20"/>
      <c r="D883" s="20"/>
      <c r="E883" s="20"/>
      <c r="F883" s="20"/>
      <c r="G883" s="3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ht="15.75" customHeight="1">
      <c r="A884" s="21"/>
      <c r="B884" s="22"/>
      <c r="C884" s="20"/>
      <c r="D884" s="20"/>
      <c r="E884" s="20"/>
      <c r="F884" s="20"/>
      <c r="G884" s="3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ht="15.75" customHeight="1">
      <c r="A885" s="21"/>
      <c r="B885" s="22"/>
      <c r="C885" s="20"/>
      <c r="D885" s="20"/>
      <c r="E885" s="20"/>
      <c r="F885" s="20"/>
      <c r="G885" s="3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ht="15.75" customHeight="1">
      <c r="A886" s="21"/>
      <c r="B886" s="22"/>
      <c r="C886" s="20"/>
      <c r="D886" s="20"/>
      <c r="E886" s="20"/>
      <c r="F886" s="20"/>
      <c r="G886" s="3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ht="15.75" customHeight="1">
      <c r="A887" s="21"/>
      <c r="B887" s="22"/>
      <c r="C887" s="20"/>
      <c r="D887" s="20"/>
      <c r="E887" s="20"/>
      <c r="F887" s="20"/>
      <c r="G887" s="3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ht="15.75" customHeight="1">
      <c r="A888" s="21"/>
      <c r="B888" s="22"/>
      <c r="C888" s="20"/>
      <c r="D888" s="20"/>
      <c r="E888" s="20"/>
      <c r="F888" s="20"/>
      <c r="G888" s="3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ht="15.75" customHeight="1">
      <c r="A889" s="21"/>
      <c r="B889" s="22"/>
      <c r="C889" s="20"/>
      <c r="D889" s="20"/>
      <c r="E889" s="20"/>
      <c r="F889" s="20"/>
      <c r="G889" s="3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ht="15.75" customHeight="1">
      <c r="A890" s="21"/>
      <c r="B890" s="22"/>
      <c r="C890" s="20"/>
      <c r="D890" s="20"/>
      <c r="E890" s="20"/>
      <c r="F890" s="20"/>
      <c r="G890" s="3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ht="15.75" customHeight="1">
      <c r="A891" s="21"/>
      <c r="B891" s="22"/>
      <c r="C891" s="20"/>
      <c r="D891" s="20"/>
      <c r="E891" s="20"/>
      <c r="F891" s="20"/>
      <c r="G891" s="3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ht="15.75" customHeight="1">
      <c r="A892" s="21"/>
      <c r="B892" s="22"/>
      <c r="C892" s="20"/>
      <c r="D892" s="20"/>
      <c r="E892" s="20"/>
      <c r="F892" s="20"/>
      <c r="G892" s="3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ht="15.75" customHeight="1">
      <c r="A893" s="21"/>
      <c r="B893" s="22"/>
      <c r="C893" s="20"/>
      <c r="D893" s="20"/>
      <c r="E893" s="20"/>
      <c r="F893" s="20"/>
      <c r="G893" s="3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ht="15.75" customHeight="1">
      <c r="A894" s="21"/>
      <c r="B894" s="22"/>
      <c r="C894" s="20"/>
      <c r="D894" s="20"/>
      <c r="E894" s="20"/>
      <c r="F894" s="20"/>
      <c r="G894" s="3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ht="15.75" customHeight="1">
      <c r="A895" s="21"/>
      <c r="B895" s="22"/>
      <c r="C895" s="20"/>
      <c r="D895" s="20"/>
      <c r="E895" s="20"/>
      <c r="F895" s="20"/>
      <c r="G895" s="3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ht="15.75" customHeight="1">
      <c r="A896" s="21"/>
      <c r="B896" s="22"/>
      <c r="C896" s="20"/>
      <c r="D896" s="20"/>
      <c r="E896" s="20"/>
      <c r="F896" s="20"/>
      <c r="G896" s="3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ht="15.75" customHeight="1">
      <c r="A897" s="21"/>
      <c r="B897" s="22"/>
      <c r="C897" s="20"/>
      <c r="D897" s="20"/>
      <c r="E897" s="20"/>
      <c r="F897" s="20"/>
      <c r="G897" s="3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ht="15.75" customHeight="1">
      <c r="A898" s="21"/>
      <c r="B898" s="22"/>
      <c r="C898" s="20"/>
      <c r="D898" s="20"/>
      <c r="E898" s="20"/>
      <c r="F898" s="20"/>
      <c r="G898" s="3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ht="15.75" customHeight="1">
      <c r="A899" s="21"/>
      <c r="B899" s="22"/>
      <c r="C899" s="20"/>
      <c r="D899" s="20"/>
      <c r="E899" s="20"/>
      <c r="F899" s="20"/>
      <c r="G899" s="3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ht="15.75" customHeight="1">
      <c r="A900" s="21"/>
      <c r="B900" s="22"/>
      <c r="C900" s="20"/>
      <c r="D900" s="20"/>
      <c r="E900" s="20"/>
      <c r="F900" s="20"/>
      <c r="G900" s="3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ht="15.75" customHeight="1">
      <c r="A901" s="21"/>
      <c r="B901" s="22"/>
      <c r="C901" s="20"/>
      <c r="D901" s="20"/>
      <c r="E901" s="20"/>
      <c r="F901" s="20"/>
      <c r="G901" s="3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ht="15.75" customHeight="1">
      <c r="A902" s="21"/>
      <c r="B902" s="22"/>
      <c r="C902" s="20"/>
      <c r="D902" s="20"/>
      <c r="E902" s="20"/>
      <c r="F902" s="20"/>
      <c r="G902" s="3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ht="15.75" customHeight="1">
      <c r="A903" s="21"/>
      <c r="B903" s="22"/>
      <c r="C903" s="20"/>
      <c r="D903" s="20"/>
      <c r="E903" s="20"/>
      <c r="F903" s="20"/>
      <c r="G903" s="3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ht="15.75" customHeight="1">
      <c r="A904" s="21"/>
      <c r="B904" s="22"/>
      <c r="C904" s="20"/>
      <c r="D904" s="20"/>
      <c r="E904" s="20"/>
      <c r="F904" s="20"/>
      <c r="G904" s="3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ht="15.75" customHeight="1">
      <c r="A905" s="21"/>
      <c r="B905" s="22"/>
      <c r="C905" s="20"/>
      <c r="D905" s="20"/>
      <c r="E905" s="20"/>
      <c r="F905" s="20"/>
      <c r="G905" s="3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ht="15.75" customHeight="1">
      <c r="A906" s="21"/>
      <c r="B906" s="22"/>
      <c r="C906" s="20"/>
      <c r="D906" s="20"/>
      <c r="E906" s="20"/>
      <c r="F906" s="20"/>
      <c r="G906" s="3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ht="15.75" customHeight="1">
      <c r="A907" s="21"/>
      <c r="B907" s="22"/>
      <c r="C907" s="20"/>
      <c r="D907" s="20"/>
      <c r="E907" s="20"/>
      <c r="F907" s="20"/>
      <c r="G907" s="3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ht="15.75" customHeight="1">
      <c r="A908" s="21"/>
      <c r="B908" s="22"/>
      <c r="C908" s="20"/>
      <c r="D908" s="20"/>
      <c r="E908" s="20"/>
      <c r="F908" s="20"/>
      <c r="G908" s="3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ht="15.75" customHeight="1">
      <c r="A909" s="21"/>
      <c r="B909" s="22"/>
      <c r="C909" s="20"/>
      <c r="D909" s="20"/>
      <c r="E909" s="20"/>
      <c r="F909" s="20"/>
      <c r="G909" s="3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ht="15.75" customHeight="1">
      <c r="A910" s="21"/>
      <c r="B910" s="22"/>
      <c r="C910" s="20"/>
      <c r="D910" s="20"/>
      <c r="E910" s="20"/>
      <c r="F910" s="20"/>
      <c r="G910" s="3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ht="15.75" customHeight="1">
      <c r="A911" s="21"/>
      <c r="B911" s="22"/>
      <c r="C911" s="20"/>
      <c r="D911" s="20"/>
      <c r="E911" s="20"/>
      <c r="F911" s="20"/>
      <c r="G911" s="3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ht="15.75" customHeight="1">
      <c r="A912" s="21"/>
      <c r="B912" s="22"/>
      <c r="C912" s="20"/>
      <c r="D912" s="20"/>
      <c r="E912" s="20"/>
      <c r="F912" s="20"/>
      <c r="G912" s="3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ht="15.75" customHeight="1">
      <c r="A913" s="21"/>
      <c r="B913" s="22"/>
      <c r="C913" s="20"/>
      <c r="D913" s="20"/>
      <c r="E913" s="20"/>
      <c r="F913" s="20"/>
      <c r="G913" s="3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ht="15.75" customHeight="1">
      <c r="A914" s="21"/>
      <c r="B914" s="22"/>
      <c r="C914" s="20"/>
      <c r="D914" s="20"/>
      <c r="E914" s="20"/>
      <c r="F914" s="20"/>
      <c r="G914" s="3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ht="15.75" customHeight="1">
      <c r="A915" s="21"/>
      <c r="B915" s="22"/>
      <c r="C915" s="20"/>
      <c r="D915" s="20"/>
      <c r="E915" s="20"/>
      <c r="F915" s="20"/>
      <c r="G915" s="3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ht="15.75" customHeight="1">
      <c r="A916" s="21"/>
      <c r="B916" s="22"/>
      <c r="C916" s="20"/>
      <c r="D916" s="20"/>
      <c r="E916" s="20"/>
      <c r="F916" s="20"/>
      <c r="G916" s="3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ht="15.75" customHeight="1">
      <c r="A917" s="21"/>
      <c r="B917" s="22"/>
      <c r="C917" s="20"/>
      <c r="D917" s="20"/>
      <c r="E917" s="20"/>
      <c r="F917" s="20"/>
      <c r="G917" s="3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ht="15.75" customHeight="1">
      <c r="A918" s="21"/>
      <c r="B918" s="22"/>
      <c r="C918" s="20"/>
      <c r="D918" s="20"/>
      <c r="E918" s="20"/>
      <c r="F918" s="20"/>
      <c r="G918" s="3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ht="15.75" customHeight="1">
      <c r="A919" s="21"/>
      <c r="B919" s="22"/>
      <c r="C919" s="20"/>
      <c r="D919" s="20"/>
      <c r="E919" s="20"/>
      <c r="F919" s="20"/>
      <c r="G919" s="3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ht="15.75" customHeight="1">
      <c r="A920" s="21"/>
      <c r="B920" s="22"/>
      <c r="C920" s="20"/>
      <c r="D920" s="20"/>
      <c r="E920" s="20"/>
      <c r="F920" s="20"/>
      <c r="G920" s="3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ht="15.75" customHeight="1">
      <c r="A921" s="21"/>
      <c r="B921" s="22"/>
      <c r="C921" s="20"/>
      <c r="D921" s="20"/>
      <c r="E921" s="20"/>
      <c r="F921" s="20"/>
      <c r="G921" s="3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ht="15.75" customHeight="1">
      <c r="A922" s="21"/>
      <c r="B922" s="22"/>
      <c r="C922" s="20"/>
      <c r="D922" s="20"/>
      <c r="E922" s="20"/>
      <c r="F922" s="20"/>
      <c r="G922" s="3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ht="15.75" customHeight="1">
      <c r="A923" s="21"/>
      <c r="B923" s="22"/>
      <c r="C923" s="20"/>
      <c r="D923" s="20"/>
      <c r="E923" s="20"/>
      <c r="F923" s="20"/>
      <c r="G923" s="3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ht="15.75" customHeight="1">
      <c r="A924" s="21"/>
      <c r="B924" s="22"/>
      <c r="C924" s="20"/>
      <c r="D924" s="20"/>
      <c r="E924" s="20"/>
      <c r="F924" s="20"/>
      <c r="G924" s="3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ht="15.75" customHeight="1">
      <c r="A925" s="21"/>
      <c r="B925" s="22"/>
      <c r="C925" s="20"/>
      <c r="D925" s="20"/>
      <c r="E925" s="20"/>
      <c r="F925" s="20"/>
      <c r="G925" s="3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ht="15.75" customHeight="1">
      <c r="A926" s="21"/>
      <c r="B926" s="22"/>
      <c r="C926" s="20"/>
      <c r="D926" s="20"/>
      <c r="E926" s="20"/>
      <c r="F926" s="20"/>
      <c r="G926" s="3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ht="15.75" customHeight="1">
      <c r="A927" s="21"/>
      <c r="B927" s="22"/>
      <c r="C927" s="20"/>
      <c r="D927" s="20"/>
      <c r="E927" s="20"/>
      <c r="F927" s="20"/>
      <c r="G927" s="3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ht="15.75" customHeight="1">
      <c r="A928" s="21"/>
      <c r="B928" s="22"/>
      <c r="C928" s="20"/>
      <c r="D928" s="20"/>
      <c r="E928" s="20"/>
      <c r="F928" s="20"/>
      <c r="G928" s="3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ht="15.75" customHeight="1">
      <c r="A929" s="21"/>
      <c r="B929" s="22"/>
      <c r="C929" s="20"/>
      <c r="D929" s="20"/>
      <c r="E929" s="20"/>
      <c r="F929" s="20"/>
      <c r="G929" s="3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ht="15.75" customHeight="1">
      <c r="A930" s="21"/>
      <c r="B930" s="22"/>
      <c r="C930" s="20"/>
      <c r="D930" s="20"/>
      <c r="E930" s="20"/>
      <c r="F930" s="20"/>
      <c r="G930" s="3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ht="15.75" customHeight="1">
      <c r="A931" s="21"/>
      <c r="B931" s="22"/>
      <c r="C931" s="20"/>
      <c r="D931" s="20"/>
      <c r="E931" s="20"/>
      <c r="F931" s="20"/>
      <c r="G931" s="3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ht="15.75" customHeight="1">
      <c r="A932" s="21"/>
      <c r="B932" s="22"/>
      <c r="C932" s="20"/>
      <c r="D932" s="20"/>
      <c r="E932" s="20"/>
      <c r="F932" s="20"/>
      <c r="G932" s="3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ht="15.75" customHeight="1">
      <c r="A933" s="21"/>
      <c r="B933" s="22"/>
      <c r="C933" s="20"/>
      <c r="D933" s="20"/>
      <c r="E933" s="20"/>
      <c r="F933" s="20"/>
      <c r="G933" s="3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ht="15.75" customHeight="1">
      <c r="A934" s="21"/>
      <c r="B934" s="22"/>
      <c r="C934" s="20"/>
      <c r="D934" s="20"/>
      <c r="E934" s="20"/>
      <c r="F934" s="20"/>
      <c r="G934" s="3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ht="15.75" customHeight="1">
      <c r="A935" s="21"/>
      <c r="B935" s="22"/>
      <c r="C935" s="20"/>
      <c r="D935" s="20"/>
      <c r="E935" s="20"/>
      <c r="F935" s="20"/>
      <c r="G935" s="3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ht="15.75" customHeight="1">
      <c r="A936" s="21"/>
      <c r="B936" s="22"/>
      <c r="C936" s="20"/>
      <c r="D936" s="20"/>
      <c r="E936" s="20"/>
      <c r="F936" s="20"/>
      <c r="G936" s="3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ht="15.75" customHeight="1">
      <c r="A937" s="21"/>
      <c r="B937" s="22"/>
      <c r="C937" s="20"/>
      <c r="D937" s="20"/>
      <c r="E937" s="20"/>
      <c r="F937" s="20"/>
      <c r="G937" s="3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ht="15.75" customHeight="1">
      <c r="A938" s="21"/>
      <c r="B938" s="22"/>
      <c r="C938" s="20"/>
      <c r="D938" s="20"/>
      <c r="E938" s="20"/>
      <c r="F938" s="20"/>
      <c r="G938" s="3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ht="15.75" customHeight="1">
      <c r="A939" s="21"/>
      <c r="B939" s="22"/>
      <c r="C939" s="20"/>
      <c r="D939" s="20"/>
      <c r="E939" s="20"/>
      <c r="F939" s="20"/>
      <c r="G939" s="3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ht="15.75" customHeight="1">
      <c r="A940" s="21"/>
      <c r="B940" s="22"/>
      <c r="C940" s="20"/>
      <c r="D940" s="20"/>
      <c r="E940" s="20"/>
      <c r="F940" s="20"/>
      <c r="G940" s="3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ht="15.75" customHeight="1">
      <c r="A941" s="21"/>
      <c r="B941" s="22"/>
      <c r="C941" s="20"/>
      <c r="D941" s="20"/>
      <c r="E941" s="20"/>
      <c r="F941" s="20"/>
      <c r="G941" s="3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ht="15.75" customHeight="1">
      <c r="A942" s="21"/>
      <c r="B942" s="22"/>
      <c r="C942" s="20"/>
      <c r="D942" s="20"/>
      <c r="E942" s="20"/>
      <c r="F942" s="20"/>
      <c r="G942" s="3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ht="15.75" customHeight="1">
      <c r="A943" s="21"/>
      <c r="B943" s="22"/>
      <c r="C943" s="20"/>
      <c r="D943" s="20"/>
      <c r="E943" s="20"/>
      <c r="F943" s="20"/>
      <c r="G943" s="3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ht="15.75" customHeight="1">
      <c r="A944" s="21"/>
      <c r="B944" s="22"/>
      <c r="C944" s="20"/>
      <c r="D944" s="20"/>
      <c r="E944" s="20"/>
      <c r="F944" s="20"/>
      <c r="G944" s="3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ht="15.75" customHeight="1">
      <c r="A945" s="21"/>
      <c r="B945" s="22"/>
      <c r="C945" s="20"/>
      <c r="D945" s="20"/>
      <c r="E945" s="20"/>
      <c r="F945" s="20"/>
      <c r="G945" s="3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ht="15.75" customHeight="1">
      <c r="A946" s="21"/>
      <c r="B946" s="22"/>
      <c r="C946" s="20"/>
      <c r="D946" s="20"/>
      <c r="E946" s="20"/>
      <c r="F946" s="20"/>
      <c r="G946" s="3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ht="15.75" customHeight="1">
      <c r="A947" s="21"/>
      <c r="B947" s="22"/>
      <c r="C947" s="20"/>
      <c r="D947" s="20"/>
      <c r="E947" s="20"/>
      <c r="F947" s="20"/>
      <c r="G947" s="3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ht="15.75" customHeight="1">
      <c r="A948" s="21"/>
      <c r="B948" s="22"/>
      <c r="C948" s="20"/>
      <c r="D948" s="20"/>
      <c r="E948" s="20"/>
      <c r="F948" s="20"/>
      <c r="G948" s="3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ht="15.75" customHeight="1">
      <c r="A949" s="21"/>
      <c r="B949" s="22"/>
      <c r="C949" s="20"/>
      <c r="D949" s="20"/>
      <c r="E949" s="20"/>
      <c r="F949" s="20"/>
      <c r="G949" s="3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ht="15.75" customHeight="1">
      <c r="A950" s="21"/>
      <c r="B950" s="22"/>
      <c r="C950" s="20"/>
      <c r="D950" s="20"/>
      <c r="E950" s="20"/>
      <c r="F950" s="20"/>
      <c r="G950" s="3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ht="15.75" customHeight="1">
      <c r="A951" s="21"/>
      <c r="B951" s="22"/>
      <c r="C951" s="20"/>
      <c r="D951" s="20"/>
      <c r="E951" s="20"/>
      <c r="F951" s="20"/>
      <c r="G951" s="3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ht="15.75" customHeight="1">
      <c r="A952" s="21"/>
      <c r="B952" s="22"/>
      <c r="C952" s="20"/>
      <c r="D952" s="20"/>
      <c r="E952" s="20"/>
      <c r="F952" s="20"/>
      <c r="G952" s="3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ht="15.75" customHeight="1">
      <c r="A953" s="21"/>
      <c r="B953" s="22"/>
      <c r="C953" s="20"/>
      <c r="D953" s="20"/>
      <c r="E953" s="20"/>
      <c r="F953" s="20"/>
      <c r="G953" s="3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ht="15.75" customHeight="1">
      <c r="A954" s="21"/>
      <c r="B954" s="22"/>
      <c r="C954" s="20"/>
      <c r="D954" s="20"/>
      <c r="E954" s="20"/>
      <c r="F954" s="20"/>
      <c r="G954" s="3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ht="15.75" customHeight="1">
      <c r="A955" s="21"/>
      <c r="B955" s="22"/>
      <c r="C955" s="20"/>
      <c r="D955" s="20"/>
      <c r="E955" s="20"/>
      <c r="F955" s="20"/>
      <c r="G955" s="3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ht="15.75" customHeight="1">
      <c r="A956" s="21"/>
      <c r="B956" s="22"/>
      <c r="C956" s="20"/>
      <c r="D956" s="20"/>
      <c r="E956" s="20"/>
      <c r="F956" s="20"/>
      <c r="G956" s="3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ht="15.75" customHeight="1">
      <c r="A957" s="21"/>
      <c r="B957" s="22"/>
      <c r="C957" s="20"/>
      <c r="D957" s="20"/>
      <c r="E957" s="20"/>
      <c r="F957" s="20"/>
      <c r="G957" s="3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ht="15.75" customHeight="1">
      <c r="A958" s="21"/>
      <c r="B958" s="22"/>
      <c r="C958" s="20"/>
      <c r="D958" s="20"/>
      <c r="E958" s="20"/>
      <c r="F958" s="20"/>
      <c r="G958" s="3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ht="15.75" customHeight="1">
      <c r="A959" s="21"/>
      <c r="B959" s="22"/>
      <c r="C959" s="20"/>
      <c r="D959" s="20"/>
      <c r="E959" s="20"/>
      <c r="F959" s="20"/>
      <c r="G959" s="3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ht="15.75" customHeight="1">
      <c r="A960" s="21"/>
      <c r="B960" s="22"/>
      <c r="C960" s="20"/>
      <c r="D960" s="20"/>
      <c r="E960" s="20"/>
      <c r="F960" s="20"/>
      <c r="G960" s="3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ht="15.75" customHeight="1">
      <c r="A961" s="21"/>
      <c r="B961" s="22"/>
      <c r="C961" s="20"/>
      <c r="D961" s="20"/>
      <c r="E961" s="20"/>
      <c r="F961" s="20"/>
      <c r="G961" s="3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ht="15.75" customHeight="1">
      <c r="A962" s="21"/>
      <c r="B962" s="22"/>
      <c r="C962" s="20"/>
      <c r="D962" s="20"/>
      <c r="E962" s="20"/>
      <c r="F962" s="20"/>
      <c r="G962" s="3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ht="15.75" customHeight="1">
      <c r="A963" s="21"/>
      <c r="B963" s="22"/>
      <c r="C963" s="20"/>
      <c r="D963" s="20"/>
      <c r="E963" s="20"/>
      <c r="F963" s="20"/>
      <c r="G963" s="3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ht="15.75" customHeight="1">
      <c r="A964" s="21"/>
      <c r="B964" s="22"/>
      <c r="C964" s="20"/>
      <c r="D964" s="20"/>
      <c r="E964" s="20"/>
      <c r="F964" s="20"/>
      <c r="G964" s="3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ht="15.75" customHeight="1">
      <c r="A965" s="21"/>
      <c r="B965" s="22"/>
      <c r="C965" s="20"/>
      <c r="D965" s="20"/>
      <c r="E965" s="20"/>
      <c r="F965" s="20"/>
      <c r="G965" s="3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ht="15.75" customHeight="1">
      <c r="A966" s="21"/>
      <c r="B966" s="22"/>
      <c r="C966" s="20"/>
      <c r="D966" s="20"/>
      <c r="E966" s="20"/>
      <c r="F966" s="20"/>
      <c r="G966" s="3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ht="15.75" customHeight="1">
      <c r="A967" s="21"/>
      <c r="B967" s="22"/>
      <c r="C967" s="20"/>
      <c r="D967" s="20"/>
      <c r="E967" s="20"/>
      <c r="F967" s="20"/>
      <c r="G967" s="3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ht="15.75" customHeight="1">
      <c r="A968" s="21"/>
      <c r="B968" s="22"/>
      <c r="C968" s="20"/>
      <c r="D968" s="20"/>
      <c r="E968" s="20"/>
      <c r="F968" s="20"/>
      <c r="G968" s="3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ht="15.75" customHeight="1">
      <c r="A969" s="21"/>
      <c r="B969" s="22"/>
      <c r="C969" s="20"/>
      <c r="D969" s="20"/>
      <c r="E969" s="20"/>
      <c r="F969" s="20"/>
      <c r="G969" s="3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ht="15.75" customHeight="1">
      <c r="A970" s="21"/>
      <c r="B970" s="22"/>
      <c r="C970" s="20"/>
      <c r="D970" s="20"/>
      <c r="E970" s="20"/>
      <c r="F970" s="20"/>
      <c r="G970" s="3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ht="15.75" customHeight="1">
      <c r="A971" s="21"/>
      <c r="B971" s="22"/>
      <c r="C971" s="20"/>
      <c r="D971" s="20"/>
      <c r="E971" s="20"/>
      <c r="F971" s="20"/>
      <c r="G971" s="3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ht="15.75" customHeight="1">
      <c r="A972" s="21"/>
      <c r="B972" s="22"/>
      <c r="C972" s="20"/>
      <c r="D972" s="20"/>
      <c r="E972" s="20"/>
      <c r="F972" s="20"/>
      <c r="G972" s="3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ht="15.75" customHeight="1">
      <c r="A973" s="21"/>
      <c r="B973" s="22"/>
      <c r="C973" s="20"/>
      <c r="D973" s="20"/>
      <c r="E973" s="20"/>
      <c r="F973" s="20"/>
      <c r="G973" s="3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ht="15.75" customHeight="1">
      <c r="A974" s="21"/>
      <c r="B974" s="22"/>
      <c r="C974" s="20"/>
      <c r="D974" s="20"/>
      <c r="E974" s="20"/>
      <c r="F974" s="20"/>
      <c r="G974" s="3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ht="15.75" customHeight="1">
      <c r="A975" s="21"/>
      <c r="B975" s="22"/>
      <c r="C975" s="20"/>
      <c r="D975" s="20"/>
      <c r="E975" s="20"/>
      <c r="F975" s="20"/>
      <c r="G975" s="3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ht="15.75" customHeight="1">
      <c r="A976" s="21"/>
      <c r="B976" s="22"/>
      <c r="C976" s="20"/>
      <c r="D976" s="20"/>
      <c r="E976" s="20"/>
      <c r="F976" s="20"/>
      <c r="G976" s="3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ht="15.75" customHeight="1">
      <c r="A977" s="21"/>
      <c r="B977" s="22"/>
      <c r="C977" s="20"/>
      <c r="D977" s="20"/>
      <c r="E977" s="20"/>
      <c r="F977" s="20"/>
      <c r="G977" s="3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ht="15.75" customHeight="1">
      <c r="A978" s="21"/>
      <c r="B978" s="22"/>
      <c r="C978" s="20"/>
      <c r="D978" s="20"/>
      <c r="E978" s="20"/>
      <c r="F978" s="20"/>
      <c r="G978" s="3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ht="15.75" customHeight="1">
      <c r="A979" s="21"/>
      <c r="B979" s="22"/>
      <c r="C979" s="20"/>
      <c r="D979" s="20"/>
      <c r="E979" s="20"/>
      <c r="F979" s="20"/>
      <c r="G979" s="3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ht="15.75" customHeight="1">
      <c r="A980" s="21"/>
      <c r="B980" s="22"/>
      <c r="C980" s="20"/>
      <c r="D980" s="20"/>
      <c r="E980" s="20"/>
      <c r="F980" s="20"/>
      <c r="G980" s="3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ht="15.75" customHeight="1">
      <c r="A981" s="21"/>
      <c r="B981" s="22"/>
      <c r="C981" s="20"/>
      <c r="D981" s="20"/>
      <c r="E981" s="20"/>
      <c r="F981" s="20"/>
      <c r="G981" s="3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ht="15.75" customHeight="1">
      <c r="A982" s="21"/>
      <c r="B982" s="22"/>
      <c r="C982" s="20"/>
      <c r="D982" s="20"/>
      <c r="E982" s="20"/>
      <c r="F982" s="20"/>
      <c r="G982" s="3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ht="15.75" customHeight="1">
      <c r="A983" s="21"/>
      <c r="B983" s="22"/>
      <c r="C983" s="20"/>
      <c r="D983" s="20"/>
      <c r="E983" s="20"/>
      <c r="F983" s="20"/>
      <c r="G983" s="3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ht="15.75" customHeight="1">
      <c r="A984" s="21"/>
      <c r="B984" s="22"/>
      <c r="C984" s="20"/>
      <c r="D984" s="20"/>
      <c r="E984" s="20"/>
      <c r="F984" s="20"/>
      <c r="G984" s="3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ht="15.75" customHeight="1">
      <c r="A985" s="21"/>
      <c r="B985" s="22"/>
      <c r="C985" s="20"/>
      <c r="D985" s="20"/>
      <c r="E985" s="20"/>
      <c r="F985" s="20"/>
      <c r="G985" s="3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ht="15.75" customHeight="1">
      <c r="A986" s="21"/>
      <c r="B986" s="22"/>
      <c r="C986" s="20"/>
      <c r="D986" s="20"/>
      <c r="E986" s="20"/>
      <c r="F986" s="20"/>
      <c r="G986" s="3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ht="15.75" customHeight="1">
      <c r="A987" s="21"/>
      <c r="B987" s="22"/>
      <c r="C987" s="20"/>
      <c r="D987" s="20"/>
      <c r="E987" s="20"/>
      <c r="F987" s="20"/>
      <c r="G987" s="3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ht="15.75" customHeight="1">
      <c r="A988" s="21"/>
      <c r="B988" s="22"/>
      <c r="C988" s="20"/>
      <c r="D988" s="20"/>
      <c r="E988" s="20"/>
      <c r="F988" s="20"/>
      <c r="G988" s="3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ht="15.75" customHeight="1">
      <c r="A989" s="21"/>
      <c r="B989" s="22"/>
      <c r="C989" s="20"/>
      <c r="D989" s="20"/>
      <c r="E989" s="20"/>
      <c r="F989" s="20"/>
      <c r="G989" s="3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ht="15.75" customHeight="1">
      <c r="A990" s="21"/>
      <c r="B990" s="22"/>
      <c r="C990" s="20"/>
      <c r="D990" s="20"/>
      <c r="E990" s="20"/>
      <c r="F990" s="20"/>
      <c r="G990" s="3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ht="15.75" customHeight="1">
      <c r="A991" s="21"/>
      <c r="B991" s="22"/>
      <c r="C991" s="20"/>
      <c r="D991" s="20"/>
      <c r="E991" s="20"/>
      <c r="F991" s="20"/>
      <c r="G991" s="3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ht="15.75" customHeight="1">
      <c r="A992" s="21"/>
      <c r="B992" s="22"/>
      <c r="C992" s="20"/>
      <c r="D992" s="20"/>
      <c r="E992" s="20"/>
      <c r="F992" s="20"/>
      <c r="G992" s="3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ht="15.75" customHeight="1">
      <c r="A993" s="21"/>
      <c r="B993" s="22"/>
      <c r="C993" s="20"/>
      <c r="D993" s="20"/>
      <c r="E993" s="20"/>
      <c r="F993" s="20"/>
      <c r="G993" s="3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ht="15.75" customHeight="1">
      <c r="A994" s="21"/>
      <c r="B994" s="22"/>
      <c r="C994" s="20"/>
      <c r="D994" s="20"/>
      <c r="E994" s="20"/>
      <c r="F994" s="20"/>
      <c r="G994" s="3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ht="15.75" customHeight="1">
      <c r="A995" s="21"/>
      <c r="B995" s="22"/>
      <c r="C995" s="20"/>
      <c r="D995" s="20"/>
      <c r="E995" s="20"/>
      <c r="F995" s="20"/>
      <c r="G995" s="3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ht="15.75" customHeight="1">
      <c r="A996" s="21"/>
      <c r="B996" s="22"/>
      <c r="C996" s="20"/>
      <c r="D996" s="20"/>
      <c r="E996" s="20"/>
      <c r="F996" s="20"/>
      <c r="G996" s="3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ht="15.75" customHeight="1">
      <c r="A997" s="21"/>
      <c r="B997" s="22"/>
      <c r="C997" s="20"/>
      <c r="D997" s="20"/>
      <c r="E997" s="20"/>
      <c r="F997" s="20"/>
      <c r="G997" s="3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ht="15.75" customHeight="1">
      <c r="A998" s="21"/>
      <c r="B998" s="22"/>
      <c r="C998" s="20"/>
      <c r="D998" s="20"/>
      <c r="E998" s="20"/>
      <c r="F998" s="20"/>
      <c r="G998" s="3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ht="15.75" customHeight="1">
      <c r="A999" s="21"/>
      <c r="B999" s="22"/>
      <c r="C999" s="20"/>
      <c r="D999" s="20"/>
      <c r="E999" s="20"/>
      <c r="F999" s="20"/>
      <c r="G999" s="3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ht="15.75" customHeight="1">
      <c r="A1000" s="21"/>
      <c r="B1000" s="22"/>
      <c r="C1000" s="20"/>
      <c r="D1000" s="20"/>
      <c r="E1000" s="20"/>
      <c r="F1000" s="20"/>
      <c r="G1000" s="35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spans="1:20" ht="15.75" customHeight="1">
      <c r="A1001" s="21"/>
      <c r="B1001" s="22"/>
      <c r="C1001" s="20"/>
      <c r="D1001" s="20"/>
      <c r="E1001" s="20"/>
      <c r="F1001" s="20"/>
      <c r="G1001" s="35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spans="1:20" ht="15.75" customHeight="1">
      <c r="A1002" s="21"/>
      <c r="B1002" s="22"/>
      <c r="C1002" s="20"/>
      <c r="D1002" s="20"/>
      <c r="E1002" s="20"/>
      <c r="F1002" s="20"/>
      <c r="G1002" s="35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spans="1:20" ht="15.75" customHeight="1">
      <c r="A1003" s="21"/>
      <c r="B1003" s="22"/>
      <c r="C1003" s="20"/>
      <c r="D1003" s="20"/>
      <c r="E1003" s="20"/>
      <c r="F1003" s="20"/>
      <c r="G1003" s="35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spans="1:20" ht="15.75" customHeight="1">
      <c r="A1004" s="21"/>
      <c r="B1004" s="22"/>
      <c r="C1004" s="20"/>
      <c r="D1004" s="20"/>
      <c r="E1004" s="20"/>
      <c r="F1004" s="20"/>
      <c r="G1004" s="35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spans="1:20" ht="15.75" customHeight="1">
      <c r="A1005" s="21"/>
      <c r="B1005" s="22"/>
      <c r="C1005" s="20"/>
      <c r="D1005" s="20"/>
      <c r="E1005" s="20"/>
      <c r="F1005" s="20"/>
      <c r="G1005" s="35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 spans="1:20" ht="15.75" customHeight="1">
      <c r="A1006" s="21"/>
      <c r="B1006" s="22"/>
      <c r="C1006" s="20"/>
      <c r="D1006" s="20"/>
      <c r="E1006" s="20"/>
      <c r="F1006" s="20"/>
      <c r="G1006" s="35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 spans="1:20" ht="15.75" customHeight="1">
      <c r="A1007" s="21"/>
      <c r="B1007" s="22"/>
      <c r="C1007" s="20"/>
      <c r="D1007" s="20"/>
      <c r="E1007" s="20"/>
      <c r="F1007" s="20"/>
      <c r="G1007" s="35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 spans="1:20" ht="15.75" customHeight="1">
      <c r="A1008" s="21"/>
      <c r="B1008" s="22"/>
      <c r="C1008" s="20"/>
      <c r="D1008" s="20"/>
      <c r="E1008" s="20"/>
      <c r="F1008" s="20"/>
      <c r="G1008" s="35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 spans="1:20" ht="15.75" customHeight="1">
      <c r="A1009" s="21"/>
      <c r="B1009" s="22"/>
      <c r="C1009" s="20"/>
      <c r="D1009" s="20"/>
      <c r="E1009" s="20"/>
      <c r="F1009" s="20"/>
      <c r="G1009" s="35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 spans="1:20" ht="15.75" customHeight="1">
      <c r="A1010" s="21"/>
      <c r="B1010" s="22"/>
      <c r="C1010" s="20"/>
      <c r="D1010" s="20"/>
      <c r="E1010" s="20"/>
      <c r="F1010" s="20"/>
      <c r="G1010" s="35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 spans="1:20" ht="15.75" customHeight="1">
      <c r="A1011" s="21"/>
      <c r="B1011" s="22"/>
      <c r="C1011" s="20"/>
      <c r="D1011" s="20"/>
      <c r="E1011" s="20"/>
      <c r="F1011" s="20"/>
      <c r="G1011" s="35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 spans="1:20" ht="15.75" customHeight="1">
      <c r="A1012" s="21"/>
      <c r="B1012" s="22"/>
      <c r="C1012" s="20"/>
      <c r="D1012" s="20"/>
      <c r="E1012" s="20"/>
      <c r="F1012" s="20"/>
      <c r="G1012" s="35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 spans="1:20" ht="15.75" customHeight="1">
      <c r="A1013" s="21"/>
      <c r="B1013" s="22"/>
      <c r="C1013" s="20"/>
      <c r="D1013" s="20"/>
      <c r="E1013" s="20"/>
      <c r="F1013" s="20"/>
      <c r="G1013" s="35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 spans="1:20" ht="15.75" customHeight="1">
      <c r="A1014" s="21"/>
      <c r="B1014" s="22"/>
      <c r="C1014" s="20"/>
      <c r="D1014" s="20"/>
      <c r="E1014" s="20"/>
      <c r="F1014" s="20"/>
      <c r="G1014" s="35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 spans="1:20" ht="15.75" customHeight="1">
      <c r="A1015" s="21"/>
      <c r="B1015" s="22"/>
      <c r="C1015" s="20"/>
      <c r="D1015" s="20"/>
      <c r="E1015" s="20"/>
      <c r="F1015" s="20"/>
      <c r="G1015" s="35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 spans="1:20" ht="15.75" customHeight="1">
      <c r="A1016" s="21"/>
      <c r="B1016" s="22"/>
      <c r="C1016" s="20"/>
      <c r="D1016" s="20"/>
      <c r="E1016" s="20"/>
      <c r="F1016" s="20"/>
      <c r="G1016" s="35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 spans="1:20" ht="15.75" customHeight="1">
      <c r="A1017" s="21"/>
      <c r="B1017" s="22"/>
      <c r="C1017" s="20"/>
      <c r="D1017" s="20"/>
      <c r="E1017" s="20"/>
      <c r="F1017" s="20"/>
      <c r="G1017" s="35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 spans="1:20" ht="15.75" customHeight="1">
      <c r="A1018" s="21"/>
      <c r="B1018" s="22"/>
      <c r="C1018" s="20"/>
      <c r="D1018" s="20"/>
      <c r="E1018" s="20"/>
      <c r="F1018" s="20"/>
      <c r="G1018" s="35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 spans="1:20" ht="15.75" customHeight="1">
      <c r="A1019" s="21"/>
      <c r="B1019" s="22"/>
      <c r="C1019" s="20"/>
      <c r="D1019" s="20"/>
      <c r="E1019" s="20"/>
      <c r="F1019" s="20"/>
      <c r="G1019" s="35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 spans="1:20" ht="15.75" customHeight="1">
      <c r="A1020" s="21"/>
      <c r="B1020" s="22"/>
      <c r="C1020" s="20"/>
      <c r="D1020" s="20"/>
      <c r="E1020" s="20"/>
      <c r="F1020" s="20"/>
      <c r="G1020" s="35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 spans="1:20" ht="15.75" customHeight="1">
      <c r="A1021" s="21"/>
      <c r="B1021" s="22"/>
      <c r="C1021" s="20"/>
      <c r="D1021" s="20"/>
      <c r="E1021" s="20"/>
      <c r="F1021" s="20"/>
      <c r="G1021" s="35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 spans="1:20" ht="15.75" customHeight="1">
      <c r="A1022" s="21"/>
      <c r="B1022" s="22"/>
      <c r="C1022" s="20"/>
      <c r="D1022" s="20"/>
      <c r="E1022" s="20"/>
      <c r="F1022" s="20"/>
      <c r="G1022" s="35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 spans="1:20" ht="15.75" customHeight="1">
      <c r="A1023" s="21"/>
      <c r="B1023" s="22"/>
      <c r="C1023" s="20"/>
      <c r="D1023" s="20"/>
      <c r="E1023" s="20"/>
      <c r="F1023" s="20"/>
      <c r="G1023" s="35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 spans="1:20" ht="15.75" customHeight="1">
      <c r="A1024" s="21"/>
      <c r="B1024" s="22"/>
      <c r="C1024" s="20"/>
      <c r="D1024" s="20"/>
      <c r="E1024" s="20"/>
      <c r="F1024" s="20"/>
      <c r="G1024" s="35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 spans="1:20" ht="15.75" customHeight="1">
      <c r="A1025" s="21"/>
      <c r="B1025" s="22"/>
      <c r="C1025" s="20"/>
      <c r="D1025" s="20"/>
      <c r="E1025" s="20"/>
      <c r="F1025" s="20"/>
      <c r="G1025" s="35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 spans="1:20" ht="15.75" customHeight="1">
      <c r="A1026" s="21"/>
      <c r="B1026" s="22"/>
      <c r="C1026" s="20"/>
      <c r="D1026" s="20"/>
      <c r="E1026" s="20"/>
      <c r="F1026" s="20"/>
      <c r="G1026" s="35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 spans="1:20" ht="15.75" customHeight="1">
      <c r="A1027" s="21"/>
      <c r="B1027" s="22"/>
      <c r="C1027" s="20"/>
      <c r="D1027" s="20"/>
      <c r="E1027" s="20"/>
      <c r="F1027" s="20"/>
      <c r="G1027" s="35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 spans="1:20" ht="15.75" customHeight="1">
      <c r="A1028" s="21"/>
      <c r="B1028" s="22"/>
      <c r="C1028" s="20"/>
      <c r="D1028" s="20"/>
      <c r="E1028" s="20"/>
      <c r="F1028" s="20"/>
      <c r="G1028" s="35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 spans="1:20" ht="15.75" customHeight="1">
      <c r="A1029" s="21"/>
      <c r="B1029" s="22"/>
      <c r="C1029" s="20"/>
      <c r="D1029" s="20"/>
      <c r="E1029" s="20"/>
      <c r="F1029" s="20"/>
      <c r="G1029" s="35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 spans="1:20" ht="15.75" customHeight="1">
      <c r="A1030" s="21"/>
      <c r="B1030" s="22"/>
      <c r="C1030" s="20"/>
      <c r="D1030" s="20"/>
      <c r="E1030" s="20"/>
      <c r="F1030" s="20"/>
      <c r="G1030" s="35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 spans="1:20" ht="15.75" customHeight="1">
      <c r="A1031" s="21"/>
      <c r="B1031" s="22"/>
      <c r="C1031" s="20"/>
      <c r="D1031" s="20"/>
      <c r="E1031" s="20"/>
      <c r="F1031" s="20"/>
      <c r="G1031" s="35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 spans="1:20" ht="15.75" customHeight="1">
      <c r="A1032" s="21"/>
      <c r="B1032" s="22"/>
      <c r="C1032" s="20"/>
      <c r="D1032" s="20"/>
      <c r="E1032" s="20"/>
      <c r="F1032" s="20"/>
      <c r="G1032" s="35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 spans="1:20" ht="15.75" customHeight="1">
      <c r="A1033" s="21"/>
      <c r="B1033" s="22"/>
      <c r="C1033" s="20"/>
      <c r="D1033" s="20"/>
      <c r="E1033" s="20"/>
      <c r="F1033" s="20"/>
      <c r="G1033" s="35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 spans="1:20" ht="15.75" customHeight="1">
      <c r="A1034" s="21"/>
      <c r="B1034" s="22"/>
      <c r="C1034" s="20"/>
      <c r="D1034" s="20"/>
      <c r="E1034" s="20"/>
      <c r="F1034" s="20"/>
      <c r="G1034" s="35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 spans="1:20" ht="15.75" customHeight="1">
      <c r="A1035" s="21"/>
      <c r="B1035" s="22"/>
      <c r="C1035" s="20"/>
      <c r="D1035" s="20"/>
      <c r="E1035" s="20"/>
      <c r="F1035" s="20"/>
      <c r="G1035" s="35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 spans="1:20" ht="15.75" customHeight="1">
      <c r="A1036" s="21"/>
      <c r="B1036" s="22"/>
      <c r="C1036" s="20"/>
      <c r="D1036" s="20"/>
      <c r="E1036" s="20"/>
      <c r="F1036" s="20"/>
      <c r="G1036" s="35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 spans="1:20" ht="15.75" customHeight="1">
      <c r="A1037" s="21"/>
      <c r="B1037" s="22"/>
      <c r="C1037" s="20"/>
      <c r="D1037" s="20"/>
      <c r="E1037" s="20"/>
      <c r="F1037" s="20"/>
      <c r="G1037" s="35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 spans="1:20" ht="15.75" customHeight="1">
      <c r="A1038" s="21"/>
      <c r="B1038" s="22"/>
      <c r="C1038" s="20"/>
      <c r="D1038" s="20"/>
      <c r="E1038" s="20"/>
      <c r="F1038" s="20"/>
      <c r="G1038" s="35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 spans="1:20" ht="15.75" customHeight="1">
      <c r="A1039" s="21"/>
      <c r="B1039" s="22"/>
      <c r="C1039" s="20"/>
      <c r="D1039" s="20"/>
      <c r="E1039" s="20"/>
      <c r="F1039" s="20"/>
      <c r="G1039" s="35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 spans="1:20" ht="15.75" customHeight="1">
      <c r="A1040" s="21"/>
      <c r="B1040" s="22"/>
      <c r="C1040" s="20"/>
      <c r="D1040" s="20"/>
      <c r="E1040" s="20"/>
      <c r="F1040" s="20"/>
      <c r="G1040" s="35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 spans="1:20" ht="15.75" customHeight="1">
      <c r="A1041" s="21"/>
      <c r="B1041" s="22"/>
      <c r="C1041" s="20"/>
      <c r="D1041" s="20"/>
      <c r="E1041" s="20"/>
      <c r="F1041" s="20"/>
      <c r="G1041" s="35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 spans="1:20" ht="15.75" customHeight="1">
      <c r="A1042" s="21"/>
      <c r="B1042" s="22"/>
      <c r="C1042" s="20"/>
      <c r="D1042" s="20"/>
      <c r="E1042" s="20"/>
      <c r="F1042" s="20"/>
      <c r="G1042" s="35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 spans="1:20" ht="15.75" customHeight="1">
      <c r="A1043" s="21"/>
      <c r="B1043" s="22"/>
      <c r="C1043" s="20"/>
      <c r="D1043" s="20"/>
      <c r="E1043" s="20"/>
      <c r="F1043" s="20"/>
      <c r="G1043" s="35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 spans="1:20" ht="15.75" customHeight="1">
      <c r="A1044" s="21"/>
      <c r="B1044" s="22"/>
      <c r="C1044" s="20"/>
      <c r="D1044" s="20"/>
      <c r="E1044" s="20"/>
      <c r="F1044" s="20"/>
      <c r="G1044" s="35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 spans="1:20" ht="15.75" customHeight="1">
      <c r="A1045" s="21"/>
      <c r="B1045" s="22"/>
      <c r="C1045" s="20"/>
      <c r="D1045" s="20"/>
      <c r="E1045" s="20"/>
      <c r="F1045" s="20"/>
      <c r="G1045" s="35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 spans="1:20" ht="15.75" customHeight="1">
      <c r="A1046" s="21"/>
      <c r="B1046" s="22"/>
      <c r="C1046" s="20"/>
      <c r="D1046" s="20"/>
      <c r="E1046" s="20"/>
      <c r="F1046" s="20"/>
      <c r="G1046" s="35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 spans="1:20" ht="15.75" customHeight="1">
      <c r="A1047" s="21"/>
      <c r="B1047" s="22"/>
      <c r="C1047" s="20"/>
      <c r="D1047" s="20"/>
      <c r="E1047" s="20"/>
      <c r="F1047" s="20"/>
      <c r="G1047" s="35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 spans="1:20" ht="15.75" customHeight="1">
      <c r="A1048" s="21"/>
      <c r="B1048" s="22"/>
      <c r="C1048" s="20"/>
      <c r="D1048" s="20"/>
      <c r="E1048" s="20"/>
      <c r="F1048" s="20"/>
      <c r="G1048" s="35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 spans="1:20" ht="15.75" customHeight="1">
      <c r="A1049" s="21"/>
      <c r="B1049" s="22"/>
      <c r="C1049" s="20"/>
      <c r="D1049" s="20"/>
      <c r="E1049" s="20"/>
      <c r="F1049" s="20"/>
      <c r="G1049" s="35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 spans="1:20" ht="15.75" customHeight="1">
      <c r="A1050" s="21"/>
      <c r="B1050" s="22"/>
      <c r="C1050" s="20"/>
      <c r="D1050" s="20"/>
      <c r="E1050" s="20"/>
      <c r="F1050" s="20"/>
      <c r="G1050" s="35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 spans="1:20" ht="15.75" customHeight="1">
      <c r="A1051" s="21"/>
      <c r="B1051" s="22"/>
      <c r="C1051" s="20"/>
      <c r="D1051" s="20"/>
      <c r="E1051" s="20"/>
      <c r="F1051" s="20"/>
      <c r="G1051" s="35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 spans="1:20" ht="15.75" customHeight="1">
      <c r="A1052" s="21"/>
      <c r="B1052" s="22"/>
      <c r="C1052" s="20"/>
      <c r="D1052" s="20"/>
      <c r="E1052" s="20"/>
      <c r="F1052" s="20"/>
      <c r="G1052" s="35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 spans="1:20" ht="15.75" customHeight="1">
      <c r="A1053" s="21"/>
      <c r="B1053" s="22"/>
      <c r="C1053" s="20"/>
      <c r="D1053" s="20"/>
      <c r="E1053" s="20"/>
      <c r="F1053" s="20"/>
      <c r="G1053" s="35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 spans="1:20" ht="15.75" customHeight="1">
      <c r="A1054" s="21"/>
      <c r="B1054" s="22"/>
      <c r="C1054" s="20"/>
      <c r="D1054" s="20"/>
      <c r="E1054" s="20"/>
      <c r="F1054" s="20"/>
      <c r="G1054" s="35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 spans="1:20" ht="15.75" customHeight="1">
      <c r="A1055" s="21"/>
      <c r="B1055" s="22"/>
      <c r="C1055" s="20"/>
      <c r="D1055" s="20"/>
      <c r="E1055" s="20"/>
      <c r="F1055" s="20"/>
      <c r="G1055" s="35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 spans="1:20" ht="15.75" customHeight="1">
      <c r="A1056" s="21"/>
      <c r="B1056" s="22"/>
      <c r="C1056" s="20"/>
      <c r="D1056" s="20"/>
      <c r="E1056" s="20"/>
      <c r="F1056" s="20"/>
      <c r="G1056" s="35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 spans="1:20" ht="15.75" customHeight="1">
      <c r="A1057" s="21"/>
      <c r="B1057" s="22"/>
      <c r="C1057" s="20"/>
      <c r="D1057" s="20"/>
      <c r="E1057" s="20"/>
      <c r="F1057" s="20"/>
      <c r="G1057" s="35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 spans="1:20" ht="15.75" customHeight="1">
      <c r="A1058" s="21"/>
      <c r="B1058" s="22"/>
      <c r="C1058" s="20"/>
      <c r="D1058" s="20"/>
      <c r="E1058" s="20"/>
      <c r="F1058" s="20"/>
      <c r="G1058" s="35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 spans="1:20" ht="15.75" customHeight="1">
      <c r="A1059" s="21"/>
      <c r="B1059" s="22"/>
      <c r="C1059" s="20"/>
      <c r="D1059" s="20"/>
      <c r="E1059" s="20"/>
      <c r="F1059" s="20"/>
      <c r="G1059" s="35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 spans="1:20" ht="15.75" customHeight="1">
      <c r="A1060" s="21"/>
      <c r="B1060" s="22"/>
      <c r="C1060" s="20"/>
      <c r="D1060" s="20"/>
      <c r="E1060" s="20"/>
      <c r="F1060" s="20"/>
      <c r="G1060" s="35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 spans="1:20" ht="15.75" customHeight="1">
      <c r="A1061" s="21"/>
      <c r="B1061" s="22"/>
      <c r="C1061" s="20"/>
      <c r="D1061" s="20"/>
      <c r="E1061" s="20"/>
      <c r="F1061" s="20"/>
      <c r="G1061" s="35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 spans="1:20" ht="15.75" customHeight="1">
      <c r="A1062" s="21"/>
      <c r="B1062" s="22"/>
      <c r="C1062" s="20"/>
      <c r="D1062" s="20"/>
      <c r="E1062" s="20"/>
      <c r="F1062" s="20"/>
      <c r="G1062" s="35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 spans="1:20" ht="15.75" customHeight="1">
      <c r="A1063" s="21"/>
      <c r="B1063" s="22"/>
      <c r="C1063" s="20"/>
      <c r="D1063" s="20"/>
      <c r="E1063" s="20"/>
      <c r="F1063" s="20"/>
      <c r="G1063" s="35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 spans="1:20" ht="15.75" customHeight="1">
      <c r="A1064" s="21"/>
      <c r="B1064" s="22"/>
      <c r="C1064" s="20"/>
      <c r="D1064" s="20"/>
      <c r="E1064" s="20"/>
      <c r="F1064" s="20"/>
      <c r="G1064" s="35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 spans="1:20" ht="15.75" customHeight="1">
      <c r="A1065" s="21"/>
      <c r="B1065" s="22"/>
      <c r="C1065" s="20"/>
      <c r="D1065" s="20"/>
      <c r="E1065" s="20"/>
      <c r="F1065" s="20"/>
      <c r="G1065" s="35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 spans="1:20" ht="15.75" customHeight="1">
      <c r="A1066" s="21"/>
      <c r="B1066" s="22"/>
      <c r="C1066" s="20"/>
      <c r="D1066" s="20"/>
      <c r="E1066" s="20"/>
      <c r="F1066" s="20"/>
      <c r="G1066" s="35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 spans="1:20" ht="15.75" customHeight="1">
      <c r="A1067" s="21"/>
      <c r="B1067" s="22"/>
      <c r="C1067" s="20"/>
      <c r="D1067" s="20"/>
      <c r="E1067" s="20"/>
      <c r="F1067" s="20"/>
      <c r="G1067" s="35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 spans="1:20" ht="15.75" customHeight="1">
      <c r="A1068" s="21"/>
      <c r="B1068" s="22"/>
      <c r="C1068" s="20"/>
      <c r="D1068" s="20"/>
      <c r="E1068" s="20"/>
      <c r="F1068" s="20"/>
      <c r="G1068" s="35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 spans="1:20" ht="15.75" customHeight="1">
      <c r="A1069" s="21"/>
      <c r="B1069" s="22"/>
      <c r="C1069" s="20"/>
      <c r="D1069" s="20"/>
      <c r="E1069" s="20"/>
      <c r="F1069" s="20"/>
      <c r="G1069" s="35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 spans="1:20" ht="15.75" customHeight="1">
      <c r="A1070" s="21"/>
      <c r="B1070" s="22"/>
      <c r="C1070" s="20"/>
      <c r="D1070" s="20"/>
      <c r="E1070" s="20"/>
      <c r="F1070" s="20"/>
      <c r="G1070" s="35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 spans="1:20" ht="15.75" customHeight="1">
      <c r="A1071" s="21"/>
      <c r="B1071" s="22"/>
      <c r="C1071" s="20"/>
      <c r="D1071" s="20"/>
      <c r="E1071" s="20"/>
      <c r="F1071" s="20"/>
      <c r="G1071" s="35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 spans="1:20" ht="15.75" customHeight="1">
      <c r="A1072" s="21"/>
      <c r="B1072" s="22"/>
      <c r="C1072" s="20"/>
      <c r="D1072" s="20"/>
      <c r="E1072" s="20"/>
      <c r="F1072" s="20"/>
      <c r="G1072" s="35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  <row r="1073" spans="1:20" ht="15.75" customHeight="1">
      <c r="A1073" s="21"/>
      <c r="B1073" s="22"/>
      <c r="C1073" s="20"/>
      <c r="D1073" s="20"/>
      <c r="E1073" s="20"/>
      <c r="F1073" s="20"/>
      <c r="G1073" s="35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</row>
    <row r="1074" spans="1:20" ht="15.75" customHeight="1">
      <c r="A1074" s="21"/>
      <c r="B1074" s="22"/>
      <c r="C1074" s="20"/>
      <c r="D1074" s="20"/>
      <c r="E1074" s="20"/>
      <c r="F1074" s="20"/>
      <c r="G1074" s="35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</row>
    <row r="1075" spans="1:20" ht="15.75" customHeight="1">
      <c r="A1075" s="21"/>
      <c r="B1075" s="22"/>
      <c r="C1075" s="20"/>
      <c r="D1075" s="20"/>
      <c r="E1075" s="20"/>
      <c r="F1075" s="20"/>
      <c r="G1075" s="35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</row>
    <row r="1076" spans="1:20" ht="15.75" customHeight="1">
      <c r="A1076" s="21"/>
      <c r="B1076" s="22"/>
      <c r="C1076" s="20"/>
      <c r="D1076" s="20"/>
      <c r="E1076" s="20"/>
      <c r="F1076" s="20"/>
      <c r="G1076" s="35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</row>
    <row r="1077" spans="1:20" ht="15.75" customHeight="1">
      <c r="A1077" s="21"/>
      <c r="B1077" s="22"/>
      <c r="C1077" s="20"/>
      <c r="D1077" s="20"/>
      <c r="E1077" s="20"/>
      <c r="F1077" s="20"/>
      <c r="G1077" s="35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</row>
    <row r="1078" spans="1:20" ht="15.75" customHeight="1">
      <c r="A1078" s="21"/>
      <c r="B1078" s="22"/>
      <c r="C1078" s="20"/>
      <c r="D1078" s="20"/>
      <c r="E1078" s="20"/>
      <c r="F1078" s="20"/>
      <c r="G1078" s="35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</row>
    <row r="1079" spans="1:20" ht="15.75" customHeight="1">
      <c r="A1079" s="21"/>
      <c r="B1079" s="22"/>
      <c r="C1079" s="20"/>
      <c r="D1079" s="20"/>
      <c r="E1079" s="20"/>
      <c r="F1079" s="20"/>
      <c r="G1079" s="35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</row>
    <row r="1080" spans="1:20" ht="15.75" customHeight="1">
      <c r="A1080" s="21"/>
      <c r="B1080" s="22"/>
      <c r="C1080" s="20"/>
      <c r="D1080" s="20"/>
      <c r="E1080" s="20"/>
      <c r="F1080" s="20"/>
      <c r="G1080" s="35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</row>
    <row r="1081" spans="1:20" ht="15.75" customHeight="1">
      <c r="A1081" s="21"/>
      <c r="B1081" s="22"/>
      <c r="C1081" s="20"/>
      <c r="D1081" s="20"/>
      <c r="E1081" s="20"/>
      <c r="F1081" s="20"/>
      <c r="G1081" s="35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</row>
    <row r="1082" spans="1:20" ht="15.75" customHeight="1">
      <c r="A1082" s="21"/>
      <c r="B1082" s="22"/>
      <c r="C1082" s="20"/>
      <c r="D1082" s="20"/>
      <c r="E1082" s="20"/>
      <c r="F1082" s="20"/>
      <c r="G1082" s="35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</row>
    <row r="1083" spans="1:20" ht="15.75" customHeight="1">
      <c r="A1083" s="21"/>
      <c r="B1083" s="22"/>
      <c r="C1083" s="20"/>
      <c r="D1083" s="20"/>
      <c r="E1083" s="20"/>
      <c r="F1083" s="20"/>
      <c r="G1083" s="35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</row>
    <row r="1084" spans="1:20" ht="15.75" customHeight="1">
      <c r="A1084" s="21"/>
      <c r="B1084" s="22"/>
      <c r="C1084" s="20"/>
      <c r="D1084" s="20"/>
      <c r="E1084" s="20"/>
      <c r="F1084" s="20"/>
      <c r="G1084" s="35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</row>
    <row r="1085" spans="1:20" ht="15.75" customHeight="1">
      <c r="A1085" s="21"/>
      <c r="B1085" s="22"/>
      <c r="C1085" s="20"/>
      <c r="D1085" s="20"/>
      <c r="E1085" s="20"/>
      <c r="F1085" s="20"/>
      <c r="G1085" s="35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</row>
    <row r="1086" spans="1:20" ht="15.75" customHeight="1">
      <c r="A1086" s="21"/>
      <c r="B1086" s="22"/>
      <c r="C1086" s="20"/>
      <c r="D1086" s="20"/>
      <c r="E1086" s="20"/>
      <c r="F1086" s="20"/>
      <c r="G1086" s="35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</row>
    <row r="1087" spans="1:20" ht="15.75" customHeight="1">
      <c r="A1087" s="21"/>
      <c r="B1087" s="22"/>
      <c r="C1087" s="20"/>
      <c r="D1087" s="20"/>
      <c r="E1087" s="20"/>
      <c r="F1087" s="20"/>
      <c r="G1087" s="35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</row>
    <row r="1088" spans="1:20" ht="15.75" customHeight="1">
      <c r="A1088" s="21"/>
      <c r="B1088" s="22"/>
      <c r="C1088" s="20"/>
      <c r="D1088" s="20"/>
      <c r="E1088" s="20"/>
      <c r="F1088" s="20"/>
      <c r="G1088" s="35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</row>
    <row r="1089" spans="1:20" ht="15.75" customHeight="1">
      <c r="A1089" s="21"/>
      <c r="B1089" s="22"/>
      <c r="C1089" s="20"/>
      <c r="D1089" s="20"/>
      <c r="E1089" s="20"/>
      <c r="F1089" s="20"/>
      <c r="G1089" s="35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</row>
    <row r="1090" spans="1:20" ht="15.75" customHeight="1">
      <c r="A1090" s="21"/>
      <c r="B1090" s="22"/>
      <c r="C1090" s="20"/>
      <c r="D1090" s="20"/>
      <c r="E1090" s="20"/>
      <c r="F1090" s="20"/>
      <c r="G1090" s="35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</row>
    <row r="1091" spans="1:20" ht="15.75" customHeight="1">
      <c r="A1091" s="21"/>
      <c r="B1091" s="22"/>
      <c r="C1091" s="20"/>
      <c r="D1091" s="20"/>
      <c r="E1091" s="20"/>
      <c r="F1091" s="20"/>
      <c r="G1091" s="35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</row>
    <row r="1092" spans="1:20" ht="15.75" customHeight="1">
      <c r="A1092" s="21"/>
      <c r="B1092" s="22"/>
      <c r="C1092" s="20"/>
      <c r="D1092" s="20"/>
      <c r="E1092" s="20"/>
      <c r="F1092" s="20"/>
      <c r="G1092" s="35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</row>
    <row r="1093" spans="1:20" ht="15.75" customHeight="1">
      <c r="A1093" s="21"/>
      <c r="B1093" s="22"/>
      <c r="C1093" s="20"/>
      <c r="D1093" s="20"/>
      <c r="E1093" s="20"/>
      <c r="F1093" s="20"/>
      <c r="G1093" s="35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</row>
    <row r="1094" spans="1:20" ht="15.75" customHeight="1">
      <c r="A1094" s="21"/>
      <c r="B1094" s="22"/>
      <c r="C1094" s="20"/>
      <c r="D1094" s="20"/>
      <c r="E1094" s="20"/>
      <c r="F1094" s="20"/>
      <c r="G1094" s="35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</row>
    <row r="1095" spans="1:20" ht="15.75" customHeight="1">
      <c r="A1095" s="21"/>
      <c r="B1095" s="22"/>
      <c r="C1095" s="20"/>
      <c r="D1095" s="20"/>
      <c r="E1095" s="20"/>
      <c r="F1095" s="20"/>
      <c r="G1095" s="35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</row>
    <row r="1096" spans="1:20" ht="15.75" customHeight="1">
      <c r="A1096" s="21"/>
      <c r="B1096" s="22"/>
      <c r="C1096" s="20"/>
      <c r="D1096" s="20"/>
      <c r="E1096" s="20"/>
      <c r="F1096" s="20"/>
      <c r="G1096" s="35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</row>
    <row r="1097" spans="1:20" ht="15.75" customHeight="1">
      <c r="A1097" s="21"/>
      <c r="B1097" s="22"/>
      <c r="C1097" s="20"/>
      <c r="D1097" s="20"/>
      <c r="E1097" s="20"/>
      <c r="F1097" s="20"/>
      <c r="G1097" s="35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</row>
    <row r="1098" spans="1:20" ht="15.75" customHeight="1">
      <c r="A1098" s="21"/>
      <c r="B1098" s="22"/>
      <c r="C1098" s="20"/>
      <c r="D1098" s="20"/>
      <c r="E1098" s="20"/>
      <c r="F1098" s="20"/>
      <c r="G1098" s="35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</row>
    <row r="1099" spans="1:20" ht="15.75" customHeight="1">
      <c r="A1099" s="21"/>
      <c r="B1099" s="22"/>
      <c r="C1099" s="20"/>
      <c r="D1099" s="20"/>
      <c r="E1099" s="20"/>
      <c r="F1099" s="20"/>
      <c r="G1099" s="35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</row>
    <row r="1100" spans="1:20" ht="15.75" customHeight="1">
      <c r="A1100" s="21"/>
      <c r="B1100" s="22"/>
      <c r="C1100" s="20"/>
      <c r="D1100" s="20"/>
      <c r="E1100" s="20"/>
      <c r="F1100" s="20"/>
      <c r="G1100" s="35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</row>
    <row r="1101" spans="1:20" ht="15.75" customHeight="1">
      <c r="A1101" s="21"/>
      <c r="B1101" s="22"/>
      <c r="C1101" s="20"/>
      <c r="D1101" s="20"/>
      <c r="E1101" s="20"/>
      <c r="F1101" s="20"/>
      <c r="G1101" s="35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</row>
    <row r="1102" spans="1:20" ht="15.75" customHeight="1">
      <c r="A1102" s="21"/>
      <c r="B1102" s="22"/>
      <c r="C1102" s="20"/>
      <c r="D1102" s="20"/>
      <c r="E1102" s="20"/>
      <c r="F1102" s="20"/>
      <c r="G1102" s="35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</row>
    <row r="1103" spans="1:20" ht="15.75" customHeight="1">
      <c r="A1103" s="21"/>
      <c r="B1103" s="22"/>
      <c r="C1103" s="20"/>
      <c r="D1103" s="20"/>
      <c r="E1103" s="20"/>
      <c r="F1103" s="20"/>
      <c r="G1103" s="35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</row>
    <row r="1104" spans="1:20" ht="15.75" customHeight="1">
      <c r="A1104" s="21"/>
      <c r="B1104" s="22"/>
      <c r="C1104" s="20"/>
      <c r="D1104" s="20"/>
      <c r="E1104" s="20"/>
      <c r="F1104" s="20"/>
      <c r="G1104" s="35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</row>
    <row r="1105" spans="1:20" ht="15.75" customHeight="1">
      <c r="A1105" s="21"/>
      <c r="B1105" s="22"/>
      <c r="C1105" s="20"/>
      <c r="D1105" s="20"/>
      <c r="E1105" s="20"/>
      <c r="F1105" s="20"/>
      <c r="G1105" s="35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</row>
    <row r="1106" spans="1:20" ht="15.75" customHeight="1">
      <c r="A1106" s="21"/>
      <c r="B1106" s="22"/>
      <c r="C1106" s="20"/>
      <c r="D1106" s="20"/>
      <c r="E1106" s="20"/>
      <c r="F1106" s="20"/>
      <c r="G1106" s="35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</row>
    <row r="1107" spans="1:20" ht="15.75" customHeight="1">
      <c r="A1107" s="21"/>
      <c r="B1107" s="22"/>
      <c r="C1107" s="20"/>
      <c r="D1107" s="20"/>
      <c r="E1107" s="20"/>
      <c r="F1107" s="20"/>
      <c r="G1107" s="35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</row>
    <row r="1108" spans="1:20" ht="15.75" customHeight="1">
      <c r="A1108" s="21"/>
      <c r="B1108" s="22"/>
      <c r="C1108" s="20"/>
      <c r="D1108" s="20"/>
      <c r="E1108" s="20"/>
      <c r="F1108" s="20"/>
      <c r="G1108" s="35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</row>
    <row r="1109" spans="1:20" ht="15.75" customHeight="1">
      <c r="A1109" s="21"/>
      <c r="B1109" s="22"/>
      <c r="C1109" s="20"/>
      <c r="D1109" s="20"/>
      <c r="E1109" s="20"/>
      <c r="F1109" s="20"/>
      <c r="G1109" s="35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</row>
    <row r="1110" spans="1:20" ht="15.75" customHeight="1">
      <c r="A1110" s="21"/>
      <c r="B1110" s="22"/>
      <c r="C1110" s="20"/>
      <c r="D1110" s="20"/>
      <c r="E1110" s="20"/>
      <c r="F1110" s="20"/>
      <c r="G1110" s="35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</row>
    <row r="1111" spans="1:20" ht="15.75" customHeight="1">
      <c r="A1111" s="21"/>
      <c r="B1111" s="22"/>
      <c r="C1111" s="20"/>
      <c r="D1111" s="20"/>
      <c r="E1111" s="20"/>
      <c r="F1111" s="20"/>
      <c r="G1111" s="35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</row>
    <row r="1112" spans="1:20" ht="15.75" customHeight="1">
      <c r="A1112" s="21"/>
      <c r="B1112" s="22"/>
      <c r="C1112" s="20"/>
      <c r="D1112" s="20"/>
      <c r="E1112" s="20"/>
      <c r="F1112" s="20"/>
      <c r="G1112" s="35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</row>
    <row r="1113" spans="1:20" ht="15.75" customHeight="1">
      <c r="A1113" s="21"/>
      <c r="B1113" s="22"/>
      <c r="C1113" s="20"/>
      <c r="D1113" s="20"/>
      <c r="E1113" s="20"/>
      <c r="F1113" s="20"/>
      <c r="G1113" s="35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</row>
    <row r="1114" spans="1:20" ht="15.75" customHeight="1">
      <c r="A1114" s="21"/>
      <c r="B1114" s="22"/>
      <c r="C1114" s="20"/>
      <c r="D1114" s="20"/>
      <c r="E1114" s="20"/>
      <c r="F1114" s="20"/>
      <c r="G1114" s="35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</row>
    <row r="1115" spans="1:20" ht="15.75" customHeight="1">
      <c r="A1115" s="21"/>
      <c r="B1115" s="22"/>
      <c r="C1115" s="20"/>
      <c r="D1115" s="20"/>
      <c r="E1115" s="20"/>
      <c r="F1115" s="20"/>
      <c r="G1115" s="35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</row>
    <row r="1116" spans="1:20" ht="15.75" customHeight="1">
      <c r="A1116" s="21"/>
      <c r="B1116" s="22"/>
      <c r="C1116" s="20"/>
      <c r="D1116" s="20"/>
      <c r="E1116" s="20"/>
      <c r="F1116" s="20"/>
      <c r="G1116" s="35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</row>
    <row r="1117" spans="1:20" ht="15.75" customHeight="1">
      <c r="A1117" s="21"/>
      <c r="B1117" s="22"/>
      <c r="C1117" s="20"/>
      <c r="D1117" s="20"/>
      <c r="E1117" s="20"/>
      <c r="F1117" s="20"/>
      <c r="G1117" s="35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</row>
    <row r="1118" spans="1:20" ht="15.75" customHeight="1">
      <c r="A1118" s="21"/>
      <c r="B1118" s="22"/>
      <c r="C1118" s="20"/>
      <c r="D1118" s="20"/>
      <c r="E1118" s="20"/>
      <c r="F1118" s="20"/>
      <c r="G1118" s="35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</row>
    <row r="1119" spans="1:20" ht="15.75" customHeight="1">
      <c r="A1119" s="21"/>
      <c r="B1119" s="22"/>
      <c r="C1119" s="20"/>
      <c r="D1119" s="20"/>
      <c r="E1119" s="20"/>
      <c r="F1119" s="20"/>
      <c r="G1119" s="35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</row>
    <row r="1120" spans="1:20" ht="15.75" customHeight="1">
      <c r="A1120" s="21"/>
      <c r="B1120" s="22"/>
      <c r="C1120" s="20"/>
      <c r="D1120" s="20"/>
      <c r="E1120" s="20"/>
      <c r="F1120" s="20"/>
      <c r="G1120" s="35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</row>
    <row r="1121" spans="1:20" ht="15.75" customHeight="1">
      <c r="A1121" s="21"/>
      <c r="B1121" s="22"/>
      <c r="C1121" s="20"/>
      <c r="D1121" s="20"/>
      <c r="E1121" s="20"/>
      <c r="F1121" s="20"/>
      <c r="G1121" s="35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</row>
    <row r="1122" spans="1:20" ht="15.75" customHeight="1">
      <c r="A1122" s="21"/>
      <c r="B1122" s="22"/>
      <c r="C1122" s="20"/>
      <c r="D1122" s="20"/>
      <c r="E1122" s="20"/>
      <c r="F1122" s="20"/>
      <c r="G1122" s="35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</row>
    <row r="1123" spans="1:20" ht="15.75" customHeight="1">
      <c r="A1123" s="21"/>
      <c r="B1123" s="22"/>
      <c r="C1123" s="20"/>
      <c r="D1123" s="20"/>
      <c r="E1123" s="20"/>
      <c r="F1123" s="20"/>
      <c r="G1123" s="35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</row>
  </sheetData>
  <mergeCells count="56">
    <mergeCell ref="C185:E185"/>
    <mergeCell ref="C76:E76"/>
    <mergeCell ref="C81:E81"/>
    <mergeCell ref="C85:E85"/>
    <mergeCell ref="C106:E106"/>
    <mergeCell ref="C127:E127"/>
    <mergeCell ref="C175:E175"/>
    <mergeCell ref="C177:E177"/>
    <mergeCell ref="C179:E179"/>
    <mergeCell ref="C181:E181"/>
    <mergeCell ref="C183:E183"/>
    <mergeCell ref="C78:E78"/>
    <mergeCell ref="C104:E104"/>
    <mergeCell ref="C105:E105"/>
    <mergeCell ref="C124:E124"/>
    <mergeCell ref="C102:E102"/>
    <mergeCell ref="C1:G2"/>
    <mergeCell ref="C4:E4"/>
    <mergeCell ref="C9:E9"/>
    <mergeCell ref="C12:E12"/>
    <mergeCell ref="C15:E15"/>
    <mergeCell ref="C17:E17"/>
    <mergeCell ref="C19:E19"/>
    <mergeCell ref="C21:E21"/>
    <mergeCell ref="C24:E24"/>
    <mergeCell ref="C54:E54"/>
    <mergeCell ref="C30:E30"/>
    <mergeCell ref="C28:E28"/>
    <mergeCell ref="C33:E33"/>
    <mergeCell ref="C52:E52"/>
    <mergeCell ref="C51:E51"/>
    <mergeCell ref="C53:E53"/>
    <mergeCell ref="C80:E80"/>
    <mergeCell ref="C95:E95"/>
    <mergeCell ref="C63:E63"/>
    <mergeCell ref="C172:E172"/>
    <mergeCell ref="C103:E103"/>
    <mergeCell ref="C116:E116"/>
    <mergeCell ref="C123:E123"/>
    <mergeCell ref="C72:E72"/>
    <mergeCell ref="C73:E73"/>
    <mergeCell ref="C74:E74"/>
    <mergeCell ref="C171:E171"/>
    <mergeCell ref="C79:E79"/>
    <mergeCell ref="C173:E173"/>
    <mergeCell ref="C125:E125"/>
    <mergeCell ref="C126:E126"/>
    <mergeCell ref="C145:E145"/>
    <mergeCell ref="C146:E146"/>
    <mergeCell ref="C147:E147"/>
    <mergeCell ref="C137:E137"/>
    <mergeCell ref="C144:E144"/>
    <mergeCell ref="C153:E153"/>
    <mergeCell ref="C148:E148"/>
    <mergeCell ref="C166:E166"/>
    <mergeCell ref="C170:E170"/>
  </mergeCells>
  <phoneticPr fontId="44" type="noConversion"/>
  <pageMargins left="0.59055118110236215" right="0.59055118110236215" top="0.39370078740157477" bottom="0.98777975333728463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12.1796875" customWidth="1"/>
    <col min="2" max="2" width="7.453125" customWidth="1"/>
    <col min="3" max="3" width="6.7265625" customWidth="1"/>
    <col min="4" max="4" width="45.26953125" customWidth="1"/>
    <col min="5" max="5" width="4.7265625" customWidth="1"/>
    <col min="6" max="6" width="8.453125" customWidth="1"/>
    <col min="7" max="8" width="10.7265625" customWidth="1"/>
    <col min="9" max="9" width="16.54296875" customWidth="1"/>
    <col min="10" max="10" width="11.453125" customWidth="1"/>
    <col min="11" max="11" width="11" customWidth="1"/>
    <col min="12" max="12" width="10.81640625" customWidth="1"/>
    <col min="13" max="13" width="14.453125" customWidth="1"/>
    <col min="14" max="14" width="8.26953125" customWidth="1"/>
    <col min="15" max="15" width="10.1796875" customWidth="1"/>
    <col min="16" max="26" width="8.26953125" customWidth="1"/>
  </cols>
  <sheetData>
    <row r="1" spans="1:26" ht="9" customHeight="1">
      <c r="A1" s="269" t="s">
        <v>140</v>
      </c>
      <c r="B1" s="244"/>
      <c r="C1" s="244"/>
      <c r="D1" s="244"/>
      <c r="E1" s="244"/>
      <c r="F1" s="244"/>
      <c r="G1" s="244"/>
      <c r="H1" s="244"/>
      <c r="I1" s="244"/>
      <c r="J1" s="244"/>
      <c r="K1" s="270"/>
      <c r="L1" s="36"/>
      <c r="M1" s="37"/>
      <c r="N1" s="38"/>
      <c r="O1" s="39"/>
      <c r="P1" s="39"/>
      <c r="Q1" s="39"/>
      <c r="R1" s="40"/>
      <c r="S1" s="40"/>
      <c r="T1" s="40"/>
      <c r="U1" s="40"/>
      <c r="V1" s="40"/>
      <c r="W1" s="40"/>
      <c r="X1" s="40"/>
      <c r="Y1" s="40"/>
      <c r="Z1" s="40"/>
    </row>
    <row r="2" spans="1:26" ht="8.25" customHeight="1">
      <c r="A2" s="271"/>
      <c r="B2" s="262"/>
      <c r="C2" s="262"/>
      <c r="D2" s="262"/>
      <c r="E2" s="262"/>
      <c r="F2" s="262"/>
      <c r="G2" s="262"/>
      <c r="H2" s="262"/>
      <c r="I2" s="262"/>
      <c r="J2" s="262"/>
      <c r="K2" s="263"/>
      <c r="L2" s="41"/>
      <c r="M2" s="42"/>
      <c r="N2" s="38"/>
      <c r="O2" s="39"/>
      <c r="P2" s="39"/>
      <c r="Q2" s="39"/>
      <c r="R2" s="40"/>
      <c r="S2" s="40"/>
      <c r="T2" s="40"/>
      <c r="U2" s="40"/>
      <c r="V2" s="40"/>
      <c r="W2" s="40"/>
      <c r="X2" s="40"/>
      <c r="Y2" s="40"/>
      <c r="Z2" s="40"/>
    </row>
    <row r="3" spans="1:26" ht="9" customHeight="1">
      <c r="A3" s="272" t="s">
        <v>141</v>
      </c>
      <c r="B3" s="274" t="s">
        <v>142</v>
      </c>
      <c r="C3" s="274" t="s">
        <v>143</v>
      </c>
      <c r="D3" s="276" t="s">
        <v>144</v>
      </c>
      <c r="E3" s="274" t="s">
        <v>145</v>
      </c>
      <c r="F3" s="264" t="s">
        <v>6</v>
      </c>
      <c r="G3" s="247"/>
      <c r="H3" s="247"/>
      <c r="I3" s="265"/>
      <c r="J3" s="266" t="s">
        <v>146</v>
      </c>
      <c r="K3" s="267"/>
      <c r="L3" s="267"/>
      <c r="M3" s="268"/>
      <c r="N3" s="43"/>
      <c r="O3" s="44"/>
      <c r="P3" s="44"/>
      <c r="Q3" s="44"/>
      <c r="R3" s="43"/>
      <c r="S3" s="43"/>
      <c r="T3" s="43"/>
      <c r="U3" s="43"/>
      <c r="V3" s="43"/>
      <c r="W3" s="43"/>
      <c r="X3" s="43"/>
      <c r="Y3" s="43"/>
      <c r="Z3" s="43"/>
    </row>
    <row r="4" spans="1:26" ht="16.5" customHeight="1">
      <c r="A4" s="273"/>
      <c r="B4" s="275"/>
      <c r="C4" s="275"/>
      <c r="D4" s="275"/>
      <c r="E4" s="275"/>
      <c r="F4" s="45" t="s">
        <v>65</v>
      </c>
      <c r="G4" s="45" t="s">
        <v>66</v>
      </c>
      <c r="H4" s="45" t="s">
        <v>67</v>
      </c>
      <c r="I4" s="45" t="s">
        <v>68</v>
      </c>
      <c r="J4" s="46" t="s">
        <v>147</v>
      </c>
      <c r="K4" s="47" t="s">
        <v>69</v>
      </c>
      <c r="L4" s="47" t="s">
        <v>148</v>
      </c>
      <c r="M4" s="48" t="s">
        <v>70</v>
      </c>
      <c r="N4" s="43"/>
      <c r="O4" s="44"/>
      <c r="P4" s="44"/>
      <c r="Q4" s="44"/>
      <c r="R4" s="43"/>
      <c r="S4" s="43"/>
      <c r="T4" s="43"/>
      <c r="U4" s="43"/>
      <c r="V4" s="43"/>
      <c r="W4" s="43"/>
      <c r="X4" s="43"/>
      <c r="Y4" s="43"/>
      <c r="Z4" s="43"/>
    </row>
    <row r="5" spans="1:26" ht="9" customHeight="1">
      <c r="A5" s="49"/>
      <c r="B5" s="50"/>
      <c r="C5" s="51" t="s">
        <v>149</v>
      </c>
      <c r="D5" s="52" t="s">
        <v>150</v>
      </c>
      <c r="E5" s="53"/>
      <c r="F5" s="53"/>
      <c r="G5" s="53"/>
      <c r="H5" s="53"/>
      <c r="I5" s="53"/>
      <c r="J5" s="53"/>
      <c r="K5" s="54">
        <f>SUM(K6,K12,K16,K22,K25,K29,K33,K37,K42)</f>
        <v>113775.66190000001</v>
      </c>
      <c r="L5" s="55"/>
      <c r="M5" s="56">
        <f>SUM(M6,M12,M16,M22,M25,M29,M33,M37,M42)</f>
        <v>98759.602899999998</v>
      </c>
      <c r="N5" s="57"/>
      <c r="O5" s="57"/>
      <c r="P5" s="58"/>
      <c r="Q5" s="39"/>
      <c r="R5" s="40"/>
      <c r="S5" s="40"/>
      <c r="T5" s="40"/>
      <c r="U5" s="40"/>
      <c r="V5" s="40"/>
      <c r="W5" s="40"/>
      <c r="X5" s="40"/>
      <c r="Y5" s="40"/>
      <c r="Z5" s="40"/>
    </row>
    <row r="6" spans="1:26" ht="9" customHeight="1">
      <c r="A6" s="59"/>
      <c r="B6" s="60"/>
      <c r="C6" s="61" t="s">
        <v>151</v>
      </c>
      <c r="D6" s="62" t="s">
        <v>152</v>
      </c>
      <c r="E6" s="63"/>
      <c r="F6" s="63"/>
      <c r="G6" s="63"/>
      <c r="H6" s="63"/>
      <c r="I6" s="63"/>
      <c r="J6" s="63"/>
      <c r="K6" s="64">
        <f>SUM(K7:K11)</f>
        <v>7775.1988999999994</v>
      </c>
      <c r="L6" s="65"/>
      <c r="M6" s="66">
        <f>SUM(M7:M11)</f>
        <v>7775.1988999999994</v>
      </c>
      <c r="N6" s="38"/>
      <c r="O6" s="67"/>
      <c r="P6" s="57"/>
      <c r="Q6" s="39"/>
      <c r="R6" s="40"/>
      <c r="S6" s="40"/>
      <c r="T6" s="40"/>
      <c r="U6" s="40"/>
      <c r="V6" s="40"/>
      <c r="W6" s="40"/>
      <c r="X6" s="40"/>
      <c r="Y6" s="40"/>
      <c r="Z6" s="40"/>
    </row>
    <row r="7" spans="1:26" ht="25.5" customHeight="1">
      <c r="A7" s="68" t="s">
        <v>153</v>
      </c>
      <c r="B7" s="69">
        <v>103689</v>
      </c>
      <c r="C7" s="70" t="s">
        <v>154</v>
      </c>
      <c r="D7" s="71" t="s">
        <v>155</v>
      </c>
      <c r="E7" s="70" t="s">
        <v>156</v>
      </c>
      <c r="F7" s="72">
        <v>6</v>
      </c>
      <c r="G7" s="72"/>
      <c r="H7" s="72"/>
      <c r="I7" s="72">
        <f t="shared" ref="I7:I11" si="0">F7+G7-H7</f>
        <v>6</v>
      </c>
      <c r="J7" s="72">
        <v>555.26</v>
      </c>
      <c r="K7" s="73">
        <f t="shared" ref="K7:K11" si="1">F7*J7</f>
        <v>3331.56</v>
      </c>
      <c r="L7" s="73">
        <f t="shared" ref="L7:L11" si="2">M7-K7</f>
        <v>0</v>
      </c>
      <c r="M7" s="74">
        <f t="shared" ref="M7:M11" si="3">I7*J7</f>
        <v>3331.56</v>
      </c>
      <c r="N7" s="38"/>
      <c r="O7" s="39"/>
      <c r="P7" s="57"/>
      <c r="Q7" s="39"/>
      <c r="R7" s="40"/>
      <c r="S7" s="40"/>
      <c r="T7" s="40"/>
      <c r="U7" s="40"/>
      <c r="V7" s="40"/>
      <c r="W7" s="40"/>
      <c r="X7" s="40"/>
      <c r="Y7" s="40"/>
      <c r="Z7" s="40"/>
    </row>
    <row r="8" spans="1:26" ht="25.5" customHeight="1">
      <c r="A8" s="68" t="s">
        <v>157</v>
      </c>
      <c r="B8" s="69">
        <v>99059</v>
      </c>
      <c r="C8" s="70" t="s">
        <v>158</v>
      </c>
      <c r="D8" s="71" t="s">
        <v>159</v>
      </c>
      <c r="E8" s="70" t="s">
        <v>160</v>
      </c>
      <c r="F8" s="72">
        <v>1</v>
      </c>
      <c r="G8" s="72"/>
      <c r="H8" s="72"/>
      <c r="I8" s="72">
        <f t="shared" si="0"/>
        <v>1</v>
      </c>
      <c r="J8" s="72">
        <v>71.75</v>
      </c>
      <c r="K8" s="73">
        <f t="shared" si="1"/>
        <v>71.75</v>
      </c>
      <c r="L8" s="73">
        <f t="shared" si="2"/>
        <v>0</v>
      </c>
      <c r="M8" s="74">
        <f t="shared" si="3"/>
        <v>71.75</v>
      </c>
      <c r="N8" s="38"/>
      <c r="O8" s="39"/>
      <c r="P8" s="39"/>
      <c r="Q8" s="39"/>
      <c r="R8" s="40"/>
      <c r="S8" s="40"/>
      <c r="T8" s="40"/>
      <c r="U8" s="40"/>
      <c r="V8" s="40"/>
      <c r="W8" s="40"/>
      <c r="X8" s="40"/>
      <c r="Y8" s="40"/>
      <c r="Z8" s="40"/>
    </row>
    <row r="9" spans="1:26" ht="16">
      <c r="A9" s="68" t="s">
        <v>161</v>
      </c>
      <c r="B9" s="69">
        <v>104790</v>
      </c>
      <c r="C9" s="70" t="s">
        <v>162</v>
      </c>
      <c r="D9" s="71" t="s">
        <v>163</v>
      </c>
      <c r="E9" s="70" t="s">
        <v>164</v>
      </c>
      <c r="F9" s="72">
        <v>15.9</v>
      </c>
      <c r="G9" s="72"/>
      <c r="H9" s="72"/>
      <c r="I9" s="72">
        <f t="shared" si="0"/>
        <v>15.9</v>
      </c>
      <c r="J9" s="72">
        <v>113.12</v>
      </c>
      <c r="K9" s="73">
        <f t="shared" si="1"/>
        <v>1798.6080000000002</v>
      </c>
      <c r="L9" s="73">
        <f t="shared" si="2"/>
        <v>0</v>
      </c>
      <c r="M9" s="74">
        <f t="shared" si="3"/>
        <v>1798.6080000000002</v>
      </c>
      <c r="N9" s="38"/>
      <c r="O9" s="39"/>
      <c r="P9" s="39"/>
      <c r="Q9" s="39"/>
      <c r="R9" s="40"/>
      <c r="S9" s="40"/>
      <c r="T9" s="40"/>
      <c r="U9" s="40"/>
      <c r="V9" s="40"/>
      <c r="W9" s="40"/>
      <c r="X9" s="40"/>
      <c r="Y9" s="40"/>
      <c r="Z9" s="40"/>
    </row>
    <row r="10" spans="1:26" ht="14.5">
      <c r="A10" s="75" t="s">
        <v>165</v>
      </c>
      <c r="B10" s="76">
        <v>1</v>
      </c>
      <c r="C10" s="77" t="s">
        <v>166</v>
      </c>
      <c r="D10" s="78" t="s">
        <v>167</v>
      </c>
      <c r="E10" s="70" t="s">
        <v>168</v>
      </c>
      <c r="F10" s="72">
        <v>23.85</v>
      </c>
      <c r="G10" s="72"/>
      <c r="H10" s="72"/>
      <c r="I10" s="72">
        <f t="shared" si="0"/>
        <v>23.85</v>
      </c>
      <c r="J10" s="72">
        <v>86.61</v>
      </c>
      <c r="K10" s="73">
        <f t="shared" si="1"/>
        <v>2065.6485000000002</v>
      </c>
      <c r="L10" s="73">
        <f t="shared" si="2"/>
        <v>0</v>
      </c>
      <c r="M10" s="74">
        <f t="shared" si="3"/>
        <v>2065.6485000000002</v>
      </c>
      <c r="N10" s="38"/>
      <c r="O10" s="39"/>
      <c r="P10" s="39"/>
      <c r="Q10" s="39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6">
      <c r="A11" s="75" t="s">
        <v>169</v>
      </c>
      <c r="B11" s="76">
        <v>97647</v>
      </c>
      <c r="C11" s="77" t="s">
        <v>170</v>
      </c>
      <c r="D11" s="78" t="s">
        <v>171</v>
      </c>
      <c r="E11" s="70" t="s">
        <v>172</v>
      </c>
      <c r="F11" s="72">
        <v>128.19</v>
      </c>
      <c r="G11" s="72"/>
      <c r="H11" s="72"/>
      <c r="I11" s="72">
        <f t="shared" si="0"/>
        <v>128.19</v>
      </c>
      <c r="J11" s="72">
        <v>3.96</v>
      </c>
      <c r="K11" s="73">
        <f t="shared" si="1"/>
        <v>507.63239999999996</v>
      </c>
      <c r="L11" s="73">
        <f t="shared" si="2"/>
        <v>0</v>
      </c>
      <c r="M11" s="74">
        <f t="shared" si="3"/>
        <v>507.63239999999996</v>
      </c>
      <c r="N11" s="38"/>
      <c r="O11" s="39"/>
      <c r="P11" s="39"/>
      <c r="Q11" s="39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9" customHeight="1">
      <c r="A12" s="59"/>
      <c r="B12" s="60"/>
      <c r="C12" s="61" t="s">
        <v>173</v>
      </c>
      <c r="D12" s="62" t="s">
        <v>174</v>
      </c>
      <c r="E12" s="63"/>
      <c r="F12" s="63"/>
      <c r="G12" s="63"/>
      <c r="H12" s="63"/>
      <c r="I12" s="63"/>
      <c r="J12" s="63"/>
      <c r="K12" s="64">
        <f>SUM(K13:K15)</f>
        <v>10792.129200000001</v>
      </c>
      <c r="L12" s="65"/>
      <c r="M12" s="66">
        <f>SUM(M13:M15)</f>
        <v>106.65599999999999</v>
      </c>
      <c r="N12" s="38"/>
      <c r="O12" s="39"/>
      <c r="P12" s="39"/>
      <c r="Q12" s="39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24">
      <c r="A13" s="75" t="s">
        <v>175</v>
      </c>
      <c r="B13" s="76">
        <v>103317</v>
      </c>
      <c r="C13" s="77" t="s">
        <v>176</v>
      </c>
      <c r="D13" s="78" t="s">
        <v>177</v>
      </c>
      <c r="E13" s="70" t="s">
        <v>178</v>
      </c>
      <c r="F13" s="72">
        <v>1.2</v>
      </c>
      <c r="G13" s="72"/>
      <c r="H13" s="72"/>
      <c r="I13" s="72">
        <f t="shared" ref="I13:I15" si="4">F13+G13-H13</f>
        <v>1.2</v>
      </c>
      <c r="J13" s="72">
        <v>88.88</v>
      </c>
      <c r="K13" s="73">
        <f t="shared" ref="K13:K15" si="5">F13*J13</f>
        <v>106.65599999999999</v>
      </c>
      <c r="L13" s="73">
        <f t="shared" ref="L13:L15" si="6">M13-K13</f>
        <v>0</v>
      </c>
      <c r="M13" s="74">
        <f t="shared" ref="M13:M15" si="7">I13*J13</f>
        <v>106.65599999999999</v>
      </c>
      <c r="N13" s="38"/>
      <c r="O13" s="39"/>
      <c r="P13" s="39"/>
      <c r="Q13" s="39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8" customHeight="1">
      <c r="A14" s="75" t="s">
        <v>179</v>
      </c>
      <c r="B14" s="76">
        <v>101158</v>
      </c>
      <c r="C14" s="77" t="s">
        <v>180</v>
      </c>
      <c r="D14" s="71" t="s">
        <v>181</v>
      </c>
      <c r="E14" s="70" t="s">
        <v>182</v>
      </c>
      <c r="F14" s="72">
        <v>100.16</v>
      </c>
      <c r="G14" s="72"/>
      <c r="H14" s="72">
        <f>(38.72+15.98-3.36)+(48.82)</f>
        <v>100.16</v>
      </c>
      <c r="I14" s="72">
        <f t="shared" si="4"/>
        <v>0</v>
      </c>
      <c r="J14" s="72">
        <v>103.62</v>
      </c>
      <c r="K14" s="73">
        <f t="shared" si="5"/>
        <v>10378.5792</v>
      </c>
      <c r="L14" s="73">
        <f t="shared" si="6"/>
        <v>-10378.5792</v>
      </c>
      <c r="M14" s="74">
        <f t="shared" si="7"/>
        <v>0</v>
      </c>
      <c r="N14" s="38"/>
      <c r="O14" s="39"/>
      <c r="P14" s="39"/>
      <c r="Q14" s="39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8" customHeight="1">
      <c r="A15" s="75" t="s">
        <v>183</v>
      </c>
      <c r="B15" s="76">
        <v>105023</v>
      </c>
      <c r="C15" s="77" t="s">
        <v>184</v>
      </c>
      <c r="D15" s="71" t="s">
        <v>185</v>
      </c>
      <c r="E15" s="70" t="s">
        <v>186</v>
      </c>
      <c r="F15" s="72">
        <v>4.2</v>
      </c>
      <c r="G15" s="72"/>
      <c r="H15" s="72">
        <f>3*1.4</f>
        <v>4.1999999999999993</v>
      </c>
      <c r="I15" s="72">
        <f t="shared" si="4"/>
        <v>0</v>
      </c>
      <c r="J15" s="72">
        <v>73.069999999999993</v>
      </c>
      <c r="K15" s="73">
        <f t="shared" si="5"/>
        <v>306.89400000000001</v>
      </c>
      <c r="L15" s="73">
        <f t="shared" si="6"/>
        <v>-306.89400000000001</v>
      </c>
      <c r="M15" s="74">
        <f t="shared" si="7"/>
        <v>0</v>
      </c>
      <c r="N15" s="38"/>
      <c r="O15" s="39"/>
      <c r="P15" s="39"/>
      <c r="Q15" s="39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9" customHeight="1">
      <c r="A16" s="59"/>
      <c r="B16" s="60"/>
      <c r="C16" s="61" t="s">
        <v>187</v>
      </c>
      <c r="D16" s="62" t="s">
        <v>188</v>
      </c>
      <c r="E16" s="63"/>
      <c r="F16" s="63"/>
      <c r="G16" s="63"/>
      <c r="H16" s="63"/>
      <c r="I16" s="63"/>
      <c r="J16" s="63"/>
      <c r="K16" s="64">
        <f>SUM(K17:K21)</f>
        <v>11783.964400000001</v>
      </c>
      <c r="L16" s="65"/>
      <c r="M16" s="66">
        <f>SUM(M17:M21)</f>
        <v>11783.964400000001</v>
      </c>
      <c r="N16" s="38"/>
      <c r="O16" s="39"/>
      <c r="P16" s="39"/>
      <c r="Q16" s="39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25.5" customHeight="1">
      <c r="A17" s="68" t="s">
        <v>189</v>
      </c>
      <c r="B17" s="69">
        <v>94201</v>
      </c>
      <c r="C17" s="70" t="s">
        <v>190</v>
      </c>
      <c r="D17" s="71" t="s">
        <v>191</v>
      </c>
      <c r="E17" s="70" t="s">
        <v>192</v>
      </c>
      <c r="F17" s="72">
        <v>128.19</v>
      </c>
      <c r="G17" s="72"/>
      <c r="H17" s="72"/>
      <c r="I17" s="72">
        <f t="shared" ref="I17:I21" si="8">F17+G17-H17</f>
        <v>128.19</v>
      </c>
      <c r="J17" s="72">
        <v>47.54</v>
      </c>
      <c r="K17" s="73">
        <f t="shared" ref="K17:K21" si="9">F17*J17</f>
        <v>6094.1525999999994</v>
      </c>
      <c r="L17" s="73">
        <f t="shared" ref="L17:L21" si="10">M17-K17</f>
        <v>0</v>
      </c>
      <c r="M17" s="74">
        <f t="shared" ref="M17:M21" si="11">I17*J17</f>
        <v>6094.1525999999994</v>
      </c>
      <c r="N17" s="38"/>
      <c r="O17" s="39"/>
      <c r="P17" s="39"/>
      <c r="Q17" s="39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8" customHeight="1">
      <c r="A18" s="75" t="s">
        <v>193</v>
      </c>
      <c r="B18" s="76">
        <v>2</v>
      </c>
      <c r="C18" s="77" t="s">
        <v>194</v>
      </c>
      <c r="D18" s="71" t="s">
        <v>195</v>
      </c>
      <c r="E18" s="70" t="s">
        <v>196</v>
      </c>
      <c r="F18" s="72">
        <v>156.4</v>
      </c>
      <c r="G18" s="72"/>
      <c r="H18" s="72"/>
      <c r="I18" s="72">
        <f t="shared" si="8"/>
        <v>156.4</v>
      </c>
      <c r="J18" s="72">
        <v>7.64</v>
      </c>
      <c r="K18" s="73">
        <f t="shared" si="9"/>
        <v>1194.896</v>
      </c>
      <c r="L18" s="73">
        <f t="shared" si="10"/>
        <v>0</v>
      </c>
      <c r="M18" s="74">
        <f t="shared" si="11"/>
        <v>1194.896</v>
      </c>
      <c r="N18" s="38"/>
      <c r="O18" s="39"/>
      <c r="P18" s="39"/>
      <c r="Q18" s="39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25.5" customHeight="1">
      <c r="A19" s="68" t="s">
        <v>197</v>
      </c>
      <c r="B19" s="69">
        <v>100328</v>
      </c>
      <c r="C19" s="70" t="s">
        <v>198</v>
      </c>
      <c r="D19" s="78" t="s">
        <v>199</v>
      </c>
      <c r="E19" s="70" t="s">
        <v>200</v>
      </c>
      <c r="F19" s="72">
        <v>299.10000000000002</v>
      </c>
      <c r="G19" s="72"/>
      <c r="H19" s="72"/>
      <c r="I19" s="72">
        <f t="shared" si="8"/>
        <v>299.10000000000002</v>
      </c>
      <c r="J19" s="72">
        <v>14.05</v>
      </c>
      <c r="K19" s="73">
        <f t="shared" si="9"/>
        <v>4202.3550000000005</v>
      </c>
      <c r="L19" s="73">
        <f t="shared" si="10"/>
        <v>0</v>
      </c>
      <c r="M19" s="74">
        <f t="shared" si="11"/>
        <v>4202.3550000000005</v>
      </c>
      <c r="N19" s="38"/>
      <c r="O19" s="39"/>
      <c r="P19" s="39"/>
      <c r="Q19" s="39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25.5" customHeight="1">
      <c r="A20" s="68" t="s">
        <v>201</v>
      </c>
      <c r="B20" s="69">
        <v>98555</v>
      </c>
      <c r="C20" s="70" t="s">
        <v>202</v>
      </c>
      <c r="D20" s="78" t="s">
        <v>203</v>
      </c>
      <c r="E20" s="70" t="s">
        <v>204</v>
      </c>
      <c r="F20" s="72">
        <v>3.56</v>
      </c>
      <c r="G20" s="72"/>
      <c r="H20" s="72"/>
      <c r="I20" s="72">
        <f t="shared" si="8"/>
        <v>3.56</v>
      </c>
      <c r="J20" s="72">
        <v>39.04</v>
      </c>
      <c r="K20" s="73">
        <f t="shared" si="9"/>
        <v>138.98240000000001</v>
      </c>
      <c r="L20" s="73">
        <f t="shared" si="10"/>
        <v>0</v>
      </c>
      <c r="M20" s="74">
        <f t="shared" si="11"/>
        <v>138.98240000000001</v>
      </c>
      <c r="N20" s="38"/>
      <c r="O20" s="39"/>
      <c r="P20" s="39"/>
      <c r="Q20" s="39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25.5" customHeight="1">
      <c r="A21" s="68" t="s">
        <v>205</v>
      </c>
      <c r="B21" s="69">
        <v>98563</v>
      </c>
      <c r="C21" s="70" t="s">
        <v>206</v>
      </c>
      <c r="D21" s="71" t="s">
        <v>207</v>
      </c>
      <c r="E21" s="70" t="s">
        <v>208</v>
      </c>
      <c r="F21" s="72">
        <v>3.56</v>
      </c>
      <c r="G21" s="72"/>
      <c r="H21" s="72"/>
      <c r="I21" s="72">
        <f t="shared" si="8"/>
        <v>3.56</v>
      </c>
      <c r="J21" s="72">
        <v>43.14</v>
      </c>
      <c r="K21" s="73">
        <f t="shared" si="9"/>
        <v>153.57840000000002</v>
      </c>
      <c r="L21" s="73">
        <f t="shared" si="10"/>
        <v>0</v>
      </c>
      <c r="M21" s="74">
        <f t="shared" si="11"/>
        <v>153.57840000000002</v>
      </c>
      <c r="N21" s="38"/>
      <c r="O21" s="39"/>
      <c r="P21" s="39"/>
      <c r="Q21" s="39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9" customHeight="1">
      <c r="A22" s="59"/>
      <c r="B22" s="60"/>
      <c r="C22" s="61" t="s">
        <v>209</v>
      </c>
      <c r="D22" s="62" t="s">
        <v>210</v>
      </c>
      <c r="E22" s="63"/>
      <c r="F22" s="63"/>
      <c r="G22" s="63"/>
      <c r="H22" s="63"/>
      <c r="I22" s="63"/>
      <c r="J22" s="63"/>
      <c r="K22" s="64">
        <f>K23</f>
        <v>3056.52</v>
      </c>
      <c r="L22" s="65"/>
      <c r="M22" s="66">
        <f>M23</f>
        <v>0</v>
      </c>
      <c r="N22" s="38"/>
      <c r="O22" s="39"/>
      <c r="P22" s="39"/>
      <c r="Q22" s="39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33" customHeight="1">
      <c r="A23" s="75" t="s">
        <v>211</v>
      </c>
      <c r="B23" s="76">
        <v>91314</v>
      </c>
      <c r="C23" s="77" t="s">
        <v>212</v>
      </c>
      <c r="D23" s="71" t="s">
        <v>213</v>
      </c>
      <c r="E23" s="70" t="s">
        <v>214</v>
      </c>
      <c r="F23" s="72">
        <v>3</v>
      </c>
      <c r="G23" s="72"/>
      <c r="H23" s="72">
        <v>3</v>
      </c>
      <c r="I23" s="72">
        <f>F23+G23-H23</f>
        <v>0</v>
      </c>
      <c r="J23" s="73">
        <v>1018.84</v>
      </c>
      <c r="K23" s="73">
        <f>F23*J23</f>
        <v>3056.52</v>
      </c>
      <c r="L23" s="73">
        <f>M23-K23</f>
        <v>-3056.52</v>
      </c>
      <c r="M23" s="74">
        <f>I23*J23</f>
        <v>0</v>
      </c>
      <c r="N23" s="38"/>
      <c r="O23" s="39"/>
      <c r="P23" s="39"/>
      <c r="Q23" s="39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26.25" customHeight="1">
      <c r="A24" s="75"/>
      <c r="B24" s="76"/>
      <c r="C24" s="77"/>
      <c r="D24" s="71"/>
      <c r="E24" s="70"/>
      <c r="F24" s="72"/>
      <c r="G24" s="72"/>
      <c r="H24" s="72"/>
      <c r="I24" s="72"/>
      <c r="J24" s="73"/>
      <c r="K24" s="73"/>
      <c r="L24" s="73"/>
      <c r="M24" s="74"/>
      <c r="N24" s="38"/>
      <c r="O24" s="39"/>
      <c r="P24" s="39"/>
      <c r="Q24" s="39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9" customHeight="1">
      <c r="A25" s="59"/>
      <c r="B25" s="60"/>
      <c r="C25" s="61" t="s">
        <v>215</v>
      </c>
      <c r="D25" s="62" t="s">
        <v>216</v>
      </c>
      <c r="E25" s="63"/>
      <c r="F25" s="63"/>
      <c r="G25" s="63"/>
      <c r="H25" s="63"/>
      <c r="I25" s="63"/>
      <c r="J25" s="63"/>
      <c r="K25" s="64">
        <f>SUM(K26:K28)</f>
        <v>3227.88</v>
      </c>
      <c r="L25" s="65"/>
      <c r="M25" s="66">
        <f>SUM(M26:M28)</f>
        <v>3227.88</v>
      </c>
      <c r="N25" s="38"/>
      <c r="O25" s="39"/>
      <c r="P25" s="39"/>
      <c r="Q25" s="39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25.5" customHeight="1">
      <c r="A26" s="75" t="s">
        <v>217</v>
      </c>
      <c r="B26" s="69">
        <v>3</v>
      </c>
      <c r="C26" s="70" t="s">
        <v>218</v>
      </c>
      <c r="D26" s="71" t="s">
        <v>219</v>
      </c>
      <c r="E26" s="70" t="s">
        <v>220</v>
      </c>
      <c r="F26" s="72">
        <v>4</v>
      </c>
      <c r="G26" s="72"/>
      <c r="H26" s="72"/>
      <c r="I26" s="72">
        <f t="shared" ref="I26:I28" si="12">F26+G26-H26</f>
        <v>4</v>
      </c>
      <c r="J26" s="72">
        <v>119.41</v>
      </c>
      <c r="K26" s="73">
        <f t="shared" ref="K26:K28" si="13">F26*J26</f>
        <v>477.64</v>
      </c>
      <c r="L26" s="73">
        <f t="shared" ref="L26:L28" si="14">M26-K26</f>
        <v>0</v>
      </c>
      <c r="M26" s="74">
        <f t="shared" ref="M26:M28" si="15">I26*J26</f>
        <v>477.64</v>
      </c>
      <c r="N26" s="38"/>
      <c r="O26" s="39"/>
      <c r="P26" s="39"/>
      <c r="Q26" s="39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25.5" customHeight="1">
      <c r="A27" s="68" t="s">
        <v>221</v>
      </c>
      <c r="B27" s="69">
        <v>91953</v>
      </c>
      <c r="C27" s="70" t="s">
        <v>222</v>
      </c>
      <c r="D27" s="71" t="s">
        <v>223</v>
      </c>
      <c r="E27" s="70" t="s">
        <v>224</v>
      </c>
      <c r="F27" s="72">
        <v>3</v>
      </c>
      <c r="G27" s="72"/>
      <c r="H27" s="72"/>
      <c r="I27" s="72">
        <f t="shared" si="12"/>
        <v>3</v>
      </c>
      <c r="J27" s="72">
        <v>32.11</v>
      </c>
      <c r="K27" s="73">
        <f t="shared" si="13"/>
        <v>96.33</v>
      </c>
      <c r="L27" s="73">
        <f t="shared" si="14"/>
        <v>0</v>
      </c>
      <c r="M27" s="74">
        <f t="shared" si="15"/>
        <v>96.33</v>
      </c>
      <c r="N27" s="38"/>
      <c r="O27" s="39"/>
      <c r="P27" s="39"/>
      <c r="Q27" s="39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8" customHeight="1">
      <c r="A28" s="75" t="s">
        <v>225</v>
      </c>
      <c r="B28" s="76">
        <v>5</v>
      </c>
      <c r="C28" s="77" t="s">
        <v>226</v>
      </c>
      <c r="D28" s="71" t="s">
        <v>227</v>
      </c>
      <c r="E28" s="70" t="s">
        <v>228</v>
      </c>
      <c r="F28" s="72">
        <v>7</v>
      </c>
      <c r="G28" s="72"/>
      <c r="H28" s="72"/>
      <c r="I28" s="72">
        <f t="shared" si="12"/>
        <v>7</v>
      </c>
      <c r="J28" s="72">
        <v>379.13</v>
      </c>
      <c r="K28" s="73">
        <f t="shared" si="13"/>
        <v>2653.91</v>
      </c>
      <c r="L28" s="73">
        <f t="shared" si="14"/>
        <v>0</v>
      </c>
      <c r="M28" s="74">
        <f t="shared" si="15"/>
        <v>2653.91</v>
      </c>
      <c r="N28" s="38"/>
      <c r="O28" s="39"/>
      <c r="P28" s="39"/>
      <c r="Q28" s="39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9" customHeight="1">
      <c r="A29" s="59"/>
      <c r="B29" s="60"/>
      <c r="C29" s="61" t="s">
        <v>229</v>
      </c>
      <c r="D29" s="62" t="s">
        <v>230</v>
      </c>
      <c r="E29" s="63"/>
      <c r="F29" s="63"/>
      <c r="G29" s="63"/>
      <c r="H29" s="63"/>
      <c r="I29" s="63"/>
      <c r="J29" s="63"/>
      <c r="K29" s="64">
        <f>SUM(K30:K32)</f>
        <v>47156.540999999997</v>
      </c>
      <c r="L29" s="65"/>
      <c r="M29" s="66">
        <f>SUM(M30:M32)</f>
        <v>47156.540999999997</v>
      </c>
      <c r="N29" s="38"/>
      <c r="O29" s="39"/>
      <c r="P29" s="39"/>
      <c r="Q29" s="39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34.5" customHeight="1">
      <c r="A30" s="75" t="s">
        <v>231</v>
      </c>
      <c r="B30" s="76">
        <v>87622</v>
      </c>
      <c r="C30" s="77" t="s">
        <v>232</v>
      </c>
      <c r="D30" s="71" t="s">
        <v>233</v>
      </c>
      <c r="E30" s="70" t="s">
        <v>234</v>
      </c>
      <c r="F30" s="72">
        <v>260.39999999999998</v>
      </c>
      <c r="G30" s="72"/>
      <c r="H30" s="72"/>
      <c r="I30" s="72">
        <f t="shared" ref="I30:I32" si="16">F30+G30-H30</f>
        <v>260.39999999999998</v>
      </c>
      <c r="J30" s="72">
        <v>40.619999999999997</v>
      </c>
      <c r="K30" s="73">
        <f t="shared" ref="K30:K32" si="17">F30*J30</f>
        <v>10577.447999999999</v>
      </c>
      <c r="L30" s="73">
        <f t="shared" ref="L30:L32" si="18">M30-K30</f>
        <v>0</v>
      </c>
      <c r="M30" s="74">
        <f t="shared" ref="M30:M32" si="19">I30*J30</f>
        <v>10577.447999999999</v>
      </c>
      <c r="N30" s="38"/>
      <c r="O30" s="39"/>
      <c r="P30" s="39"/>
      <c r="Q30" s="39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25.5" customHeight="1">
      <c r="A31" s="68" t="s">
        <v>235</v>
      </c>
      <c r="B31" s="69">
        <v>104596</v>
      </c>
      <c r="C31" s="70" t="s">
        <v>236</v>
      </c>
      <c r="D31" s="71" t="s">
        <v>237</v>
      </c>
      <c r="E31" s="70" t="s">
        <v>238</v>
      </c>
      <c r="F31" s="72">
        <v>9.69</v>
      </c>
      <c r="G31" s="72"/>
      <c r="H31" s="72"/>
      <c r="I31" s="72">
        <f t="shared" si="16"/>
        <v>9.69</v>
      </c>
      <c r="J31" s="72">
        <v>185.7</v>
      </c>
      <c r="K31" s="73">
        <f t="shared" si="17"/>
        <v>1799.4329999999998</v>
      </c>
      <c r="L31" s="73">
        <f t="shared" si="18"/>
        <v>0</v>
      </c>
      <c r="M31" s="74">
        <f t="shared" si="19"/>
        <v>1799.4329999999998</v>
      </c>
      <c r="N31" s="38"/>
      <c r="O31" s="39"/>
      <c r="P31" s="39"/>
      <c r="Q31" s="39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42.75" customHeight="1">
      <c r="A32" s="68" t="s">
        <v>239</v>
      </c>
      <c r="B32" s="69">
        <v>104162</v>
      </c>
      <c r="C32" s="70" t="s">
        <v>240</v>
      </c>
      <c r="D32" s="71" t="s">
        <v>241</v>
      </c>
      <c r="E32" s="70" t="s">
        <v>242</v>
      </c>
      <c r="F32" s="72">
        <v>318</v>
      </c>
      <c r="G32" s="72"/>
      <c r="H32" s="72"/>
      <c r="I32" s="72">
        <f t="shared" si="16"/>
        <v>318</v>
      </c>
      <c r="J32" s="72">
        <v>109.37</v>
      </c>
      <c r="K32" s="73">
        <f t="shared" si="17"/>
        <v>34779.660000000003</v>
      </c>
      <c r="L32" s="73">
        <f t="shared" si="18"/>
        <v>0</v>
      </c>
      <c r="M32" s="74">
        <f t="shared" si="19"/>
        <v>34779.660000000003</v>
      </c>
      <c r="N32" s="38"/>
      <c r="O32" s="39"/>
      <c r="P32" s="39"/>
      <c r="Q32" s="39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9" customHeight="1">
      <c r="A33" s="59"/>
      <c r="B33" s="60"/>
      <c r="C33" s="61" t="s">
        <v>243</v>
      </c>
      <c r="D33" s="62" t="s">
        <v>244</v>
      </c>
      <c r="E33" s="63"/>
      <c r="F33" s="63"/>
      <c r="G33" s="63"/>
      <c r="H33" s="63"/>
      <c r="I33" s="63"/>
      <c r="J33" s="63"/>
      <c r="K33" s="64">
        <f>SUM(K34:K36)</f>
        <v>2820.6435000000001</v>
      </c>
      <c r="L33" s="65"/>
      <c r="M33" s="66">
        <f>SUM(M34:M36)</f>
        <v>4236.7848000000004</v>
      </c>
      <c r="N33" s="38"/>
      <c r="O33" s="39"/>
      <c r="P33" s="39"/>
      <c r="Q33" s="39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>
      <c r="A34" s="75" t="s">
        <v>245</v>
      </c>
      <c r="B34" s="76">
        <v>104410</v>
      </c>
      <c r="C34" s="77" t="s">
        <v>246</v>
      </c>
      <c r="D34" s="78" t="s">
        <v>247</v>
      </c>
      <c r="E34" s="70" t="s">
        <v>248</v>
      </c>
      <c r="F34" s="72">
        <v>1.2</v>
      </c>
      <c r="G34" s="72"/>
      <c r="H34" s="72"/>
      <c r="I34" s="72">
        <f t="shared" ref="I34:I36" si="20">F34+G34-H34</f>
        <v>1.2</v>
      </c>
      <c r="J34" s="72">
        <v>5.84</v>
      </c>
      <c r="K34" s="73">
        <f t="shared" ref="K34:K36" si="21">F34*J34</f>
        <v>7.008</v>
      </c>
      <c r="L34" s="73">
        <f t="shared" ref="L34:L36" si="22">M34-K34</f>
        <v>0</v>
      </c>
      <c r="M34" s="74">
        <f t="shared" ref="M34:M36" si="23">I34*J34</f>
        <v>7.008</v>
      </c>
      <c r="N34" s="38"/>
      <c r="O34" s="39"/>
      <c r="P34" s="39"/>
      <c r="Q34" s="39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>
      <c r="A35" s="68" t="s">
        <v>249</v>
      </c>
      <c r="B35" s="69">
        <v>87528</v>
      </c>
      <c r="C35" s="70" t="s">
        <v>250</v>
      </c>
      <c r="D35" s="78" t="s">
        <v>251</v>
      </c>
      <c r="E35" s="70" t="s">
        <v>252</v>
      </c>
      <c r="F35" s="72">
        <v>19.89</v>
      </c>
      <c r="G35" s="72"/>
      <c r="H35" s="72">
        <f>G36</f>
        <v>18.690000000000001</v>
      </c>
      <c r="I35" s="72">
        <f t="shared" si="20"/>
        <v>1.1999999999999993</v>
      </c>
      <c r="J35" s="72">
        <v>48.71</v>
      </c>
      <c r="K35" s="73">
        <f t="shared" si="21"/>
        <v>968.84190000000001</v>
      </c>
      <c r="L35" s="73">
        <f t="shared" si="22"/>
        <v>-910.38990000000001</v>
      </c>
      <c r="M35" s="74">
        <f t="shared" si="23"/>
        <v>58.45199999999997</v>
      </c>
      <c r="N35" s="38"/>
      <c r="O35" s="39"/>
      <c r="P35" s="39"/>
      <c r="Q35" s="39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>
      <c r="A36" s="75" t="s">
        <v>253</v>
      </c>
      <c r="B36" s="76">
        <v>104612</v>
      </c>
      <c r="C36" s="77" t="s">
        <v>254</v>
      </c>
      <c r="D36" s="71" t="s">
        <v>255</v>
      </c>
      <c r="E36" s="70" t="s">
        <v>256</v>
      </c>
      <c r="F36" s="72">
        <v>14.82</v>
      </c>
      <c r="G36" s="72">
        <f>12.46*1.5</f>
        <v>18.690000000000001</v>
      </c>
      <c r="H36" s="72"/>
      <c r="I36" s="72">
        <f t="shared" si="20"/>
        <v>33.510000000000005</v>
      </c>
      <c r="J36" s="72">
        <v>124.48</v>
      </c>
      <c r="K36" s="73">
        <f t="shared" si="21"/>
        <v>1844.7936000000002</v>
      </c>
      <c r="L36" s="73">
        <f t="shared" si="22"/>
        <v>2326.5312000000004</v>
      </c>
      <c r="M36" s="74">
        <f t="shared" si="23"/>
        <v>4171.3248000000003</v>
      </c>
      <c r="N36" s="38"/>
      <c r="O36" s="39"/>
      <c r="P36" s="39"/>
      <c r="Q36" s="39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>
      <c r="A37" s="59"/>
      <c r="B37" s="60"/>
      <c r="C37" s="61" t="s">
        <v>257</v>
      </c>
      <c r="D37" s="62" t="s">
        <v>258</v>
      </c>
      <c r="E37" s="63"/>
      <c r="F37" s="63"/>
      <c r="G37" s="63"/>
      <c r="H37" s="63"/>
      <c r="I37" s="63"/>
      <c r="J37" s="63"/>
      <c r="K37" s="64">
        <f>SUM(K38:K41)</f>
        <v>15275.639199999998</v>
      </c>
      <c r="L37" s="65"/>
      <c r="M37" s="66">
        <f>SUM(M38:M41)</f>
        <v>12585.432099999998</v>
      </c>
      <c r="N37" s="38"/>
      <c r="O37" s="39"/>
      <c r="P37" s="39"/>
      <c r="Q37" s="39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>
      <c r="A38" s="75" t="s">
        <v>259</v>
      </c>
      <c r="B38" s="76">
        <v>88485</v>
      </c>
      <c r="C38" s="77" t="s">
        <v>260</v>
      </c>
      <c r="D38" s="71" t="s">
        <v>261</v>
      </c>
      <c r="E38" s="70" t="s">
        <v>262</v>
      </c>
      <c r="F38" s="72">
        <v>118.85</v>
      </c>
      <c r="G38" s="72"/>
      <c r="H38" s="72">
        <f>38.72+48.82+18.69</f>
        <v>106.22999999999999</v>
      </c>
      <c r="I38" s="72">
        <f t="shared" ref="I38:I41" si="24">F38+G38-H38</f>
        <v>12.620000000000005</v>
      </c>
      <c r="J38" s="72">
        <v>4.53</v>
      </c>
      <c r="K38" s="73">
        <f t="shared" ref="K38:K41" si="25">F38*J38</f>
        <v>538.39049999999997</v>
      </c>
      <c r="L38" s="73">
        <f t="shared" ref="L38:L41" si="26">M38-K38</f>
        <v>-481.22189999999995</v>
      </c>
      <c r="M38" s="74">
        <f t="shared" ref="M38:M41" si="27">I38*J38</f>
        <v>57.168600000000026</v>
      </c>
      <c r="N38" s="38"/>
      <c r="O38" s="39"/>
      <c r="P38" s="39"/>
      <c r="Q38" s="39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>
      <c r="A39" s="75" t="s">
        <v>263</v>
      </c>
      <c r="B39" s="76">
        <v>88497</v>
      </c>
      <c r="C39" s="77" t="s">
        <v>264</v>
      </c>
      <c r="D39" s="71" t="s">
        <v>265</v>
      </c>
      <c r="E39" s="70" t="s">
        <v>266</v>
      </c>
      <c r="F39" s="72">
        <v>414.62</v>
      </c>
      <c r="G39" s="72"/>
      <c r="H39" s="72">
        <f>H38</f>
        <v>106.22999999999999</v>
      </c>
      <c r="I39" s="72">
        <f t="shared" si="24"/>
        <v>308.39</v>
      </c>
      <c r="J39" s="72">
        <v>18.149999999999999</v>
      </c>
      <c r="K39" s="73">
        <f t="shared" si="25"/>
        <v>7525.3529999999992</v>
      </c>
      <c r="L39" s="73">
        <f t="shared" si="26"/>
        <v>-1928.0744999999997</v>
      </c>
      <c r="M39" s="74">
        <f t="shared" si="27"/>
        <v>5597.2784999999994</v>
      </c>
      <c r="N39" s="38"/>
      <c r="O39" s="39"/>
      <c r="P39" s="39"/>
      <c r="Q39" s="39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>
      <c r="A40" s="75" t="s">
        <v>267</v>
      </c>
      <c r="B40" s="76">
        <v>88489</v>
      </c>
      <c r="C40" s="77" t="s">
        <v>268</v>
      </c>
      <c r="D40" s="71" t="s">
        <v>269</v>
      </c>
      <c r="E40" s="70" t="s">
        <v>270</v>
      </c>
      <c r="F40" s="72">
        <v>400.93</v>
      </c>
      <c r="G40" s="72"/>
      <c r="H40" s="72">
        <f>G36</f>
        <v>18.690000000000001</v>
      </c>
      <c r="I40" s="72">
        <f t="shared" si="24"/>
        <v>382.24</v>
      </c>
      <c r="J40" s="72">
        <v>15.03</v>
      </c>
      <c r="K40" s="73">
        <f t="shared" si="25"/>
        <v>6025.9778999999999</v>
      </c>
      <c r="L40" s="73">
        <f t="shared" si="26"/>
        <v>-280.91070000000036</v>
      </c>
      <c r="M40" s="74">
        <f t="shared" si="27"/>
        <v>5745.0671999999995</v>
      </c>
      <c r="N40" s="38"/>
      <c r="O40" s="39"/>
      <c r="P40" s="39"/>
      <c r="Q40" s="39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>
      <c r="A41" s="75" t="s">
        <v>271</v>
      </c>
      <c r="B41" s="76">
        <v>88488</v>
      </c>
      <c r="C41" s="77" t="s">
        <v>272</v>
      </c>
      <c r="D41" s="71" t="s">
        <v>273</v>
      </c>
      <c r="E41" s="70" t="s">
        <v>274</v>
      </c>
      <c r="F41" s="72">
        <v>67.42</v>
      </c>
      <c r="G41" s="72"/>
      <c r="H41" s="72"/>
      <c r="I41" s="72">
        <f t="shared" si="24"/>
        <v>67.42</v>
      </c>
      <c r="J41" s="72">
        <v>17.59</v>
      </c>
      <c r="K41" s="73">
        <f t="shared" si="25"/>
        <v>1185.9177999999999</v>
      </c>
      <c r="L41" s="73">
        <f t="shared" si="26"/>
        <v>0</v>
      </c>
      <c r="M41" s="74">
        <f t="shared" si="27"/>
        <v>1185.9177999999999</v>
      </c>
      <c r="N41" s="38"/>
      <c r="O41" s="39"/>
      <c r="P41" s="39"/>
      <c r="Q41" s="39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>
      <c r="A42" s="59"/>
      <c r="B42" s="60"/>
      <c r="C42" s="61" t="s">
        <v>275</v>
      </c>
      <c r="D42" s="62" t="s">
        <v>276</v>
      </c>
      <c r="E42" s="63"/>
      <c r="F42" s="63"/>
      <c r="G42" s="63"/>
      <c r="H42" s="63"/>
      <c r="I42" s="63"/>
      <c r="J42" s="63"/>
      <c r="K42" s="64">
        <f>K43</f>
        <v>11887.145699999999</v>
      </c>
      <c r="L42" s="65"/>
      <c r="M42" s="66">
        <f>M43</f>
        <v>11887.145699999999</v>
      </c>
      <c r="N42" s="38"/>
      <c r="O42" s="39"/>
      <c r="P42" s="39"/>
      <c r="Q42" s="39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>
      <c r="A43" s="59"/>
      <c r="B43" s="60"/>
      <c r="C43" s="61" t="s">
        <v>277</v>
      </c>
      <c r="D43" s="62" t="s">
        <v>278</v>
      </c>
      <c r="E43" s="63"/>
      <c r="F43" s="63"/>
      <c r="G43" s="63"/>
      <c r="H43" s="63"/>
      <c r="I43" s="63"/>
      <c r="J43" s="63"/>
      <c r="K43" s="64">
        <f>SUM(K44:K45)</f>
        <v>11887.145699999999</v>
      </c>
      <c r="L43" s="65"/>
      <c r="M43" s="66">
        <f>SUM(M44:M45)</f>
        <v>11887.145699999999</v>
      </c>
      <c r="N43" s="38"/>
      <c r="O43" s="39"/>
      <c r="P43" s="39"/>
      <c r="Q43" s="39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>
      <c r="A44" s="75" t="s">
        <v>279</v>
      </c>
      <c r="B44" s="76">
        <v>88497</v>
      </c>
      <c r="C44" s="77" t="s">
        <v>280</v>
      </c>
      <c r="D44" s="71" t="s">
        <v>281</v>
      </c>
      <c r="E44" s="70" t="s">
        <v>282</v>
      </c>
      <c r="F44" s="72">
        <v>362.38</v>
      </c>
      <c r="G44" s="72"/>
      <c r="H44" s="72"/>
      <c r="I44" s="72">
        <f t="shared" ref="I44:I45" si="28">F44+G44-H44</f>
        <v>362.38</v>
      </c>
      <c r="J44" s="72">
        <v>18.149999999999999</v>
      </c>
      <c r="K44" s="73">
        <f t="shared" ref="K44:K45" si="29">F44*J44</f>
        <v>6577.1969999999992</v>
      </c>
      <c r="L44" s="73">
        <f t="shared" ref="L44:L45" si="30">M44-K44</f>
        <v>0</v>
      </c>
      <c r="M44" s="74">
        <f t="shared" ref="M44:M45" si="31">I44*J44</f>
        <v>6577.1969999999992</v>
      </c>
      <c r="N44" s="38"/>
      <c r="O44" s="39"/>
      <c r="P44" s="39"/>
      <c r="Q44" s="39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>
      <c r="A45" s="75" t="s">
        <v>283</v>
      </c>
      <c r="B45" s="76">
        <v>88489</v>
      </c>
      <c r="C45" s="77" t="s">
        <v>284</v>
      </c>
      <c r="D45" s="71" t="s">
        <v>285</v>
      </c>
      <c r="E45" s="70" t="s">
        <v>286</v>
      </c>
      <c r="F45" s="72">
        <v>353.29</v>
      </c>
      <c r="G45" s="72"/>
      <c r="H45" s="72"/>
      <c r="I45" s="72">
        <f t="shared" si="28"/>
        <v>353.29</v>
      </c>
      <c r="J45" s="72">
        <v>15.03</v>
      </c>
      <c r="K45" s="73">
        <f t="shared" si="29"/>
        <v>5309.9486999999999</v>
      </c>
      <c r="L45" s="73">
        <f t="shared" si="30"/>
        <v>0</v>
      </c>
      <c r="M45" s="74">
        <f t="shared" si="31"/>
        <v>5309.9486999999999</v>
      </c>
      <c r="N45" s="38"/>
      <c r="O45" s="39"/>
      <c r="P45" s="39"/>
      <c r="Q45" s="39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>
      <c r="A46" s="79"/>
      <c r="B46" s="80"/>
      <c r="C46" s="80"/>
      <c r="D46" s="81"/>
      <c r="E46" s="82"/>
      <c r="F46" s="82"/>
      <c r="G46" s="82"/>
      <c r="H46" s="82"/>
      <c r="I46" s="82"/>
      <c r="J46" s="82"/>
      <c r="K46" s="83"/>
      <c r="L46" s="84"/>
      <c r="M46" s="85"/>
      <c r="N46" s="38"/>
      <c r="O46" s="39"/>
      <c r="P46" s="39"/>
      <c r="Q46" s="39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5.75" customHeight="1">
      <c r="A47" s="79"/>
      <c r="B47" s="80"/>
      <c r="C47" s="80"/>
      <c r="D47" s="81"/>
      <c r="E47" s="82"/>
      <c r="F47" s="82"/>
      <c r="G47" s="82"/>
      <c r="H47" s="82"/>
      <c r="I47" s="82"/>
      <c r="J47" s="82"/>
      <c r="K47" s="83"/>
      <c r="L47" s="84"/>
      <c r="M47" s="85"/>
      <c r="N47" s="38"/>
      <c r="O47" s="39"/>
      <c r="P47" s="39"/>
      <c r="Q47" s="39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5.75" customHeight="1">
      <c r="A48" s="79"/>
      <c r="B48" s="80"/>
      <c r="C48" s="80"/>
      <c r="D48" s="81"/>
      <c r="E48" s="82"/>
      <c r="F48" s="82"/>
      <c r="G48" s="82"/>
      <c r="H48" s="82"/>
      <c r="I48" s="82"/>
      <c r="J48" s="82"/>
      <c r="K48" s="83"/>
      <c r="L48" s="84"/>
      <c r="M48" s="85"/>
      <c r="N48" s="38"/>
      <c r="O48" s="39"/>
      <c r="P48" s="39"/>
      <c r="Q48" s="39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5.75" customHeight="1">
      <c r="A49" s="79"/>
      <c r="B49" s="80"/>
      <c r="C49" s="80"/>
      <c r="D49" s="81"/>
      <c r="E49" s="82"/>
      <c r="F49" s="82"/>
      <c r="G49" s="82"/>
      <c r="H49" s="82"/>
      <c r="I49" s="82"/>
      <c r="J49" s="82"/>
      <c r="K49" s="83"/>
      <c r="L49" s="84"/>
      <c r="M49" s="85"/>
      <c r="N49" s="38"/>
      <c r="O49" s="39"/>
      <c r="P49" s="39"/>
      <c r="Q49" s="39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5.75" customHeight="1">
      <c r="A50" s="79"/>
      <c r="B50" s="80"/>
      <c r="C50" s="80"/>
      <c r="D50" s="81"/>
      <c r="E50" s="82"/>
      <c r="F50" s="82"/>
      <c r="G50" s="82"/>
      <c r="H50" s="82"/>
      <c r="I50" s="82"/>
      <c r="J50" s="82"/>
      <c r="K50" s="83"/>
      <c r="L50" s="84"/>
      <c r="M50" s="85"/>
      <c r="N50" s="38"/>
      <c r="O50" s="39"/>
      <c r="P50" s="39"/>
      <c r="Q50" s="39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5.75" customHeight="1">
      <c r="A51" s="79"/>
      <c r="B51" s="80"/>
      <c r="C51" s="80"/>
      <c r="D51" s="81"/>
      <c r="E51" s="82"/>
      <c r="F51" s="82"/>
      <c r="G51" s="82"/>
      <c r="H51" s="82"/>
      <c r="I51" s="82"/>
      <c r="J51" s="82"/>
      <c r="K51" s="83"/>
      <c r="L51" s="84"/>
      <c r="M51" s="85"/>
      <c r="N51" s="38"/>
      <c r="O51" s="39"/>
      <c r="P51" s="39"/>
      <c r="Q51" s="39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5.75" customHeight="1">
      <c r="A52" s="79"/>
      <c r="B52" s="80"/>
      <c r="C52" s="80"/>
      <c r="D52" s="81"/>
      <c r="E52" s="82"/>
      <c r="F52" s="82"/>
      <c r="G52" s="82"/>
      <c r="H52" s="82"/>
      <c r="I52" s="82"/>
      <c r="J52" s="82"/>
      <c r="K52" s="83"/>
      <c r="L52" s="84"/>
      <c r="M52" s="85"/>
      <c r="N52" s="38"/>
      <c r="O52" s="39"/>
      <c r="P52" s="39"/>
      <c r="Q52" s="39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5.75" customHeight="1">
      <c r="A53" s="79"/>
      <c r="B53" s="80"/>
      <c r="C53" s="80"/>
      <c r="D53" s="81"/>
      <c r="E53" s="82"/>
      <c r="F53" s="82"/>
      <c r="G53" s="82"/>
      <c r="H53" s="82"/>
      <c r="I53" s="82"/>
      <c r="J53" s="82"/>
      <c r="K53" s="83"/>
      <c r="L53" s="84"/>
      <c r="M53" s="85"/>
      <c r="N53" s="38"/>
      <c r="O53" s="39"/>
      <c r="P53" s="39"/>
      <c r="Q53" s="39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5.75" customHeight="1">
      <c r="A54" s="79"/>
      <c r="B54" s="80"/>
      <c r="C54" s="80"/>
      <c r="D54" s="81"/>
      <c r="E54" s="82"/>
      <c r="F54" s="82"/>
      <c r="G54" s="82"/>
      <c r="H54" s="82"/>
      <c r="I54" s="82"/>
      <c r="J54" s="82"/>
      <c r="K54" s="83"/>
      <c r="L54" s="84"/>
      <c r="M54" s="85"/>
      <c r="N54" s="38"/>
      <c r="O54" s="39"/>
      <c r="P54" s="39"/>
      <c r="Q54" s="39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5.75" customHeight="1">
      <c r="A55" s="79"/>
      <c r="B55" s="80"/>
      <c r="C55" s="80"/>
      <c r="D55" s="81"/>
      <c r="E55" s="82"/>
      <c r="F55" s="82"/>
      <c r="G55" s="82"/>
      <c r="H55" s="82"/>
      <c r="I55" s="82"/>
      <c r="J55" s="82"/>
      <c r="K55" s="83"/>
      <c r="L55" s="84"/>
      <c r="M55" s="85"/>
      <c r="N55" s="38"/>
      <c r="O55" s="39"/>
      <c r="P55" s="39"/>
      <c r="Q55" s="39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5.75" customHeight="1">
      <c r="A56" s="79"/>
      <c r="B56" s="80"/>
      <c r="C56" s="80"/>
      <c r="D56" s="81"/>
      <c r="E56" s="82"/>
      <c r="F56" s="82"/>
      <c r="G56" s="82"/>
      <c r="H56" s="82"/>
      <c r="I56" s="82"/>
      <c r="J56" s="82"/>
      <c r="K56" s="83"/>
      <c r="L56" s="84"/>
      <c r="M56" s="85"/>
      <c r="N56" s="38"/>
      <c r="O56" s="39"/>
      <c r="P56" s="39"/>
      <c r="Q56" s="39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5.75" customHeight="1">
      <c r="A57" s="79"/>
      <c r="B57" s="80"/>
      <c r="C57" s="80"/>
      <c r="D57" s="81"/>
      <c r="E57" s="82"/>
      <c r="F57" s="82"/>
      <c r="G57" s="82"/>
      <c r="H57" s="82"/>
      <c r="I57" s="82"/>
      <c r="J57" s="82"/>
      <c r="K57" s="83"/>
      <c r="L57" s="84"/>
      <c r="M57" s="85"/>
      <c r="N57" s="38"/>
      <c r="O57" s="39"/>
      <c r="P57" s="39"/>
      <c r="Q57" s="39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5.75" customHeight="1">
      <c r="A58" s="79"/>
      <c r="B58" s="80"/>
      <c r="C58" s="80"/>
      <c r="D58" s="81"/>
      <c r="E58" s="82"/>
      <c r="F58" s="82"/>
      <c r="G58" s="82"/>
      <c r="H58" s="82"/>
      <c r="I58" s="82"/>
      <c r="J58" s="82"/>
      <c r="K58" s="83"/>
      <c r="L58" s="84"/>
      <c r="M58" s="85"/>
      <c r="N58" s="38"/>
      <c r="O58" s="39"/>
      <c r="P58" s="39"/>
      <c r="Q58" s="39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5.75" customHeight="1">
      <c r="A59" s="79"/>
      <c r="B59" s="80"/>
      <c r="C59" s="80"/>
      <c r="D59" s="81"/>
      <c r="E59" s="82"/>
      <c r="F59" s="82"/>
      <c r="G59" s="82"/>
      <c r="H59" s="82"/>
      <c r="I59" s="82"/>
      <c r="J59" s="82"/>
      <c r="K59" s="83"/>
      <c r="L59" s="84"/>
      <c r="M59" s="85"/>
      <c r="N59" s="38"/>
      <c r="O59" s="39"/>
      <c r="P59" s="39"/>
      <c r="Q59" s="39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5.75" customHeight="1">
      <c r="A60" s="79"/>
      <c r="B60" s="80"/>
      <c r="C60" s="80"/>
      <c r="D60" s="81"/>
      <c r="E60" s="82"/>
      <c r="F60" s="82"/>
      <c r="G60" s="82"/>
      <c r="H60" s="82"/>
      <c r="I60" s="82"/>
      <c r="J60" s="82"/>
      <c r="K60" s="83"/>
      <c r="L60" s="84"/>
      <c r="M60" s="85"/>
      <c r="N60" s="38"/>
      <c r="O60" s="39"/>
      <c r="P60" s="39"/>
      <c r="Q60" s="39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5.75" customHeight="1">
      <c r="A61" s="79"/>
      <c r="B61" s="80"/>
      <c r="C61" s="80"/>
      <c r="D61" s="81"/>
      <c r="E61" s="82"/>
      <c r="F61" s="82"/>
      <c r="G61" s="82"/>
      <c r="H61" s="82"/>
      <c r="I61" s="82"/>
      <c r="J61" s="82"/>
      <c r="K61" s="83"/>
      <c r="L61" s="84"/>
      <c r="M61" s="85"/>
      <c r="N61" s="38"/>
      <c r="O61" s="39"/>
      <c r="P61" s="39"/>
      <c r="Q61" s="39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5.75" customHeight="1">
      <c r="A62" s="79"/>
      <c r="B62" s="80"/>
      <c r="C62" s="80"/>
      <c r="D62" s="81"/>
      <c r="E62" s="82"/>
      <c r="F62" s="82"/>
      <c r="G62" s="82"/>
      <c r="H62" s="82"/>
      <c r="I62" s="82"/>
      <c r="J62" s="82"/>
      <c r="K62" s="83"/>
      <c r="L62" s="84"/>
      <c r="M62" s="85"/>
      <c r="N62" s="38"/>
      <c r="O62" s="39"/>
      <c r="P62" s="39"/>
      <c r="Q62" s="39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5.75" customHeight="1">
      <c r="A63" s="79"/>
      <c r="B63" s="80"/>
      <c r="C63" s="80"/>
      <c r="D63" s="81"/>
      <c r="E63" s="82"/>
      <c r="F63" s="82"/>
      <c r="G63" s="82"/>
      <c r="H63" s="82"/>
      <c r="I63" s="82"/>
      <c r="J63" s="82"/>
      <c r="K63" s="83"/>
      <c r="L63" s="84"/>
      <c r="M63" s="85"/>
      <c r="N63" s="38"/>
      <c r="O63" s="39"/>
      <c r="P63" s="39"/>
      <c r="Q63" s="39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5.75" customHeight="1">
      <c r="A64" s="79"/>
      <c r="B64" s="80"/>
      <c r="C64" s="80"/>
      <c r="D64" s="81"/>
      <c r="E64" s="82"/>
      <c r="F64" s="82"/>
      <c r="G64" s="82"/>
      <c r="H64" s="82"/>
      <c r="I64" s="82"/>
      <c r="J64" s="82"/>
      <c r="K64" s="83"/>
      <c r="L64" s="84"/>
      <c r="M64" s="85"/>
      <c r="N64" s="38"/>
      <c r="O64" s="39"/>
      <c r="P64" s="39"/>
      <c r="Q64" s="39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5.75" customHeight="1">
      <c r="A65" s="79"/>
      <c r="B65" s="80"/>
      <c r="C65" s="80"/>
      <c r="D65" s="81"/>
      <c r="E65" s="82"/>
      <c r="F65" s="82"/>
      <c r="G65" s="82"/>
      <c r="H65" s="82"/>
      <c r="I65" s="82"/>
      <c r="J65" s="82"/>
      <c r="K65" s="83"/>
      <c r="L65" s="84"/>
      <c r="M65" s="85"/>
      <c r="N65" s="38"/>
      <c r="O65" s="39"/>
      <c r="P65" s="39"/>
      <c r="Q65" s="39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5.75" customHeight="1">
      <c r="A66" s="79"/>
      <c r="B66" s="80"/>
      <c r="C66" s="80"/>
      <c r="D66" s="81"/>
      <c r="E66" s="82"/>
      <c r="F66" s="82"/>
      <c r="G66" s="82"/>
      <c r="H66" s="82"/>
      <c r="I66" s="82"/>
      <c r="J66" s="82"/>
      <c r="K66" s="83"/>
      <c r="L66" s="84"/>
      <c r="M66" s="85"/>
      <c r="N66" s="38"/>
      <c r="O66" s="39"/>
      <c r="P66" s="39"/>
      <c r="Q66" s="39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5.75" customHeight="1">
      <c r="A67" s="79"/>
      <c r="B67" s="80"/>
      <c r="C67" s="80"/>
      <c r="D67" s="81"/>
      <c r="E67" s="82"/>
      <c r="F67" s="82"/>
      <c r="G67" s="82"/>
      <c r="H67" s="82"/>
      <c r="I67" s="82"/>
      <c r="J67" s="82"/>
      <c r="K67" s="83"/>
      <c r="L67" s="84"/>
      <c r="M67" s="85"/>
      <c r="N67" s="38"/>
      <c r="O67" s="39"/>
      <c r="P67" s="39"/>
      <c r="Q67" s="39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5.75" customHeight="1">
      <c r="A68" s="79"/>
      <c r="B68" s="80"/>
      <c r="C68" s="80"/>
      <c r="D68" s="81"/>
      <c r="E68" s="82"/>
      <c r="F68" s="82"/>
      <c r="G68" s="82"/>
      <c r="H68" s="82"/>
      <c r="I68" s="82"/>
      <c r="J68" s="82"/>
      <c r="K68" s="83"/>
      <c r="L68" s="84"/>
      <c r="M68" s="85"/>
      <c r="N68" s="38"/>
      <c r="O68" s="39"/>
      <c r="P68" s="39"/>
      <c r="Q68" s="39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5.75" customHeight="1">
      <c r="A69" s="79"/>
      <c r="B69" s="80"/>
      <c r="C69" s="80"/>
      <c r="D69" s="81"/>
      <c r="E69" s="82"/>
      <c r="F69" s="82"/>
      <c r="G69" s="82"/>
      <c r="H69" s="82"/>
      <c r="I69" s="82"/>
      <c r="J69" s="82"/>
      <c r="K69" s="83"/>
      <c r="L69" s="84"/>
      <c r="M69" s="85"/>
      <c r="N69" s="38"/>
      <c r="O69" s="39"/>
      <c r="P69" s="39"/>
      <c r="Q69" s="39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5.75" customHeight="1">
      <c r="A70" s="79"/>
      <c r="B70" s="80"/>
      <c r="C70" s="80"/>
      <c r="D70" s="81"/>
      <c r="E70" s="82"/>
      <c r="F70" s="82"/>
      <c r="G70" s="82"/>
      <c r="H70" s="82"/>
      <c r="I70" s="82"/>
      <c r="J70" s="82"/>
      <c r="K70" s="83"/>
      <c r="L70" s="84"/>
      <c r="M70" s="85"/>
      <c r="N70" s="38"/>
      <c r="O70" s="39"/>
      <c r="P70" s="39"/>
      <c r="Q70" s="39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5.75" customHeight="1">
      <c r="A71" s="79"/>
      <c r="B71" s="80"/>
      <c r="C71" s="80"/>
      <c r="D71" s="81"/>
      <c r="E71" s="82"/>
      <c r="F71" s="82"/>
      <c r="G71" s="82"/>
      <c r="H71" s="82"/>
      <c r="I71" s="82"/>
      <c r="J71" s="82"/>
      <c r="K71" s="83"/>
      <c r="L71" s="84"/>
      <c r="M71" s="85"/>
      <c r="N71" s="38"/>
      <c r="O71" s="39"/>
      <c r="P71" s="39"/>
      <c r="Q71" s="39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5.75" customHeight="1">
      <c r="A72" s="79"/>
      <c r="B72" s="80"/>
      <c r="C72" s="80"/>
      <c r="D72" s="81"/>
      <c r="E72" s="82"/>
      <c r="F72" s="82"/>
      <c r="G72" s="82"/>
      <c r="H72" s="82"/>
      <c r="I72" s="82"/>
      <c r="J72" s="82"/>
      <c r="K72" s="83"/>
      <c r="L72" s="84"/>
      <c r="M72" s="85"/>
      <c r="N72" s="38"/>
      <c r="O72" s="39"/>
      <c r="P72" s="39"/>
      <c r="Q72" s="39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5.75" customHeight="1">
      <c r="A73" s="79"/>
      <c r="B73" s="80"/>
      <c r="C73" s="80"/>
      <c r="D73" s="81"/>
      <c r="E73" s="82"/>
      <c r="F73" s="82"/>
      <c r="G73" s="82"/>
      <c r="H73" s="82"/>
      <c r="I73" s="82"/>
      <c r="J73" s="82"/>
      <c r="K73" s="83"/>
      <c r="L73" s="84"/>
      <c r="M73" s="85"/>
      <c r="N73" s="38"/>
      <c r="O73" s="39"/>
      <c r="P73" s="39"/>
      <c r="Q73" s="39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5.75" customHeight="1">
      <c r="A74" s="79"/>
      <c r="B74" s="80"/>
      <c r="C74" s="80"/>
      <c r="D74" s="81"/>
      <c r="E74" s="82"/>
      <c r="F74" s="82"/>
      <c r="G74" s="82"/>
      <c r="H74" s="82"/>
      <c r="I74" s="82"/>
      <c r="J74" s="82"/>
      <c r="K74" s="83"/>
      <c r="L74" s="84"/>
      <c r="M74" s="85"/>
      <c r="N74" s="38"/>
      <c r="O74" s="39"/>
      <c r="P74" s="39"/>
      <c r="Q74" s="39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5.75" customHeight="1">
      <c r="A75" s="79"/>
      <c r="B75" s="80"/>
      <c r="C75" s="80"/>
      <c r="D75" s="81"/>
      <c r="E75" s="82"/>
      <c r="F75" s="82"/>
      <c r="G75" s="82"/>
      <c r="H75" s="82"/>
      <c r="I75" s="82"/>
      <c r="J75" s="82"/>
      <c r="K75" s="83"/>
      <c r="L75" s="84"/>
      <c r="M75" s="85"/>
      <c r="N75" s="38"/>
      <c r="O75" s="39"/>
      <c r="P75" s="39"/>
      <c r="Q75" s="39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5.75" customHeight="1">
      <c r="A76" s="79"/>
      <c r="B76" s="80"/>
      <c r="C76" s="80"/>
      <c r="D76" s="81"/>
      <c r="E76" s="82"/>
      <c r="F76" s="82"/>
      <c r="G76" s="82"/>
      <c r="H76" s="82"/>
      <c r="I76" s="82"/>
      <c r="J76" s="82"/>
      <c r="K76" s="83"/>
      <c r="L76" s="84"/>
      <c r="M76" s="85"/>
      <c r="N76" s="38"/>
      <c r="O76" s="39"/>
      <c r="P76" s="39"/>
      <c r="Q76" s="39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5.75" customHeight="1">
      <c r="A77" s="79"/>
      <c r="B77" s="80"/>
      <c r="C77" s="80"/>
      <c r="D77" s="81"/>
      <c r="E77" s="82"/>
      <c r="F77" s="82"/>
      <c r="G77" s="82"/>
      <c r="H77" s="82"/>
      <c r="I77" s="82"/>
      <c r="J77" s="82"/>
      <c r="K77" s="83"/>
      <c r="L77" s="84"/>
      <c r="M77" s="85"/>
      <c r="N77" s="38"/>
      <c r="O77" s="39"/>
      <c r="P77" s="39"/>
      <c r="Q77" s="39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5.75" customHeight="1">
      <c r="A78" s="79"/>
      <c r="B78" s="80"/>
      <c r="C78" s="80"/>
      <c r="D78" s="81"/>
      <c r="E78" s="82"/>
      <c r="F78" s="82"/>
      <c r="G78" s="82"/>
      <c r="H78" s="82"/>
      <c r="I78" s="82"/>
      <c r="J78" s="82"/>
      <c r="K78" s="83"/>
      <c r="L78" s="84"/>
      <c r="M78" s="85"/>
      <c r="N78" s="38"/>
      <c r="O78" s="39"/>
      <c r="P78" s="39"/>
      <c r="Q78" s="39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5.75" customHeight="1">
      <c r="A79" s="79"/>
      <c r="B79" s="80"/>
      <c r="C79" s="80"/>
      <c r="D79" s="81"/>
      <c r="E79" s="82"/>
      <c r="F79" s="82"/>
      <c r="G79" s="82"/>
      <c r="H79" s="82"/>
      <c r="I79" s="82"/>
      <c r="J79" s="82"/>
      <c r="K79" s="83"/>
      <c r="L79" s="84"/>
      <c r="M79" s="85"/>
      <c r="N79" s="38"/>
      <c r="O79" s="39"/>
      <c r="P79" s="39"/>
      <c r="Q79" s="39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5.75" customHeight="1">
      <c r="A80" s="79"/>
      <c r="B80" s="80"/>
      <c r="C80" s="80"/>
      <c r="D80" s="81"/>
      <c r="E80" s="82"/>
      <c r="F80" s="82"/>
      <c r="G80" s="82"/>
      <c r="H80" s="82"/>
      <c r="I80" s="82"/>
      <c r="J80" s="82"/>
      <c r="K80" s="83"/>
      <c r="L80" s="84"/>
      <c r="M80" s="85"/>
      <c r="N80" s="38"/>
      <c r="O80" s="39"/>
      <c r="P80" s="39"/>
      <c r="Q80" s="39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5.75" customHeight="1">
      <c r="A81" s="79"/>
      <c r="B81" s="80"/>
      <c r="C81" s="80"/>
      <c r="D81" s="81"/>
      <c r="E81" s="82"/>
      <c r="F81" s="82"/>
      <c r="G81" s="82"/>
      <c r="H81" s="82"/>
      <c r="I81" s="82"/>
      <c r="J81" s="82"/>
      <c r="K81" s="83"/>
      <c r="L81" s="84"/>
      <c r="M81" s="85"/>
      <c r="N81" s="38"/>
      <c r="O81" s="39"/>
      <c r="P81" s="39"/>
      <c r="Q81" s="39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5.75" customHeight="1">
      <c r="A82" s="79"/>
      <c r="B82" s="80"/>
      <c r="C82" s="80"/>
      <c r="D82" s="81"/>
      <c r="E82" s="82"/>
      <c r="F82" s="82"/>
      <c r="G82" s="82"/>
      <c r="H82" s="82"/>
      <c r="I82" s="82"/>
      <c r="J82" s="82"/>
      <c r="K82" s="83"/>
      <c r="L82" s="84"/>
      <c r="M82" s="85"/>
      <c r="N82" s="38"/>
      <c r="O82" s="39"/>
      <c r="P82" s="39"/>
      <c r="Q82" s="39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5.75" customHeight="1">
      <c r="A83" s="79"/>
      <c r="B83" s="80"/>
      <c r="C83" s="80"/>
      <c r="D83" s="81"/>
      <c r="E83" s="82"/>
      <c r="F83" s="82"/>
      <c r="G83" s="82"/>
      <c r="H83" s="82"/>
      <c r="I83" s="82"/>
      <c r="J83" s="82"/>
      <c r="K83" s="83"/>
      <c r="L83" s="84"/>
      <c r="M83" s="85"/>
      <c r="N83" s="38"/>
      <c r="O83" s="39"/>
      <c r="P83" s="39"/>
      <c r="Q83" s="39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5.75" customHeight="1">
      <c r="A84" s="79"/>
      <c r="B84" s="80"/>
      <c r="C84" s="80"/>
      <c r="D84" s="81"/>
      <c r="E84" s="82"/>
      <c r="F84" s="82"/>
      <c r="G84" s="82"/>
      <c r="H84" s="82"/>
      <c r="I84" s="82"/>
      <c r="J84" s="82"/>
      <c r="K84" s="83"/>
      <c r="L84" s="84"/>
      <c r="M84" s="85"/>
      <c r="N84" s="38"/>
      <c r="O84" s="39"/>
      <c r="P84" s="39"/>
      <c r="Q84" s="39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5.75" customHeight="1">
      <c r="A85" s="79"/>
      <c r="B85" s="80"/>
      <c r="C85" s="80"/>
      <c r="D85" s="81"/>
      <c r="E85" s="82"/>
      <c r="F85" s="82"/>
      <c r="G85" s="82"/>
      <c r="H85" s="82"/>
      <c r="I85" s="82"/>
      <c r="J85" s="82"/>
      <c r="K85" s="83"/>
      <c r="L85" s="84"/>
      <c r="M85" s="85"/>
      <c r="N85" s="38"/>
      <c r="O85" s="39"/>
      <c r="P85" s="39"/>
      <c r="Q85" s="39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5.75" customHeight="1">
      <c r="A86" s="79"/>
      <c r="B86" s="80"/>
      <c r="C86" s="80"/>
      <c r="D86" s="81"/>
      <c r="E86" s="82"/>
      <c r="F86" s="82"/>
      <c r="G86" s="82"/>
      <c r="H86" s="82"/>
      <c r="I86" s="82"/>
      <c r="J86" s="82"/>
      <c r="K86" s="83"/>
      <c r="L86" s="84"/>
      <c r="M86" s="85"/>
      <c r="N86" s="38"/>
      <c r="O86" s="39"/>
      <c r="P86" s="39"/>
      <c r="Q86" s="39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5.75" customHeight="1">
      <c r="A87" s="79"/>
      <c r="B87" s="80"/>
      <c r="C87" s="80"/>
      <c r="D87" s="81"/>
      <c r="E87" s="82"/>
      <c r="F87" s="82"/>
      <c r="G87" s="82"/>
      <c r="H87" s="82"/>
      <c r="I87" s="82"/>
      <c r="J87" s="82"/>
      <c r="K87" s="83"/>
      <c r="L87" s="84"/>
      <c r="M87" s="85"/>
      <c r="N87" s="38"/>
      <c r="O87" s="39"/>
      <c r="P87" s="39"/>
      <c r="Q87" s="39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5.75" customHeight="1">
      <c r="A88" s="79"/>
      <c r="B88" s="80"/>
      <c r="C88" s="80"/>
      <c r="D88" s="81"/>
      <c r="E88" s="82"/>
      <c r="F88" s="82"/>
      <c r="G88" s="82"/>
      <c r="H88" s="82"/>
      <c r="I88" s="82"/>
      <c r="J88" s="82"/>
      <c r="K88" s="83"/>
      <c r="L88" s="84"/>
      <c r="M88" s="85"/>
      <c r="N88" s="38"/>
      <c r="O88" s="39"/>
      <c r="P88" s="39"/>
      <c r="Q88" s="39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5.75" customHeight="1">
      <c r="A89" s="79"/>
      <c r="B89" s="80"/>
      <c r="C89" s="80"/>
      <c r="D89" s="81"/>
      <c r="E89" s="82"/>
      <c r="F89" s="82"/>
      <c r="G89" s="82"/>
      <c r="H89" s="82"/>
      <c r="I89" s="82"/>
      <c r="J89" s="82"/>
      <c r="K89" s="83"/>
      <c r="L89" s="84"/>
      <c r="M89" s="85"/>
      <c r="N89" s="38"/>
      <c r="O89" s="39"/>
      <c r="P89" s="39"/>
      <c r="Q89" s="39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5.75" customHeight="1">
      <c r="A90" s="79"/>
      <c r="B90" s="80"/>
      <c r="C90" s="80"/>
      <c r="D90" s="81"/>
      <c r="E90" s="82"/>
      <c r="F90" s="82"/>
      <c r="G90" s="82"/>
      <c r="H90" s="82"/>
      <c r="I90" s="82"/>
      <c r="J90" s="82"/>
      <c r="K90" s="83"/>
      <c r="L90" s="84"/>
      <c r="M90" s="85"/>
      <c r="N90" s="38"/>
      <c r="O90" s="39"/>
      <c r="P90" s="39"/>
      <c r="Q90" s="39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5.75" customHeight="1">
      <c r="A91" s="79"/>
      <c r="B91" s="80"/>
      <c r="C91" s="80"/>
      <c r="D91" s="81"/>
      <c r="E91" s="82"/>
      <c r="F91" s="82"/>
      <c r="G91" s="82"/>
      <c r="H91" s="82"/>
      <c r="I91" s="82"/>
      <c r="J91" s="82"/>
      <c r="K91" s="83"/>
      <c r="L91" s="84"/>
      <c r="M91" s="85"/>
      <c r="N91" s="38"/>
      <c r="O91" s="39"/>
      <c r="P91" s="39"/>
      <c r="Q91" s="39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5.75" customHeight="1">
      <c r="A92" s="79"/>
      <c r="B92" s="80"/>
      <c r="C92" s="80"/>
      <c r="D92" s="81"/>
      <c r="E92" s="82"/>
      <c r="F92" s="82"/>
      <c r="G92" s="82"/>
      <c r="H92" s="82"/>
      <c r="I92" s="82"/>
      <c r="J92" s="82"/>
      <c r="K92" s="83"/>
      <c r="L92" s="84"/>
      <c r="M92" s="85"/>
      <c r="N92" s="38"/>
      <c r="O92" s="39"/>
      <c r="P92" s="39"/>
      <c r="Q92" s="39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5.75" customHeight="1">
      <c r="A93" s="79"/>
      <c r="B93" s="80"/>
      <c r="C93" s="80"/>
      <c r="D93" s="81"/>
      <c r="E93" s="82"/>
      <c r="F93" s="82"/>
      <c r="G93" s="82"/>
      <c r="H93" s="82"/>
      <c r="I93" s="82"/>
      <c r="J93" s="82"/>
      <c r="K93" s="83"/>
      <c r="L93" s="84"/>
      <c r="M93" s="85"/>
      <c r="N93" s="38"/>
      <c r="O93" s="39"/>
      <c r="P93" s="39"/>
      <c r="Q93" s="39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5.75" customHeight="1">
      <c r="A94" s="79"/>
      <c r="B94" s="80"/>
      <c r="C94" s="80"/>
      <c r="D94" s="81"/>
      <c r="E94" s="82"/>
      <c r="F94" s="82"/>
      <c r="G94" s="82"/>
      <c r="H94" s="82"/>
      <c r="I94" s="82"/>
      <c r="J94" s="82"/>
      <c r="K94" s="83"/>
      <c r="L94" s="84"/>
      <c r="M94" s="85"/>
      <c r="N94" s="38"/>
      <c r="O94" s="39"/>
      <c r="P94" s="39"/>
      <c r="Q94" s="39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5.75" customHeight="1">
      <c r="A95" s="79"/>
      <c r="B95" s="80"/>
      <c r="C95" s="80"/>
      <c r="D95" s="81"/>
      <c r="E95" s="82"/>
      <c r="F95" s="82"/>
      <c r="G95" s="82"/>
      <c r="H95" s="82"/>
      <c r="I95" s="82"/>
      <c r="J95" s="82"/>
      <c r="K95" s="83"/>
      <c r="L95" s="84"/>
      <c r="M95" s="85"/>
      <c r="N95" s="38"/>
      <c r="O95" s="39"/>
      <c r="P95" s="39"/>
      <c r="Q95" s="39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5.75" customHeight="1">
      <c r="A96" s="79"/>
      <c r="B96" s="80"/>
      <c r="C96" s="80"/>
      <c r="D96" s="81"/>
      <c r="E96" s="82"/>
      <c r="F96" s="82"/>
      <c r="G96" s="82"/>
      <c r="H96" s="82"/>
      <c r="I96" s="82"/>
      <c r="J96" s="82"/>
      <c r="K96" s="83"/>
      <c r="L96" s="84"/>
      <c r="M96" s="85"/>
      <c r="N96" s="38"/>
      <c r="O96" s="39"/>
      <c r="P96" s="39"/>
      <c r="Q96" s="39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5.75" customHeight="1">
      <c r="A97" s="79"/>
      <c r="B97" s="80"/>
      <c r="C97" s="80"/>
      <c r="D97" s="81"/>
      <c r="E97" s="82"/>
      <c r="F97" s="82"/>
      <c r="G97" s="82"/>
      <c r="H97" s="82"/>
      <c r="I97" s="82"/>
      <c r="J97" s="82"/>
      <c r="K97" s="83"/>
      <c r="L97" s="84"/>
      <c r="M97" s="85"/>
      <c r="N97" s="38"/>
      <c r="O97" s="39"/>
      <c r="P97" s="39"/>
      <c r="Q97" s="39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5.75" customHeight="1">
      <c r="A98" s="79"/>
      <c r="B98" s="80"/>
      <c r="C98" s="80"/>
      <c r="D98" s="81"/>
      <c r="E98" s="82"/>
      <c r="F98" s="82"/>
      <c r="G98" s="82"/>
      <c r="H98" s="82"/>
      <c r="I98" s="82"/>
      <c r="J98" s="82"/>
      <c r="K98" s="83"/>
      <c r="L98" s="84"/>
      <c r="M98" s="85"/>
      <c r="N98" s="38"/>
      <c r="O98" s="39"/>
      <c r="P98" s="39"/>
      <c r="Q98" s="39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5.75" customHeight="1">
      <c r="A99" s="79"/>
      <c r="B99" s="80"/>
      <c r="C99" s="80"/>
      <c r="D99" s="81"/>
      <c r="E99" s="82"/>
      <c r="F99" s="82"/>
      <c r="G99" s="82"/>
      <c r="H99" s="82"/>
      <c r="I99" s="82"/>
      <c r="J99" s="82"/>
      <c r="K99" s="83"/>
      <c r="L99" s="84"/>
      <c r="M99" s="85"/>
      <c r="N99" s="38"/>
      <c r="O99" s="39"/>
      <c r="P99" s="39"/>
      <c r="Q99" s="39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5.75" customHeight="1">
      <c r="A100" s="79"/>
      <c r="B100" s="80"/>
      <c r="C100" s="80"/>
      <c r="D100" s="81"/>
      <c r="E100" s="82"/>
      <c r="F100" s="82"/>
      <c r="G100" s="82"/>
      <c r="H100" s="82"/>
      <c r="I100" s="82"/>
      <c r="J100" s="82"/>
      <c r="K100" s="83"/>
      <c r="L100" s="84"/>
      <c r="M100" s="85"/>
      <c r="N100" s="38"/>
      <c r="O100" s="39"/>
      <c r="P100" s="39"/>
      <c r="Q100" s="39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5.75" customHeight="1">
      <c r="A101" s="79"/>
      <c r="B101" s="80"/>
      <c r="C101" s="80"/>
      <c r="D101" s="81"/>
      <c r="E101" s="82"/>
      <c r="F101" s="82"/>
      <c r="G101" s="82"/>
      <c r="H101" s="82"/>
      <c r="I101" s="82"/>
      <c r="J101" s="82"/>
      <c r="K101" s="83"/>
      <c r="L101" s="84"/>
      <c r="M101" s="85"/>
      <c r="N101" s="38"/>
      <c r="O101" s="39"/>
      <c r="P101" s="39"/>
      <c r="Q101" s="39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5.75" customHeight="1">
      <c r="A102" s="79"/>
      <c r="B102" s="80"/>
      <c r="C102" s="80"/>
      <c r="D102" s="81"/>
      <c r="E102" s="82"/>
      <c r="F102" s="82"/>
      <c r="G102" s="82"/>
      <c r="H102" s="82"/>
      <c r="I102" s="82"/>
      <c r="J102" s="82"/>
      <c r="K102" s="83"/>
      <c r="L102" s="84"/>
      <c r="M102" s="85"/>
      <c r="N102" s="38"/>
      <c r="O102" s="39"/>
      <c r="P102" s="39"/>
      <c r="Q102" s="39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5.75" customHeight="1">
      <c r="A103" s="79"/>
      <c r="B103" s="80"/>
      <c r="C103" s="80"/>
      <c r="D103" s="81"/>
      <c r="E103" s="82"/>
      <c r="F103" s="82"/>
      <c r="G103" s="82"/>
      <c r="H103" s="82"/>
      <c r="I103" s="82"/>
      <c r="J103" s="82"/>
      <c r="K103" s="83"/>
      <c r="L103" s="84"/>
      <c r="M103" s="85"/>
      <c r="N103" s="38"/>
      <c r="O103" s="39"/>
      <c r="P103" s="39"/>
      <c r="Q103" s="39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5.75" customHeight="1">
      <c r="A104" s="79"/>
      <c r="B104" s="80"/>
      <c r="C104" s="80"/>
      <c r="D104" s="81"/>
      <c r="E104" s="82"/>
      <c r="F104" s="82"/>
      <c r="G104" s="82"/>
      <c r="H104" s="82"/>
      <c r="I104" s="82"/>
      <c r="J104" s="82"/>
      <c r="K104" s="83"/>
      <c r="L104" s="84"/>
      <c r="M104" s="85"/>
      <c r="N104" s="38"/>
      <c r="O104" s="39"/>
      <c r="P104" s="39"/>
      <c r="Q104" s="39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5.75" customHeight="1">
      <c r="A105" s="79"/>
      <c r="B105" s="80"/>
      <c r="C105" s="80"/>
      <c r="D105" s="81"/>
      <c r="E105" s="82"/>
      <c r="F105" s="82"/>
      <c r="G105" s="82"/>
      <c r="H105" s="82"/>
      <c r="I105" s="82"/>
      <c r="J105" s="82"/>
      <c r="K105" s="83"/>
      <c r="L105" s="84"/>
      <c r="M105" s="85"/>
      <c r="N105" s="38"/>
      <c r="O105" s="39"/>
      <c r="P105" s="39"/>
      <c r="Q105" s="39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5.75" customHeight="1">
      <c r="A106" s="79"/>
      <c r="B106" s="80"/>
      <c r="C106" s="80"/>
      <c r="D106" s="81"/>
      <c r="E106" s="82"/>
      <c r="F106" s="82"/>
      <c r="G106" s="82"/>
      <c r="H106" s="82"/>
      <c r="I106" s="82"/>
      <c r="J106" s="82"/>
      <c r="K106" s="83"/>
      <c r="L106" s="84"/>
      <c r="M106" s="85"/>
      <c r="N106" s="38"/>
      <c r="O106" s="39"/>
      <c r="P106" s="39"/>
      <c r="Q106" s="39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5.75" customHeight="1">
      <c r="A107" s="79"/>
      <c r="B107" s="80"/>
      <c r="C107" s="80"/>
      <c r="D107" s="81"/>
      <c r="E107" s="82"/>
      <c r="F107" s="82"/>
      <c r="G107" s="82"/>
      <c r="H107" s="82"/>
      <c r="I107" s="82"/>
      <c r="J107" s="82"/>
      <c r="K107" s="83"/>
      <c r="L107" s="84"/>
      <c r="M107" s="85"/>
      <c r="N107" s="38"/>
      <c r="O107" s="39"/>
      <c r="P107" s="39"/>
      <c r="Q107" s="39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5.75" customHeight="1">
      <c r="A108" s="79"/>
      <c r="B108" s="80"/>
      <c r="C108" s="80"/>
      <c r="D108" s="81"/>
      <c r="E108" s="82"/>
      <c r="F108" s="82"/>
      <c r="G108" s="82"/>
      <c r="H108" s="82"/>
      <c r="I108" s="82"/>
      <c r="J108" s="82"/>
      <c r="K108" s="83"/>
      <c r="L108" s="84"/>
      <c r="M108" s="85"/>
      <c r="N108" s="38"/>
      <c r="O108" s="39"/>
      <c r="P108" s="39"/>
      <c r="Q108" s="39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5.75" customHeight="1">
      <c r="A109" s="79"/>
      <c r="B109" s="80"/>
      <c r="C109" s="80"/>
      <c r="D109" s="81"/>
      <c r="E109" s="82"/>
      <c r="F109" s="82"/>
      <c r="G109" s="82"/>
      <c r="H109" s="82"/>
      <c r="I109" s="82"/>
      <c r="J109" s="82"/>
      <c r="K109" s="83"/>
      <c r="L109" s="84"/>
      <c r="M109" s="85"/>
      <c r="N109" s="38"/>
      <c r="O109" s="39"/>
      <c r="P109" s="39"/>
      <c r="Q109" s="39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5.75" customHeight="1">
      <c r="A110" s="79"/>
      <c r="B110" s="80"/>
      <c r="C110" s="80"/>
      <c r="D110" s="81"/>
      <c r="E110" s="82"/>
      <c r="F110" s="82"/>
      <c r="G110" s="82"/>
      <c r="H110" s="82"/>
      <c r="I110" s="82"/>
      <c r="J110" s="82"/>
      <c r="K110" s="83"/>
      <c r="L110" s="84"/>
      <c r="M110" s="85"/>
      <c r="N110" s="38"/>
      <c r="O110" s="39"/>
      <c r="P110" s="39"/>
      <c r="Q110" s="39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5.75" customHeight="1">
      <c r="A111" s="79"/>
      <c r="B111" s="80"/>
      <c r="C111" s="80"/>
      <c r="D111" s="81"/>
      <c r="E111" s="82"/>
      <c r="F111" s="82"/>
      <c r="G111" s="82"/>
      <c r="H111" s="82"/>
      <c r="I111" s="82"/>
      <c r="J111" s="82"/>
      <c r="K111" s="83"/>
      <c r="L111" s="84"/>
      <c r="M111" s="85"/>
      <c r="N111" s="38"/>
      <c r="O111" s="39"/>
      <c r="P111" s="39"/>
      <c r="Q111" s="39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5.75" customHeight="1">
      <c r="A112" s="79"/>
      <c r="B112" s="80"/>
      <c r="C112" s="80"/>
      <c r="D112" s="81"/>
      <c r="E112" s="82"/>
      <c r="F112" s="82"/>
      <c r="G112" s="82"/>
      <c r="H112" s="82"/>
      <c r="I112" s="82"/>
      <c r="J112" s="82"/>
      <c r="K112" s="83"/>
      <c r="L112" s="84"/>
      <c r="M112" s="85"/>
      <c r="N112" s="38"/>
      <c r="O112" s="39"/>
      <c r="P112" s="39"/>
      <c r="Q112" s="39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5.75" customHeight="1">
      <c r="A113" s="79"/>
      <c r="B113" s="80"/>
      <c r="C113" s="80"/>
      <c r="D113" s="81"/>
      <c r="E113" s="82"/>
      <c r="F113" s="82"/>
      <c r="G113" s="82"/>
      <c r="H113" s="82"/>
      <c r="I113" s="82"/>
      <c r="J113" s="82"/>
      <c r="K113" s="83"/>
      <c r="L113" s="84"/>
      <c r="M113" s="85"/>
      <c r="N113" s="38"/>
      <c r="O113" s="39"/>
      <c r="P113" s="39"/>
      <c r="Q113" s="39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5.75" customHeight="1">
      <c r="A114" s="79"/>
      <c r="B114" s="80"/>
      <c r="C114" s="80"/>
      <c r="D114" s="81"/>
      <c r="E114" s="82"/>
      <c r="F114" s="82"/>
      <c r="G114" s="82"/>
      <c r="H114" s="82"/>
      <c r="I114" s="82"/>
      <c r="J114" s="82"/>
      <c r="K114" s="83"/>
      <c r="L114" s="84"/>
      <c r="M114" s="85"/>
      <c r="N114" s="38"/>
      <c r="O114" s="39"/>
      <c r="P114" s="39"/>
      <c r="Q114" s="39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5.75" customHeight="1">
      <c r="A115" s="79"/>
      <c r="B115" s="80"/>
      <c r="C115" s="80"/>
      <c r="D115" s="81"/>
      <c r="E115" s="82"/>
      <c r="F115" s="82"/>
      <c r="G115" s="82"/>
      <c r="H115" s="82"/>
      <c r="I115" s="82"/>
      <c r="J115" s="82"/>
      <c r="K115" s="83"/>
      <c r="L115" s="84"/>
      <c r="M115" s="85"/>
      <c r="N115" s="38"/>
      <c r="O115" s="39"/>
      <c r="P115" s="39"/>
      <c r="Q115" s="39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5.75" customHeight="1">
      <c r="A116" s="79"/>
      <c r="B116" s="80"/>
      <c r="C116" s="80"/>
      <c r="D116" s="81"/>
      <c r="E116" s="82"/>
      <c r="F116" s="82"/>
      <c r="G116" s="82"/>
      <c r="H116" s="82"/>
      <c r="I116" s="82"/>
      <c r="J116" s="82"/>
      <c r="K116" s="83"/>
      <c r="L116" s="84"/>
      <c r="M116" s="85"/>
      <c r="N116" s="38"/>
      <c r="O116" s="39"/>
      <c r="P116" s="39"/>
      <c r="Q116" s="39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5.75" customHeight="1">
      <c r="A117" s="79"/>
      <c r="B117" s="80"/>
      <c r="C117" s="80"/>
      <c r="D117" s="81"/>
      <c r="E117" s="82"/>
      <c r="F117" s="82"/>
      <c r="G117" s="82"/>
      <c r="H117" s="82"/>
      <c r="I117" s="82"/>
      <c r="J117" s="82"/>
      <c r="K117" s="83"/>
      <c r="L117" s="84"/>
      <c r="M117" s="85"/>
      <c r="N117" s="38"/>
      <c r="O117" s="39"/>
      <c r="P117" s="39"/>
      <c r="Q117" s="39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5.75" customHeight="1">
      <c r="A118" s="79"/>
      <c r="B118" s="80"/>
      <c r="C118" s="80"/>
      <c r="D118" s="81"/>
      <c r="E118" s="82"/>
      <c r="F118" s="82"/>
      <c r="G118" s="82"/>
      <c r="H118" s="82"/>
      <c r="I118" s="82"/>
      <c r="J118" s="82"/>
      <c r="K118" s="83"/>
      <c r="L118" s="84"/>
      <c r="M118" s="85"/>
      <c r="N118" s="38"/>
      <c r="O118" s="39"/>
      <c r="P118" s="39"/>
      <c r="Q118" s="39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5.75" customHeight="1">
      <c r="A119" s="79"/>
      <c r="B119" s="80"/>
      <c r="C119" s="80"/>
      <c r="D119" s="81"/>
      <c r="E119" s="82"/>
      <c r="F119" s="82"/>
      <c r="G119" s="82"/>
      <c r="H119" s="82"/>
      <c r="I119" s="82"/>
      <c r="J119" s="82"/>
      <c r="K119" s="83"/>
      <c r="L119" s="84"/>
      <c r="M119" s="85"/>
      <c r="N119" s="38"/>
      <c r="O119" s="39"/>
      <c r="P119" s="39"/>
      <c r="Q119" s="39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5.75" customHeight="1">
      <c r="A120" s="79"/>
      <c r="B120" s="80"/>
      <c r="C120" s="80"/>
      <c r="D120" s="81"/>
      <c r="E120" s="82"/>
      <c r="F120" s="82"/>
      <c r="G120" s="82"/>
      <c r="H120" s="82"/>
      <c r="I120" s="82"/>
      <c r="J120" s="82"/>
      <c r="K120" s="83"/>
      <c r="L120" s="84"/>
      <c r="M120" s="85"/>
      <c r="N120" s="38"/>
      <c r="O120" s="39"/>
      <c r="P120" s="39"/>
      <c r="Q120" s="39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5.75" customHeight="1">
      <c r="A121" s="79"/>
      <c r="B121" s="80"/>
      <c r="C121" s="80"/>
      <c r="D121" s="81"/>
      <c r="E121" s="82"/>
      <c r="F121" s="82"/>
      <c r="G121" s="82"/>
      <c r="H121" s="82"/>
      <c r="I121" s="82"/>
      <c r="J121" s="82"/>
      <c r="K121" s="83"/>
      <c r="L121" s="84"/>
      <c r="M121" s="85"/>
      <c r="N121" s="38"/>
      <c r="O121" s="39"/>
      <c r="P121" s="39"/>
      <c r="Q121" s="39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5.75" customHeight="1">
      <c r="A122" s="79"/>
      <c r="B122" s="80"/>
      <c r="C122" s="80"/>
      <c r="D122" s="81"/>
      <c r="E122" s="82"/>
      <c r="F122" s="82"/>
      <c r="G122" s="82"/>
      <c r="H122" s="82"/>
      <c r="I122" s="82"/>
      <c r="J122" s="82"/>
      <c r="K122" s="83"/>
      <c r="L122" s="84"/>
      <c r="M122" s="85"/>
      <c r="N122" s="38"/>
      <c r="O122" s="39"/>
      <c r="P122" s="39"/>
      <c r="Q122" s="39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5.75" customHeight="1">
      <c r="A123" s="79"/>
      <c r="B123" s="80"/>
      <c r="C123" s="80"/>
      <c r="D123" s="81"/>
      <c r="E123" s="82"/>
      <c r="F123" s="82"/>
      <c r="G123" s="82"/>
      <c r="H123" s="82"/>
      <c r="I123" s="82"/>
      <c r="J123" s="82"/>
      <c r="K123" s="83"/>
      <c r="L123" s="84"/>
      <c r="M123" s="85"/>
      <c r="N123" s="38"/>
      <c r="O123" s="39"/>
      <c r="P123" s="39"/>
      <c r="Q123" s="39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5.75" customHeight="1">
      <c r="A124" s="79"/>
      <c r="B124" s="80"/>
      <c r="C124" s="80"/>
      <c r="D124" s="81"/>
      <c r="E124" s="82"/>
      <c r="F124" s="82"/>
      <c r="G124" s="82"/>
      <c r="H124" s="82"/>
      <c r="I124" s="82"/>
      <c r="J124" s="82"/>
      <c r="K124" s="83"/>
      <c r="L124" s="84"/>
      <c r="M124" s="85"/>
      <c r="N124" s="38"/>
      <c r="O124" s="39"/>
      <c r="P124" s="39"/>
      <c r="Q124" s="39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5.75" customHeight="1">
      <c r="A125" s="79"/>
      <c r="B125" s="80"/>
      <c r="C125" s="80"/>
      <c r="D125" s="81"/>
      <c r="E125" s="82"/>
      <c r="F125" s="82"/>
      <c r="G125" s="82"/>
      <c r="H125" s="82"/>
      <c r="I125" s="82"/>
      <c r="J125" s="82"/>
      <c r="K125" s="83"/>
      <c r="L125" s="84"/>
      <c r="M125" s="85"/>
      <c r="N125" s="38"/>
      <c r="O125" s="39"/>
      <c r="P125" s="39"/>
      <c r="Q125" s="39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5.75" customHeight="1">
      <c r="A126" s="79"/>
      <c r="B126" s="80"/>
      <c r="C126" s="80"/>
      <c r="D126" s="81"/>
      <c r="E126" s="82"/>
      <c r="F126" s="82"/>
      <c r="G126" s="82"/>
      <c r="H126" s="82"/>
      <c r="I126" s="82"/>
      <c r="J126" s="82"/>
      <c r="K126" s="83"/>
      <c r="L126" s="84"/>
      <c r="M126" s="85"/>
      <c r="N126" s="38"/>
      <c r="O126" s="39"/>
      <c r="P126" s="39"/>
      <c r="Q126" s="39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5.75" customHeight="1">
      <c r="A127" s="79"/>
      <c r="B127" s="80"/>
      <c r="C127" s="80"/>
      <c r="D127" s="81"/>
      <c r="E127" s="82"/>
      <c r="F127" s="82"/>
      <c r="G127" s="82"/>
      <c r="H127" s="82"/>
      <c r="I127" s="82"/>
      <c r="J127" s="82"/>
      <c r="K127" s="83"/>
      <c r="L127" s="84"/>
      <c r="M127" s="85"/>
      <c r="N127" s="38"/>
      <c r="O127" s="39"/>
      <c r="P127" s="39"/>
      <c r="Q127" s="39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5.75" customHeight="1">
      <c r="A128" s="79"/>
      <c r="B128" s="80"/>
      <c r="C128" s="80"/>
      <c r="D128" s="81"/>
      <c r="E128" s="82"/>
      <c r="F128" s="82"/>
      <c r="G128" s="82"/>
      <c r="H128" s="82"/>
      <c r="I128" s="82"/>
      <c r="J128" s="82"/>
      <c r="K128" s="83"/>
      <c r="L128" s="84"/>
      <c r="M128" s="85"/>
      <c r="N128" s="38"/>
      <c r="O128" s="39"/>
      <c r="P128" s="39"/>
      <c r="Q128" s="39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5.75" customHeight="1">
      <c r="A129" s="79"/>
      <c r="B129" s="80"/>
      <c r="C129" s="80"/>
      <c r="D129" s="81"/>
      <c r="E129" s="82"/>
      <c r="F129" s="82"/>
      <c r="G129" s="82"/>
      <c r="H129" s="82"/>
      <c r="I129" s="82"/>
      <c r="J129" s="82"/>
      <c r="K129" s="83"/>
      <c r="L129" s="84"/>
      <c r="M129" s="85"/>
      <c r="N129" s="38"/>
      <c r="O129" s="39"/>
      <c r="P129" s="39"/>
      <c r="Q129" s="39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5.75" customHeight="1">
      <c r="A130" s="79"/>
      <c r="B130" s="80"/>
      <c r="C130" s="80"/>
      <c r="D130" s="81"/>
      <c r="E130" s="82"/>
      <c r="F130" s="82"/>
      <c r="G130" s="82"/>
      <c r="H130" s="82"/>
      <c r="I130" s="82"/>
      <c r="J130" s="82"/>
      <c r="K130" s="83"/>
      <c r="L130" s="84"/>
      <c r="M130" s="85"/>
      <c r="N130" s="38"/>
      <c r="O130" s="39"/>
      <c r="P130" s="39"/>
      <c r="Q130" s="39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5.75" customHeight="1">
      <c r="A131" s="79"/>
      <c r="B131" s="80"/>
      <c r="C131" s="80"/>
      <c r="D131" s="81"/>
      <c r="E131" s="82"/>
      <c r="F131" s="82"/>
      <c r="G131" s="82"/>
      <c r="H131" s="82"/>
      <c r="I131" s="82"/>
      <c r="J131" s="82"/>
      <c r="K131" s="83"/>
      <c r="L131" s="84"/>
      <c r="M131" s="85"/>
      <c r="N131" s="38"/>
      <c r="O131" s="39"/>
      <c r="P131" s="39"/>
      <c r="Q131" s="39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5.75" customHeight="1">
      <c r="A132" s="79"/>
      <c r="B132" s="80"/>
      <c r="C132" s="80"/>
      <c r="D132" s="81"/>
      <c r="E132" s="82"/>
      <c r="F132" s="82"/>
      <c r="G132" s="82"/>
      <c r="H132" s="82"/>
      <c r="I132" s="82"/>
      <c r="J132" s="82"/>
      <c r="K132" s="83"/>
      <c r="L132" s="84"/>
      <c r="M132" s="85"/>
      <c r="N132" s="38"/>
      <c r="O132" s="39"/>
      <c r="P132" s="39"/>
      <c r="Q132" s="39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5.75" customHeight="1">
      <c r="A133" s="79"/>
      <c r="B133" s="80"/>
      <c r="C133" s="80"/>
      <c r="D133" s="81"/>
      <c r="E133" s="82"/>
      <c r="F133" s="82"/>
      <c r="G133" s="82"/>
      <c r="H133" s="82"/>
      <c r="I133" s="82"/>
      <c r="J133" s="82"/>
      <c r="K133" s="83"/>
      <c r="L133" s="84"/>
      <c r="M133" s="85"/>
      <c r="N133" s="38"/>
      <c r="O133" s="39"/>
      <c r="P133" s="39"/>
      <c r="Q133" s="39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5.75" customHeight="1">
      <c r="A134" s="79"/>
      <c r="B134" s="80"/>
      <c r="C134" s="80"/>
      <c r="D134" s="81"/>
      <c r="E134" s="82"/>
      <c r="F134" s="82"/>
      <c r="G134" s="82"/>
      <c r="H134" s="82"/>
      <c r="I134" s="82"/>
      <c r="J134" s="82"/>
      <c r="K134" s="83"/>
      <c r="L134" s="84"/>
      <c r="M134" s="85"/>
      <c r="N134" s="38"/>
      <c r="O134" s="39"/>
      <c r="P134" s="39"/>
      <c r="Q134" s="39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5.75" customHeight="1">
      <c r="A135" s="79"/>
      <c r="B135" s="80"/>
      <c r="C135" s="80"/>
      <c r="D135" s="81"/>
      <c r="E135" s="82"/>
      <c r="F135" s="82"/>
      <c r="G135" s="82"/>
      <c r="H135" s="82"/>
      <c r="I135" s="82"/>
      <c r="J135" s="82"/>
      <c r="K135" s="83"/>
      <c r="L135" s="84"/>
      <c r="M135" s="85"/>
      <c r="N135" s="38"/>
      <c r="O135" s="39"/>
      <c r="P135" s="39"/>
      <c r="Q135" s="39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5.75" customHeight="1">
      <c r="A136" s="79"/>
      <c r="B136" s="80"/>
      <c r="C136" s="80"/>
      <c r="D136" s="81"/>
      <c r="E136" s="82"/>
      <c r="F136" s="82"/>
      <c r="G136" s="82"/>
      <c r="H136" s="82"/>
      <c r="I136" s="82"/>
      <c r="J136" s="82"/>
      <c r="K136" s="83"/>
      <c r="L136" s="84"/>
      <c r="M136" s="85"/>
      <c r="N136" s="38"/>
      <c r="O136" s="39"/>
      <c r="P136" s="39"/>
      <c r="Q136" s="39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5.75" customHeight="1">
      <c r="A137" s="79"/>
      <c r="B137" s="80"/>
      <c r="C137" s="80"/>
      <c r="D137" s="81"/>
      <c r="E137" s="82"/>
      <c r="F137" s="82"/>
      <c r="G137" s="82"/>
      <c r="H137" s="82"/>
      <c r="I137" s="82"/>
      <c r="J137" s="82"/>
      <c r="K137" s="83"/>
      <c r="L137" s="84"/>
      <c r="M137" s="85"/>
      <c r="N137" s="38"/>
      <c r="O137" s="39"/>
      <c r="P137" s="39"/>
      <c r="Q137" s="39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5.75" customHeight="1">
      <c r="A138" s="79"/>
      <c r="B138" s="80"/>
      <c r="C138" s="80"/>
      <c r="D138" s="81"/>
      <c r="E138" s="82"/>
      <c r="F138" s="82"/>
      <c r="G138" s="82"/>
      <c r="H138" s="82"/>
      <c r="I138" s="82"/>
      <c r="J138" s="82"/>
      <c r="K138" s="83"/>
      <c r="L138" s="84"/>
      <c r="M138" s="85"/>
      <c r="N138" s="38"/>
      <c r="O138" s="39"/>
      <c r="P138" s="39"/>
      <c r="Q138" s="39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5.75" customHeight="1">
      <c r="A139" s="79"/>
      <c r="B139" s="80"/>
      <c r="C139" s="80"/>
      <c r="D139" s="81"/>
      <c r="E139" s="82"/>
      <c r="F139" s="82"/>
      <c r="G139" s="82"/>
      <c r="H139" s="82"/>
      <c r="I139" s="82"/>
      <c r="J139" s="82"/>
      <c r="K139" s="83"/>
      <c r="L139" s="84"/>
      <c r="M139" s="85"/>
      <c r="N139" s="38"/>
      <c r="O139" s="39"/>
      <c r="P139" s="39"/>
      <c r="Q139" s="39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5.75" customHeight="1">
      <c r="A140" s="79"/>
      <c r="B140" s="80"/>
      <c r="C140" s="80"/>
      <c r="D140" s="81"/>
      <c r="E140" s="82"/>
      <c r="F140" s="82"/>
      <c r="G140" s="82"/>
      <c r="H140" s="82"/>
      <c r="I140" s="82"/>
      <c r="J140" s="82"/>
      <c r="K140" s="83"/>
      <c r="L140" s="84"/>
      <c r="M140" s="85"/>
      <c r="N140" s="38"/>
      <c r="O140" s="39"/>
      <c r="P140" s="39"/>
      <c r="Q140" s="39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5.75" customHeight="1">
      <c r="A141" s="79"/>
      <c r="B141" s="80"/>
      <c r="C141" s="80"/>
      <c r="D141" s="81"/>
      <c r="E141" s="82"/>
      <c r="F141" s="82"/>
      <c r="G141" s="82"/>
      <c r="H141" s="82"/>
      <c r="I141" s="82"/>
      <c r="J141" s="82"/>
      <c r="K141" s="83"/>
      <c r="L141" s="84"/>
      <c r="M141" s="85"/>
      <c r="N141" s="38"/>
      <c r="O141" s="39"/>
      <c r="P141" s="39"/>
      <c r="Q141" s="39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5.75" customHeight="1">
      <c r="A142" s="79"/>
      <c r="B142" s="80"/>
      <c r="C142" s="80"/>
      <c r="D142" s="81"/>
      <c r="E142" s="82"/>
      <c r="F142" s="82"/>
      <c r="G142" s="82"/>
      <c r="H142" s="82"/>
      <c r="I142" s="82"/>
      <c r="J142" s="82"/>
      <c r="K142" s="83"/>
      <c r="L142" s="84"/>
      <c r="M142" s="85"/>
      <c r="N142" s="38"/>
      <c r="O142" s="39"/>
      <c r="P142" s="39"/>
      <c r="Q142" s="39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5.75" customHeight="1">
      <c r="A143" s="79"/>
      <c r="B143" s="80"/>
      <c r="C143" s="80"/>
      <c r="D143" s="81"/>
      <c r="E143" s="82"/>
      <c r="F143" s="82"/>
      <c r="G143" s="82"/>
      <c r="H143" s="82"/>
      <c r="I143" s="82"/>
      <c r="J143" s="82"/>
      <c r="K143" s="83"/>
      <c r="L143" s="84"/>
      <c r="M143" s="85"/>
      <c r="N143" s="38"/>
      <c r="O143" s="39"/>
      <c r="P143" s="39"/>
      <c r="Q143" s="39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5.75" customHeight="1">
      <c r="A144" s="79"/>
      <c r="B144" s="80"/>
      <c r="C144" s="80"/>
      <c r="D144" s="81"/>
      <c r="E144" s="82"/>
      <c r="F144" s="82"/>
      <c r="G144" s="82"/>
      <c r="H144" s="82"/>
      <c r="I144" s="82"/>
      <c r="J144" s="82"/>
      <c r="K144" s="83"/>
      <c r="L144" s="84"/>
      <c r="M144" s="85"/>
      <c r="N144" s="38"/>
      <c r="O144" s="39"/>
      <c r="P144" s="39"/>
      <c r="Q144" s="39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5.75" customHeight="1">
      <c r="A145" s="79"/>
      <c r="B145" s="80"/>
      <c r="C145" s="80"/>
      <c r="D145" s="81"/>
      <c r="E145" s="82"/>
      <c r="F145" s="82"/>
      <c r="G145" s="82"/>
      <c r="H145" s="82"/>
      <c r="I145" s="82"/>
      <c r="J145" s="82"/>
      <c r="K145" s="83"/>
      <c r="L145" s="84"/>
      <c r="M145" s="85"/>
      <c r="N145" s="38"/>
      <c r="O145" s="39"/>
      <c r="P145" s="39"/>
      <c r="Q145" s="39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5.75" customHeight="1">
      <c r="A146" s="79"/>
      <c r="B146" s="80"/>
      <c r="C146" s="80"/>
      <c r="D146" s="81"/>
      <c r="E146" s="82"/>
      <c r="F146" s="82"/>
      <c r="G146" s="82"/>
      <c r="H146" s="82"/>
      <c r="I146" s="82"/>
      <c r="J146" s="82"/>
      <c r="K146" s="83"/>
      <c r="L146" s="84"/>
      <c r="M146" s="85"/>
      <c r="N146" s="38"/>
      <c r="O146" s="39"/>
      <c r="P146" s="39"/>
      <c r="Q146" s="39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5.75" customHeight="1">
      <c r="A147" s="79"/>
      <c r="B147" s="80"/>
      <c r="C147" s="80"/>
      <c r="D147" s="81"/>
      <c r="E147" s="82"/>
      <c r="F147" s="82"/>
      <c r="G147" s="82"/>
      <c r="H147" s="82"/>
      <c r="I147" s="82"/>
      <c r="J147" s="82"/>
      <c r="K147" s="83"/>
      <c r="L147" s="84"/>
      <c r="M147" s="85"/>
      <c r="N147" s="38"/>
      <c r="O147" s="39"/>
      <c r="P147" s="39"/>
      <c r="Q147" s="39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5.75" customHeight="1">
      <c r="A148" s="79"/>
      <c r="B148" s="80"/>
      <c r="C148" s="80"/>
      <c r="D148" s="81"/>
      <c r="E148" s="82"/>
      <c r="F148" s="82"/>
      <c r="G148" s="82"/>
      <c r="H148" s="82"/>
      <c r="I148" s="82"/>
      <c r="J148" s="82"/>
      <c r="K148" s="83"/>
      <c r="L148" s="84"/>
      <c r="M148" s="85"/>
      <c r="N148" s="38"/>
      <c r="O148" s="39"/>
      <c r="P148" s="39"/>
      <c r="Q148" s="39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5.75" customHeight="1">
      <c r="A149" s="79"/>
      <c r="B149" s="80"/>
      <c r="C149" s="80"/>
      <c r="D149" s="81"/>
      <c r="E149" s="82"/>
      <c r="F149" s="82"/>
      <c r="G149" s="82"/>
      <c r="H149" s="82"/>
      <c r="I149" s="82"/>
      <c r="J149" s="82"/>
      <c r="K149" s="83"/>
      <c r="L149" s="84"/>
      <c r="M149" s="85"/>
      <c r="N149" s="38"/>
      <c r="O149" s="39"/>
      <c r="P149" s="39"/>
      <c r="Q149" s="39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5.75" customHeight="1">
      <c r="A150" s="79"/>
      <c r="B150" s="80"/>
      <c r="C150" s="80"/>
      <c r="D150" s="81"/>
      <c r="E150" s="82"/>
      <c r="F150" s="82"/>
      <c r="G150" s="82"/>
      <c r="H150" s="82"/>
      <c r="I150" s="82"/>
      <c r="J150" s="82"/>
      <c r="K150" s="83"/>
      <c r="L150" s="84"/>
      <c r="M150" s="85"/>
      <c r="N150" s="38"/>
      <c r="O150" s="39"/>
      <c r="P150" s="39"/>
      <c r="Q150" s="39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5.75" customHeight="1">
      <c r="A151" s="79"/>
      <c r="B151" s="80"/>
      <c r="C151" s="80"/>
      <c r="D151" s="81"/>
      <c r="E151" s="82"/>
      <c r="F151" s="82"/>
      <c r="G151" s="82"/>
      <c r="H151" s="82"/>
      <c r="I151" s="82"/>
      <c r="J151" s="82"/>
      <c r="K151" s="83"/>
      <c r="L151" s="84"/>
      <c r="M151" s="85"/>
      <c r="N151" s="38"/>
      <c r="O151" s="39"/>
      <c r="P151" s="39"/>
      <c r="Q151" s="39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5.75" customHeight="1">
      <c r="A152" s="79"/>
      <c r="B152" s="80"/>
      <c r="C152" s="80"/>
      <c r="D152" s="81"/>
      <c r="E152" s="82"/>
      <c r="F152" s="82"/>
      <c r="G152" s="82"/>
      <c r="H152" s="82"/>
      <c r="I152" s="82"/>
      <c r="J152" s="82"/>
      <c r="K152" s="83"/>
      <c r="L152" s="84"/>
      <c r="M152" s="85"/>
      <c r="N152" s="38"/>
      <c r="O152" s="39"/>
      <c r="P152" s="39"/>
      <c r="Q152" s="39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5.75" customHeight="1">
      <c r="A153" s="79"/>
      <c r="B153" s="80"/>
      <c r="C153" s="80"/>
      <c r="D153" s="81"/>
      <c r="E153" s="82"/>
      <c r="F153" s="82"/>
      <c r="G153" s="82"/>
      <c r="H153" s="82"/>
      <c r="I153" s="82"/>
      <c r="J153" s="82"/>
      <c r="K153" s="83"/>
      <c r="L153" s="84"/>
      <c r="M153" s="85"/>
      <c r="N153" s="38"/>
      <c r="O153" s="39"/>
      <c r="P153" s="39"/>
      <c r="Q153" s="39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5.75" customHeight="1">
      <c r="A154" s="79"/>
      <c r="B154" s="80"/>
      <c r="C154" s="80"/>
      <c r="D154" s="81"/>
      <c r="E154" s="82"/>
      <c r="F154" s="82"/>
      <c r="G154" s="82"/>
      <c r="H154" s="82"/>
      <c r="I154" s="82"/>
      <c r="J154" s="82"/>
      <c r="K154" s="83"/>
      <c r="L154" s="84"/>
      <c r="M154" s="85"/>
      <c r="N154" s="38"/>
      <c r="O154" s="39"/>
      <c r="P154" s="39"/>
      <c r="Q154" s="39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5.75" customHeight="1">
      <c r="A155" s="79"/>
      <c r="B155" s="80"/>
      <c r="C155" s="80"/>
      <c r="D155" s="81"/>
      <c r="E155" s="82"/>
      <c r="F155" s="82"/>
      <c r="G155" s="82"/>
      <c r="H155" s="82"/>
      <c r="I155" s="82"/>
      <c r="J155" s="82"/>
      <c r="K155" s="83"/>
      <c r="L155" s="84"/>
      <c r="M155" s="85"/>
      <c r="N155" s="38"/>
      <c r="O155" s="39"/>
      <c r="P155" s="39"/>
      <c r="Q155" s="39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5.75" customHeight="1">
      <c r="A156" s="79"/>
      <c r="B156" s="80"/>
      <c r="C156" s="80"/>
      <c r="D156" s="81"/>
      <c r="E156" s="82"/>
      <c r="F156" s="82"/>
      <c r="G156" s="82"/>
      <c r="H156" s="82"/>
      <c r="I156" s="82"/>
      <c r="J156" s="82"/>
      <c r="K156" s="83"/>
      <c r="L156" s="84"/>
      <c r="M156" s="85"/>
      <c r="N156" s="38"/>
      <c r="O156" s="39"/>
      <c r="P156" s="39"/>
      <c r="Q156" s="39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5.75" customHeight="1">
      <c r="A157" s="79"/>
      <c r="B157" s="80"/>
      <c r="C157" s="80"/>
      <c r="D157" s="81"/>
      <c r="E157" s="82"/>
      <c r="F157" s="82"/>
      <c r="G157" s="82"/>
      <c r="H157" s="82"/>
      <c r="I157" s="82"/>
      <c r="J157" s="82"/>
      <c r="K157" s="83"/>
      <c r="L157" s="84"/>
      <c r="M157" s="85"/>
      <c r="N157" s="38"/>
      <c r="O157" s="39"/>
      <c r="P157" s="39"/>
      <c r="Q157" s="39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5.75" customHeight="1">
      <c r="A158" s="79"/>
      <c r="B158" s="80"/>
      <c r="C158" s="80"/>
      <c r="D158" s="81"/>
      <c r="E158" s="82"/>
      <c r="F158" s="82"/>
      <c r="G158" s="82"/>
      <c r="H158" s="82"/>
      <c r="I158" s="82"/>
      <c r="J158" s="82"/>
      <c r="K158" s="83"/>
      <c r="L158" s="84"/>
      <c r="M158" s="85"/>
      <c r="N158" s="38"/>
      <c r="O158" s="39"/>
      <c r="P158" s="39"/>
      <c r="Q158" s="39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5.75" customHeight="1">
      <c r="A159" s="79"/>
      <c r="B159" s="80"/>
      <c r="C159" s="80"/>
      <c r="D159" s="81"/>
      <c r="E159" s="82"/>
      <c r="F159" s="82"/>
      <c r="G159" s="82"/>
      <c r="H159" s="82"/>
      <c r="I159" s="82"/>
      <c r="J159" s="82"/>
      <c r="K159" s="83"/>
      <c r="L159" s="84"/>
      <c r="M159" s="85"/>
      <c r="N159" s="38"/>
      <c r="O159" s="39"/>
      <c r="P159" s="39"/>
      <c r="Q159" s="39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5.75" customHeight="1">
      <c r="A160" s="79"/>
      <c r="B160" s="80"/>
      <c r="C160" s="80"/>
      <c r="D160" s="81"/>
      <c r="E160" s="82"/>
      <c r="F160" s="82"/>
      <c r="G160" s="82"/>
      <c r="H160" s="82"/>
      <c r="I160" s="82"/>
      <c r="J160" s="82"/>
      <c r="K160" s="83"/>
      <c r="L160" s="84"/>
      <c r="M160" s="85"/>
      <c r="N160" s="38"/>
      <c r="O160" s="39"/>
      <c r="P160" s="39"/>
      <c r="Q160" s="39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5.75" customHeight="1">
      <c r="A161" s="79"/>
      <c r="B161" s="80"/>
      <c r="C161" s="80"/>
      <c r="D161" s="81"/>
      <c r="E161" s="82"/>
      <c r="F161" s="82"/>
      <c r="G161" s="82"/>
      <c r="H161" s="82"/>
      <c r="I161" s="82"/>
      <c r="J161" s="82"/>
      <c r="K161" s="83"/>
      <c r="L161" s="84"/>
      <c r="M161" s="85"/>
      <c r="N161" s="38"/>
      <c r="O161" s="39"/>
      <c r="P161" s="39"/>
      <c r="Q161" s="39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5.75" customHeight="1">
      <c r="A162" s="79"/>
      <c r="B162" s="80"/>
      <c r="C162" s="80"/>
      <c r="D162" s="81"/>
      <c r="E162" s="82"/>
      <c r="F162" s="82"/>
      <c r="G162" s="82"/>
      <c r="H162" s="82"/>
      <c r="I162" s="82"/>
      <c r="J162" s="82"/>
      <c r="K162" s="83"/>
      <c r="L162" s="84"/>
      <c r="M162" s="85"/>
      <c r="N162" s="38"/>
      <c r="O162" s="39"/>
      <c r="P162" s="39"/>
      <c r="Q162" s="39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5.75" customHeight="1">
      <c r="A163" s="79"/>
      <c r="B163" s="80"/>
      <c r="C163" s="80"/>
      <c r="D163" s="81"/>
      <c r="E163" s="82"/>
      <c r="F163" s="82"/>
      <c r="G163" s="82"/>
      <c r="H163" s="82"/>
      <c r="I163" s="82"/>
      <c r="J163" s="82"/>
      <c r="K163" s="83"/>
      <c r="L163" s="84"/>
      <c r="M163" s="85"/>
      <c r="N163" s="38"/>
      <c r="O163" s="39"/>
      <c r="P163" s="39"/>
      <c r="Q163" s="39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5.75" customHeight="1">
      <c r="A164" s="79"/>
      <c r="B164" s="80"/>
      <c r="C164" s="80"/>
      <c r="D164" s="81"/>
      <c r="E164" s="82"/>
      <c r="F164" s="82"/>
      <c r="G164" s="82"/>
      <c r="H164" s="82"/>
      <c r="I164" s="82"/>
      <c r="J164" s="82"/>
      <c r="K164" s="83"/>
      <c r="L164" s="84"/>
      <c r="M164" s="85"/>
      <c r="N164" s="38"/>
      <c r="O164" s="39"/>
      <c r="P164" s="39"/>
      <c r="Q164" s="39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5.75" customHeight="1">
      <c r="A165" s="79"/>
      <c r="B165" s="80"/>
      <c r="C165" s="80"/>
      <c r="D165" s="81"/>
      <c r="E165" s="82"/>
      <c r="F165" s="82"/>
      <c r="G165" s="82"/>
      <c r="H165" s="82"/>
      <c r="I165" s="82"/>
      <c r="J165" s="82"/>
      <c r="K165" s="83"/>
      <c r="L165" s="84"/>
      <c r="M165" s="85"/>
      <c r="N165" s="38"/>
      <c r="O165" s="39"/>
      <c r="P165" s="39"/>
      <c r="Q165" s="39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5.75" customHeight="1">
      <c r="A166" s="79"/>
      <c r="B166" s="80"/>
      <c r="C166" s="80"/>
      <c r="D166" s="81"/>
      <c r="E166" s="82"/>
      <c r="F166" s="82"/>
      <c r="G166" s="82"/>
      <c r="H166" s="82"/>
      <c r="I166" s="82"/>
      <c r="J166" s="82"/>
      <c r="K166" s="83"/>
      <c r="L166" s="84"/>
      <c r="M166" s="85"/>
      <c r="N166" s="38"/>
      <c r="O166" s="39"/>
      <c r="P166" s="39"/>
      <c r="Q166" s="39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5.75" customHeight="1">
      <c r="A167" s="79"/>
      <c r="B167" s="80"/>
      <c r="C167" s="80"/>
      <c r="D167" s="81"/>
      <c r="E167" s="82"/>
      <c r="F167" s="82"/>
      <c r="G167" s="82"/>
      <c r="H167" s="82"/>
      <c r="I167" s="82"/>
      <c r="J167" s="82"/>
      <c r="K167" s="83"/>
      <c r="L167" s="84"/>
      <c r="M167" s="85"/>
      <c r="N167" s="38"/>
      <c r="O167" s="39"/>
      <c r="P167" s="39"/>
      <c r="Q167" s="39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5.75" customHeight="1">
      <c r="A168" s="79"/>
      <c r="B168" s="80"/>
      <c r="C168" s="80"/>
      <c r="D168" s="81"/>
      <c r="E168" s="82"/>
      <c r="F168" s="82"/>
      <c r="G168" s="82"/>
      <c r="H168" s="82"/>
      <c r="I168" s="82"/>
      <c r="J168" s="82"/>
      <c r="K168" s="83"/>
      <c r="L168" s="84"/>
      <c r="M168" s="85"/>
      <c r="N168" s="38"/>
      <c r="O168" s="39"/>
      <c r="P168" s="39"/>
      <c r="Q168" s="39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5.75" customHeight="1">
      <c r="A169" s="79"/>
      <c r="B169" s="80"/>
      <c r="C169" s="80"/>
      <c r="D169" s="81"/>
      <c r="E169" s="82"/>
      <c r="F169" s="82"/>
      <c r="G169" s="82"/>
      <c r="H169" s="82"/>
      <c r="I169" s="82"/>
      <c r="J169" s="82"/>
      <c r="K169" s="83"/>
      <c r="L169" s="84"/>
      <c r="M169" s="85"/>
      <c r="N169" s="38"/>
      <c r="O169" s="39"/>
      <c r="P169" s="39"/>
      <c r="Q169" s="39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5.75" customHeight="1">
      <c r="A170" s="79"/>
      <c r="B170" s="80"/>
      <c r="C170" s="80"/>
      <c r="D170" s="81"/>
      <c r="E170" s="82"/>
      <c r="F170" s="82"/>
      <c r="G170" s="82"/>
      <c r="H170" s="82"/>
      <c r="I170" s="82"/>
      <c r="J170" s="82"/>
      <c r="K170" s="83"/>
      <c r="L170" s="84"/>
      <c r="M170" s="85"/>
      <c r="N170" s="38"/>
      <c r="O170" s="39"/>
      <c r="P170" s="39"/>
      <c r="Q170" s="39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5.75" customHeight="1">
      <c r="A171" s="79"/>
      <c r="B171" s="80"/>
      <c r="C171" s="80"/>
      <c r="D171" s="81"/>
      <c r="E171" s="82"/>
      <c r="F171" s="82"/>
      <c r="G171" s="82"/>
      <c r="H171" s="82"/>
      <c r="I171" s="82"/>
      <c r="J171" s="82"/>
      <c r="K171" s="83"/>
      <c r="L171" s="84"/>
      <c r="M171" s="85"/>
      <c r="N171" s="38"/>
      <c r="O171" s="39"/>
      <c r="P171" s="39"/>
      <c r="Q171" s="39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5.75" customHeight="1">
      <c r="A172" s="79"/>
      <c r="B172" s="80"/>
      <c r="C172" s="80"/>
      <c r="D172" s="81"/>
      <c r="E172" s="82"/>
      <c r="F172" s="82"/>
      <c r="G172" s="82"/>
      <c r="H172" s="82"/>
      <c r="I172" s="82"/>
      <c r="J172" s="82"/>
      <c r="K172" s="83"/>
      <c r="L172" s="84"/>
      <c r="M172" s="85"/>
      <c r="N172" s="38"/>
      <c r="O172" s="39"/>
      <c r="P172" s="39"/>
      <c r="Q172" s="39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5.75" customHeight="1">
      <c r="A173" s="79"/>
      <c r="B173" s="80"/>
      <c r="C173" s="80"/>
      <c r="D173" s="81"/>
      <c r="E173" s="82"/>
      <c r="F173" s="82"/>
      <c r="G173" s="82"/>
      <c r="H173" s="82"/>
      <c r="I173" s="82"/>
      <c r="J173" s="82"/>
      <c r="K173" s="83"/>
      <c r="L173" s="84"/>
      <c r="M173" s="85"/>
      <c r="N173" s="38"/>
      <c r="O173" s="39"/>
      <c r="P173" s="39"/>
      <c r="Q173" s="39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5.75" customHeight="1">
      <c r="A174" s="79"/>
      <c r="B174" s="80"/>
      <c r="C174" s="80"/>
      <c r="D174" s="81"/>
      <c r="E174" s="82"/>
      <c r="F174" s="82"/>
      <c r="G174" s="82"/>
      <c r="H174" s="82"/>
      <c r="I174" s="82"/>
      <c r="J174" s="82"/>
      <c r="K174" s="83"/>
      <c r="L174" s="84"/>
      <c r="M174" s="85"/>
      <c r="N174" s="38"/>
      <c r="O174" s="39"/>
      <c r="P174" s="39"/>
      <c r="Q174" s="39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5.75" customHeight="1">
      <c r="A175" s="79"/>
      <c r="B175" s="80"/>
      <c r="C175" s="80"/>
      <c r="D175" s="81"/>
      <c r="E175" s="82"/>
      <c r="F175" s="82"/>
      <c r="G175" s="82"/>
      <c r="H175" s="82"/>
      <c r="I175" s="82"/>
      <c r="J175" s="82"/>
      <c r="K175" s="83"/>
      <c r="L175" s="84"/>
      <c r="M175" s="85"/>
      <c r="N175" s="38"/>
      <c r="O175" s="39"/>
      <c r="P175" s="39"/>
      <c r="Q175" s="39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5.75" customHeight="1">
      <c r="A176" s="79"/>
      <c r="B176" s="80"/>
      <c r="C176" s="80"/>
      <c r="D176" s="81"/>
      <c r="E176" s="82"/>
      <c r="F176" s="82"/>
      <c r="G176" s="82"/>
      <c r="H176" s="82"/>
      <c r="I176" s="82"/>
      <c r="J176" s="82"/>
      <c r="K176" s="83"/>
      <c r="L176" s="84"/>
      <c r="M176" s="85"/>
      <c r="N176" s="38"/>
      <c r="O176" s="39"/>
      <c r="P176" s="39"/>
      <c r="Q176" s="39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5.75" customHeight="1">
      <c r="A177" s="79"/>
      <c r="B177" s="80"/>
      <c r="C177" s="80"/>
      <c r="D177" s="81"/>
      <c r="E177" s="82"/>
      <c r="F177" s="82"/>
      <c r="G177" s="82"/>
      <c r="H177" s="82"/>
      <c r="I177" s="82"/>
      <c r="J177" s="82"/>
      <c r="K177" s="83"/>
      <c r="L177" s="84"/>
      <c r="M177" s="85"/>
      <c r="N177" s="38"/>
      <c r="O177" s="39"/>
      <c r="P177" s="39"/>
      <c r="Q177" s="39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5.75" customHeight="1">
      <c r="A178" s="79"/>
      <c r="B178" s="80"/>
      <c r="C178" s="80"/>
      <c r="D178" s="81"/>
      <c r="E178" s="82"/>
      <c r="F178" s="82"/>
      <c r="G178" s="82"/>
      <c r="H178" s="82"/>
      <c r="I178" s="82"/>
      <c r="J178" s="82"/>
      <c r="K178" s="83"/>
      <c r="L178" s="84"/>
      <c r="M178" s="85"/>
      <c r="N178" s="38"/>
      <c r="O178" s="39"/>
      <c r="P178" s="39"/>
      <c r="Q178" s="39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5.75" customHeight="1">
      <c r="A179" s="79"/>
      <c r="B179" s="80"/>
      <c r="C179" s="80"/>
      <c r="D179" s="81"/>
      <c r="E179" s="82"/>
      <c r="F179" s="82"/>
      <c r="G179" s="82"/>
      <c r="H179" s="82"/>
      <c r="I179" s="82"/>
      <c r="J179" s="82"/>
      <c r="K179" s="83"/>
      <c r="L179" s="84"/>
      <c r="M179" s="85"/>
      <c r="N179" s="38"/>
      <c r="O179" s="39"/>
      <c r="P179" s="39"/>
      <c r="Q179" s="39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5.75" customHeight="1">
      <c r="A180" s="79"/>
      <c r="B180" s="80"/>
      <c r="C180" s="80"/>
      <c r="D180" s="81"/>
      <c r="E180" s="82"/>
      <c r="F180" s="82"/>
      <c r="G180" s="82"/>
      <c r="H180" s="82"/>
      <c r="I180" s="82"/>
      <c r="J180" s="82"/>
      <c r="K180" s="83"/>
      <c r="L180" s="84"/>
      <c r="M180" s="85"/>
      <c r="N180" s="38"/>
      <c r="O180" s="39"/>
      <c r="P180" s="39"/>
      <c r="Q180" s="39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5.75" customHeight="1">
      <c r="A181" s="79"/>
      <c r="B181" s="80"/>
      <c r="C181" s="80"/>
      <c r="D181" s="81"/>
      <c r="E181" s="82"/>
      <c r="F181" s="82"/>
      <c r="G181" s="82"/>
      <c r="H181" s="82"/>
      <c r="I181" s="82"/>
      <c r="J181" s="82"/>
      <c r="K181" s="83"/>
      <c r="L181" s="84"/>
      <c r="M181" s="85"/>
      <c r="N181" s="38"/>
      <c r="O181" s="39"/>
      <c r="P181" s="39"/>
      <c r="Q181" s="39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5.75" customHeight="1">
      <c r="A182" s="79"/>
      <c r="B182" s="80"/>
      <c r="C182" s="80"/>
      <c r="D182" s="81"/>
      <c r="E182" s="82"/>
      <c r="F182" s="82"/>
      <c r="G182" s="82"/>
      <c r="H182" s="82"/>
      <c r="I182" s="82"/>
      <c r="J182" s="82"/>
      <c r="K182" s="83"/>
      <c r="L182" s="84"/>
      <c r="M182" s="85"/>
      <c r="N182" s="38"/>
      <c r="O182" s="39"/>
      <c r="P182" s="39"/>
      <c r="Q182" s="39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5.75" customHeight="1">
      <c r="A183" s="79"/>
      <c r="B183" s="80"/>
      <c r="C183" s="80"/>
      <c r="D183" s="81"/>
      <c r="E183" s="82"/>
      <c r="F183" s="82"/>
      <c r="G183" s="82"/>
      <c r="H183" s="82"/>
      <c r="I183" s="82"/>
      <c r="J183" s="82"/>
      <c r="K183" s="83"/>
      <c r="L183" s="84"/>
      <c r="M183" s="85"/>
      <c r="N183" s="38"/>
      <c r="O183" s="39"/>
      <c r="P183" s="39"/>
      <c r="Q183" s="39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5.75" customHeight="1">
      <c r="A184" s="79"/>
      <c r="B184" s="80"/>
      <c r="C184" s="80"/>
      <c r="D184" s="81"/>
      <c r="E184" s="82"/>
      <c r="F184" s="82"/>
      <c r="G184" s="82"/>
      <c r="H184" s="82"/>
      <c r="I184" s="82"/>
      <c r="J184" s="82"/>
      <c r="K184" s="83"/>
      <c r="L184" s="84"/>
      <c r="M184" s="85"/>
      <c r="N184" s="38"/>
      <c r="O184" s="39"/>
      <c r="P184" s="39"/>
      <c r="Q184" s="39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5.75" customHeight="1">
      <c r="A185" s="79"/>
      <c r="B185" s="80"/>
      <c r="C185" s="80"/>
      <c r="D185" s="81"/>
      <c r="E185" s="82"/>
      <c r="F185" s="82"/>
      <c r="G185" s="82"/>
      <c r="H185" s="82"/>
      <c r="I185" s="82"/>
      <c r="J185" s="82"/>
      <c r="K185" s="83"/>
      <c r="L185" s="84"/>
      <c r="M185" s="85"/>
      <c r="N185" s="38"/>
      <c r="O185" s="39"/>
      <c r="P185" s="39"/>
      <c r="Q185" s="39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5.75" customHeight="1">
      <c r="A186" s="79"/>
      <c r="B186" s="80"/>
      <c r="C186" s="80"/>
      <c r="D186" s="81"/>
      <c r="E186" s="82"/>
      <c r="F186" s="82"/>
      <c r="G186" s="82"/>
      <c r="H186" s="82"/>
      <c r="I186" s="82"/>
      <c r="J186" s="82"/>
      <c r="K186" s="83"/>
      <c r="L186" s="84"/>
      <c r="M186" s="85"/>
      <c r="N186" s="38"/>
      <c r="O186" s="39"/>
      <c r="P186" s="39"/>
      <c r="Q186" s="39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5.75" customHeight="1">
      <c r="A187" s="79"/>
      <c r="B187" s="80"/>
      <c r="C187" s="80"/>
      <c r="D187" s="81"/>
      <c r="E187" s="82"/>
      <c r="F187" s="82"/>
      <c r="G187" s="82"/>
      <c r="H187" s="82"/>
      <c r="I187" s="82"/>
      <c r="J187" s="82"/>
      <c r="K187" s="83"/>
      <c r="L187" s="84"/>
      <c r="M187" s="85"/>
      <c r="N187" s="38"/>
      <c r="O187" s="39"/>
      <c r="P187" s="39"/>
      <c r="Q187" s="39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5.75" customHeight="1">
      <c r="A188" s="79"/>
      <c r="B188" s="80"/>
      <c r="C188" s="80"/>
      <c r="D188" s="81"/>
      <c r="E188" s="82"/>
      <c r="F188" s="82"/>
      <c r="G188" s="82"/>
      <c r="H188" s="82"/>
      <c r="I188" s="82"/>
      <c r="J188" s="82"/>
      <c r="K188" s="83"/>
      <c r="L188" s="84"/>
      <c r="M188" s="85"/>
      <c r="N188" s="38"/>
      <c r="O188" s="39"/>
      <c r="P188" s="39"/>
      <c r="Q188" s="39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5.75" customHeight="1">
      <c r="A189" s="79"/>
      <c r="B189" s="80"/>
      <c r="C189" s="80"/>
      <c r="D189" s="81"/>
      <c r="E189" s="82"/>
      <c r="F189" s="82"/>
      <c r="G189" s="82"/>
      <c r="H189" s="82"/>
      <c r="I189" s="82"/>
      <c r="J189" s="82"/>
      <c r="K189" s="83"/>
      <c r="L189" s="84"/>
      <c r="M189" s="85"/>
      <c r="N189" s="38"/>
      <c r="O189" s="39"/>
      <c r="P189" s="39"/>
      <c r="Q189" s="39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5.75" customHeight="1">
      <c r="A190" s="79"/>
      <c r="B190" s="80"/>
      <c r="C190" s="80"/>
      <c r="D190" s="81"/>
      <c r="E190" s="82"/>
      <c r="F190" s="82"/>
      <c r="G190" s="82"/>
      <c r="H190" s="82"/>
      <c r="I190" s="82"/>
      <c r="J190" s="82"/>
      <c r="K190" s="83"/>
      <c r="L190" s="84"/>
      <c r="M190" s="85"/>
      <c r="N190" s="38"/>
      <c r="O190" s="39"/>
      <c r="P190" s="39"/>
      <c r="Q190" s="39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5.75" customHeight="1">
      <c r="A191" s="79"/>
      <c r="B191" s="80"/>
      <c r="C191" s="80"/>
      <c r="D191" s="81"/>
      <c r="E191" s="82"/>
      <c r="F191" s="82"/>
      <c r="G191" s="82"/>
      <c r="H191" s="82"/>
      <c r="I191" s="82"/>
      <c r="J191" s="82"/>
      <c r="K191" s="83"/>
      <c r="L191" s="84"/>
      <c r="M191" s="85"/>
      <c r="N191" s="38"/>
      <c r="O191" s="39"/>
      <c r="P191" s="39"/>
      <c r="Q191" s="39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5.75" customHeight="1">
      <c r="A192" s="79"/>
      <c r="B192" s="80"/>
      <c r="C192" s="80"/>
      <c r="D192" s="81"/>
      <c r="E192" s="82"/>
      <c r="F192" s="82"/>
      <c r="G192" s="82"/>
      <c r="H192" s="82"/>
      <c r="I192" s="82"/>
      <c r="J192" s="82"/>
      <c r="K192" s="83"/>
      <c r="L192" s="84"/>
      <c r="M192" s="85"/>
      <c r="N192" s="38"/>
      <c r="O192" s="39"/>
      <c r="P192" s="39"/>
      <c r="Q192" s="39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5.75" customHeight="1">
      <c r="A193" s="79"/>
      <c r="B193" s="80"/>
      <c r="C193" s="80"/>
      <c r="D193" s="81"/>
      <c r="E193" s="82"/>
      <c r="F193" s="82"/>
      <c r="G193" s="82"/>
      <c r="H193" s="82"/>
      <c r="I193" s="82"/>
      <c r="J193" s="82"/>
      <c r="K193" s="83"/>
      <c r="L193" s="84"/>
      <c r="M193" s="85"/>
      <c r="N193" s="38"/>
      <c r="O193" s="39"/>
      <c r="P193" s="39"/>
      <c r="Q193" s="39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5.75" customHeight="1">
      <c r="A194" s="79"/>
      <c r="B194" s="80"/>
      <c r="C194" s="80"/>
      <c r="D194" s="81"/>
      <c r="E194" s="82"/>
      <c r="F194" s="82"/>
      <c r="G194" s="82"/>
      <c r="H194" s="82"/>
      <c r="I194" s="82"/>
      <c r="J194" s="82"/>
      <c r="K194" s="83"/>
      <c r="L194" s="84"/>
      <c r="M194" s="85"/>
      <c r="N194" s="38"/>
      <c r="O194" s="39"/>
      <c r="P194" s="39"/>
      <c r="Q194" s="39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5.75" customHeight="1">
      <c r="A195" s="79"/>
      <c r="B195" s="80"/>
      <c r="C195" s="80"/>
      <c r="D195" s="81"/>
      <c r="E195" s="82"/>
      <c r="F195" s="82"/>
      <c r="G195" s="82"/>
      <c r="H195" s="82"/>
      <c r="I195" s="82"/>
      <c r="J195" s="82"/>
      <c r="K195" s="83"/>
      <c r="L195" s="84"/>
      <c r="M195" s="85"/>
      <c r="N195" s="38"/>
      <c r="O195" s="39"/>
      <c r="P195" s="39"/>
      <c r="Q195" s="39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5.75" customHeight="1">
      <c r="A196" s="79"/>
      <c r="B196" s="80"/>
      <c r="C196" s="80"/>
      <c r="D196" s="81"/>
      <c r="E196" s="82"/>
      <c r="F196" s="82"/>
      <c r="G196" s="82"/>
      <c r="H196" s="82"/>
      <c r="I196" s="82"/>
      <c r="J196" s="82"/>
      <c r="K196" s="83"/>
      <c r="L196" s="84"/>
      <c r="M196" s="85"/>
      <c r="N196" s="38"/>
      <c r="O196" s="39"/>
      <c r="P196" s="39"/>
      <c r="Q196" s="39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5.75" customHeight="1">
      <c r="A197" s="79"/>
      <c r="B197" s="80"/>
      <c r="C197" s="80"/>
      <c r="D197" s="81"/>
      <c r="E197" s="82"/>
      <c r="F197" s="82"/>
      <c r="G197" s="82"/>
      <c r="H197" s="82"/>
      <c r="I197" s="82"/>
      <c r="J197" s="82"/>
      <c r="K197" s="83"/>
      <c r="L197" s="84"/>
      <c r="M197" s="85"/>
      <c r="N197" s="38"/>
      <c r="O197" s="39"/>
      <c r="P197" s="39"/>
      <c r="Q197" s="39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5.75" customHeight="1">
      <c r="A198" s="79"/>
      <c r="B198" s="80"/>
      <c r="C198" s="80"/>
      <c r="D198" s="81"/>
      <c r="E198" s="82"/>
      <c r="F198" s="82"/>
      <c r="G198" s="82"/>
      <c r="H198" s="82"/>
      <c r="I198" s="82"/>
      <c r="J198" s="82"/>
      <c r="K198" s="83"/>
      <c r="L198" s="84"/>
      <c r="M198" s="85"/>
      <c r="N198" s="38"/>
      <c r="O198" s="39"/>
      <c r="P198" s="39"/>
      <c r="Q198" s="39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5.75" customHeight="1">
      <c r="A199" s="79"/>
      <c r="B199" s="80"/>
      <c r="C199" s="80"/>
      <c r="D199" s="81"/>
      <c r="E199" s="82"/>
      <c r="F199" s="82"/>
      <c r="G199" s="82"/>
      <c r="H199" s="82"/>
      <c r="I199" s="82"/>
      <c r="J199" s="82"/>
      <c r="K199" s="83"/>
      <c r="L199" s="84"/>
      <c r="M199" s="85"/>
      <c r="N199" s="38"/>
      <c r="O199" s="39"/>
      <c r="P199" s="39"/>
      <c r="Q199" s="39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5.75" customHeight="1">
      <c r="A200" s="79"/>
      <c r="B200" s="80"/>
      <c r="C200" s="80"/>
      <c r="D200" s="81"/>
      <c r="E200" s="82"/>
      <c r="F200" s="82"/>
      <c r="G200" s="82"/>
      <c r="H200" s="82"/>
      <c r="I200" s="82"/>
      <c r="J200" s="82"/>
      <c r="K200" s="83"/>
      <c r="L200" s="84"/>
      <c r="M200" s="85"/>
      <c r="N200" s="38"/>
      <c r="O200" s="39"/>
      <c r="P200" s="39"/>
      <c r="Q200" s="39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5.75" customHeight="1">
      <c r="A201" s="79"/>
      <c r="B201" s="80"/>
      <c r="C201" s="80"/>
      <c r="D201" s="81"/>
      <c r="E201" s="82"/>
      <c r="F201" s="82"/>
      <c r="G201" s="82"/>
      <c r="H201" s="82"/>
      <c r="I201" s="82"/>
      <c r="J201" s="82"/>
      <c r="K201" s="83"/>
      <c r="L201" s="84"/>
      <c r="M201" s="85"/>
      <c r="N201" s="38"/>
      <c r="O201" s="39"/>
      <c r="P201" s="39"/>
      <c r="Q201" s="39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5.75" customHeight="1">
      <c r="A202" s="79"/>
      <c r="B202" s="80"/>
      <c r="C202" s="80"/>
      <c r="D202" s="81"/>
      <c r="E202" s="82"/>
      <c r="F202" s="82"/>
      <c r="G202" s="82"/>
      <c r="H202" s="82"/>
      <c r="I202" s="82"/>
      <c r="J202" s="82"/>
      <c r="K202" s="83"/>
      <c r="L202" s="84"/>
      <c r="M202" s="85"/>
      <c r="N202" s="38"/>
      <c r="O202" s="39"/>
      <c r="P202" s="39"/>
      <c r="Q202" s="39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5.75" customHeight="1">
      <c r="A203" s="79"/>
      <c r="B203" s="80"/>
      <c r="C203" s="80"/>
      <c r="D203" s="81"/>
      <c r="E203" s="82"/>
      <c r="F203" s="82"/>
      <c r="G203" s="82"/>
      <c r="H203" s="82"/>
      <c r="I203" s="82"/>
      <c r="J203" s="82"/>
      <c r="K203" s="83"/>
      <c r="L203" s="84"/>
      <c r="M203" s="85"/>
      <c r="N203" s="38"/>
      <c r="O203" s="39"/>
      <c r="P203" s="39"/>
      <c r="Q203" s="39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5.75" customHeight="1">
      <c r="A204" s="79"/>
      <c r="B204" s="80"/>
      <c r="C204" s="80"/>
      <c r="D204" s="81"/>
      <c r="E204" s="82"/>
      <c r="F204" s="82"/>
      <c r="G204" s="82"/>
      <c r="H204" s="82"/>
      <c r="I204" s="82"/>
      <c r="J204" s="82"/>
      <c r="K204" s="83"/>
      <c r="L204" s="84"/>
      <c r="M204" s="85"/>
      <c r="N204" s="38"/>
      <c r="O204" s="39"/>
      <c r="P204" s="39"/>
      <c r="Q204" s="39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5.75" customHeight="1">
      <c r="A205" s="79"/>
      <c r="B205" s="80"/>
      <c r="C205" s="80"/>
      <c r="D205" s="81"/>
      <c r="E205" s="82"/>
      <c r="F205" s="82"/>
      <c r="G205" s="82"/>
      <c r="H205" s="82"/>
      <c r="I205" s="82"/>
      <c r="J205" s="82"/>
      <c r="K205" s="83"/>
      <c r="L205" s="84"/>
      <c r="M205" s="85"/>
      <c r="N205" s="38"/>
      <c r="O205" s="39"/>
      <c r="P205" s="39"/>
      <c r="Q205" s="39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5.75" customHeight="1">
      <c r="A206" s="79"/>
      <c r="B206" s="80"/>
      <c r="C206" s="80"/>
      <c r="D206" s="81"/>
      <c r="E206" s="82"/>
      <c r="F206" s="82"/>
      <c r="G206" s="82"/>
      <c r="H206" s="82"/>
      <c r="I206" s="82"/>
      <c r="J206" s="82"/>
      <c r="K206" s="83"/>
      <c r="L206" s="84"/>
      <c r="M206" s="85"/>
      <c r="N206" s="38"/>
      <c r="O206" s="39"/>
      <c r="P206" s="39"/>
      <c r="Q206" s="39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5.75" customHeight="1">
      <c r="A207" s="79"/>
      <c r="B207" s="80"/>
      <c r="C207" s="80"/>
      <c r="D207" s="81"/>
      <c r="E207" s="82"/>
      <c r="F207" s="82"/>
      <c r="G207" s="82"/>
      <c r="H207" s="82"/>
      <c r="I207" s="82"/>
      <c r="J207" s="82"/>
      <c r="K207" s="83"/>
      <c r="L207" s="84"/>
      <c r="M207" s="85"/>
      <c r="N207" s="38"/>
      <c r="O207" s="39"/>
      <c r="P207" s="39"/>
      <c r="Q207" s="39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5.75" customHeight="1">
      <c r="A208" s="79"/>
      <c r="B208" s="80"/>
      <c r="C208" s="80"/>
      <c r="D208" s="81"/>
      <c r="E208" s="82"/>
      <c r="F208" s="82"/>
      <c r="G208" s="82"/>
      <c r="H208" s="82"/>
      <c r="I208" s="82"/>
      <c r="J208" s="82"/>
      <c r="K208" s="83"/>
      <c r="L208" s="84"/>
      <c r="M208" s="85"/>
      <c r="N208" s="38"/>
      <c r="O208" s="39"/>
      <c r="P208" s="39"/>
      <c r="Q208" s="39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5.75" customHeight="1">
      <c r="A209" s="79"/>
      <c r="B209" s="80"/>
      <c r="C209" s="80"/>
      <c r="D209" s="81"/>
      <c r="E209" s="82"/>
      <c r="F209" s="82"/>
      <c r="G209" s="82"/>
      <c r="H209" s="82"/>
      <c r="I209" s="82"/>
      <c r="J209" s="82"/>
      <c r="K209" s="83"/>
      <c r="L209" s="84"/>
      <c r="M209" s="85"/>
      <c r="N209" s="38"/>
      <c r="O209" s="39"/>
      <c r="P209" s="39"/>
      <c r="Q209" s="39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5.75" customHeight="1">
      <c r="A210" s="79"/>
      <c r="B210" s="80"/>
      <c r="C210" s="80"/>
      <c r="D210" s="81"/>
      <c r="E210" s="82"/>
      <c r="F210" s="82"/>
      <c r="G210" s="82"/>
      <c r="H210" s="82"/>
      <c r="I210" s="82"/>
      <c r="J210" s="82"/>
      <c r="K210" s="83"/>
      <c r="L210" s="84"/>
      <c r="M210" s="85"/>
      <c r="N210" s="38"/>
      <c r="O210" s="39"/>
      <c r="P210" s="39"/>
      <c r="Q210" s="39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5.75" customHeight="1">
      <c r="A211" s="79"/>
      <c r="B211" s="80"/>
      <c r="C211" s="80"/>
      <c r="D211" s="81"/>
      <c r="E211" s="82"/>
      <c r="F211" s="82"/>
      <c r="G211" s="82"/>
      <c r="H211" s="82"/>
      <c r="I211" s="82"/>
      <c r="J211" s="82"/>
      <c r="K211" s="83"/>
      <c r="L211" s="84"/>
      <c r="M211" s="85"/>
      <c r="N211" s="38"/>
      <c r="O211" s="39"/>
      <c r="P211" s="39"/>
      <c r="Q211" s="39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5.75" customHeight="1">
      <c r="A212" s="79"/>
      <c r="B212" s="80"/>
      <c r="C212" s="80"/>
      <c r="D212" s="81"/>
      <c r="E212" s="82"/>
      <c r="F212" s="82"/>
      <c r="G212" s="82"/>
      <c r="H212" s="82"/>
      <c r="I212" s="82"/>
      <c r="J212" s="82"/>
      <c r="K212" s="83"/>
      <c r="L212" s="84"/>
      <c r="M212" s="85"/>
      <c r="N212" s="38"/>
      <c r="O212" s="39"/>
      <c r="P212" s="39"/>
      <c r="Q212" s="39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5.75" customHeight="1">
      <c r="A213" s="79"/>
      <c r="B213" s="80"/>
      <c r="C213" s="80"/>
      <c r="D213" s="81"/>
      <c r="E213" s="82"/>
      <c r="F213" s="82"/>
      <c r="G213" s="82"/>
      <c r="H213" s="82"/>
      <c r="I213" s="82"/>
      <c r="J213" s="82"/>
      <c r="K213" s="83"/>
      <c r="L213" s="84"/>
      <c r="M213" s="85"/>
      <c r="N213" s="38"/>
      <c r="O213" s="39"/>
      <c r="P213" s="39"/>
      <c r="Q213" s="39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5.75" customHeight="1">
      <c r="A214" s="79"/>
      <c r="B214" s="80"/>
      <c r="C214" s="80"/>
      <c r="D214" s="81"/>
      <c r="E214" s="82"/>
      <c r="F214" s="82"/>
      <c r="G214" s="82"/>
      <c r="H214" s="82"/>
      <c r="I214" s="82"/>
      <c r="J214" s="82"/>
      <c r="K214" s="83"/>
      <c r="L214" s="84"/>
      <c r="M214" s="85"/>
      <c r="N214" s="38"/>
      <c r="O214" s="39"/>
      <c r="P214" s="39"/>
      <c r="Q214" s="39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5.75" customHeight="1">
      <c r="A215" s="79"/>
      <c r="B215" s="80"/>
      <c r="C215" s="80"/>
      <c r="D215" s="81"/>
      <c r="E215" s="82"/>
      <c r="F215" s="82"/>
      <c r="G215" s="82"/>
      <c r="H215" s="82"/>
      <c r="I215" s="82"/>
      <c r="J215" s="82"/>
      <c r="K215" s="83"/>
      <c r="L215" s="84"/>
      <c r="M215" s="85"/>
      <c r="N215" s="38"/>
      <c r="O215" s="39"/>
      <c r="P215" s="39"/>
      <c r="Q215" s="39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5.75" customHeight="1">
      <c r="A216" s="79"/>
      <c r="B216" s="80"/>
      <c r="C216" s="80"/>
      <c r="D216" s="81"/>
      <c r="E216" s="82"/>
      <c r="F216" s="82"/>
      <c r="G216" s="82"/>
      <c r="H216" s="82"/>
      <c r="I216" s="82"/>
      <c r="J216" s="82"/>
      <c r="K216" s="83"/>
      <c r="L216" s="84"/>
      <c r="M216" s="85"/>
      <c r="N216" s="38"/>
      <c r="O216" s="39"/>
      <c r="P216" s="39"/>
      <c r="Q216" s="39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5.75" customHeight="1">
      <c r="A217" s="79"/>
      <c r="B217" s="80"/>
      <c r="C217" s="80"/>
      <c r="D217" s="81"/>
      <c r="E217" s="82"/>
      <c r="F217" s="82"/>
      <c r="G217" s="82"/>
      <c r="H217" s="82"/>
      <c r="I217" s="82"/>
      <c r="J217" s="82"/>
      <c r="K217" s="83"/>
      <c r="L217" s="84"/>
      <c r="M217" s="85"/>
      <c r="N217" s="38"/>
      <c r="O217" s="39"/>
      <c r="P217" s="39"/>
      <c r="Q217" s="39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5.75" customHeight="1">
      <c r="A218" s="79"/>
      <c r="B218" s="80"/>
      <c r="C218" s="80"/>
      <c r="D218" s="81"/>
      <c r="E218" s="82"/>
      <c r="F218" s="82"/>
      <c r="G218" s="82"/>
      <c r="H218" s="82"/>
      <c r="I218" s="82"/>
      <c r="J218" s="82"/>
      <c r="K218" s="83"/>
      <c r="L218" s="84"/>
      <c r="M218" s="85"/>
      <c r="N218" s="38"/>
      <c r="O218" s="39"/>
      <c r="P218" s="39"/>
      <c r="Q218" s="39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5.75" customHeight="1">
      <c r="A219" s="79"/>
      <c r="B219" s="80"/>
      <c r="C219" s="80"/>
      <c r="D219" s="81"/>
      <c r="E219" s="82"/>
      <c r="F219" s="82"/>
      <c r="G219" s="82"/>
      <c r="H219" s="82"/>
      <c r="I219" s="82"/>
      <c r="J219" s="82"/>
      <c r="K219" s="83"/>
      <c r="L219" s="84"/>
      <c r="M219" s="85"/>
      <c r="N219" s="38"/>
      <c r="O219" s="39"/>
      <c r="P219" s="39"/>
      <c r="Q219" s="39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5.75" customHeight="1">
      <c r="A220" s="79"/>
      <c r="B220" s="80"/>
      <c r="C220" s="80"/>
      <c r="D220" s="81"/>
      <c r="E220" s="82"/>
      <c r="F220" s="82"/>
      <c r="G220" s="82"/>
      <c r="H220" s="82"/>
      <c r="I220" s="82"/>
      <c r="J220" s="82"/>
      <c r="K220" s="83"/>
      <c r="L220" s="84"/>
      <c r="M220" s="85"/>
      <c r="N220" s="38"/>
      <c r="O220" s="39"/>
      <c r="P220" s="39"/>
      <c r="Q220" s="39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5.75" customHeight="1">
      <c r="A221" s="79"/>
      <c r="B221" s="80"/>
      <c r="C221" s="80"/>
      <c r="D221" s="81"/>
      <c r="E221" s="82"/>
      <c r="F221" s="82"/>
      <c r="G221" s="82"/>
      <c r="H221" s="82"/>
      <c r="I221" s="82"/>
      <c r="J221" s="82"/>
      <c r="K221" s="83"/>
      <c r="L221" s="84"/>
      <c r="M221" s="85"/>
      <c r="N221" s="38"/>
      <c r="O221" s="39"/>
      <c r="P221" s="39"/>
      <c r="Q221" s="39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5.75" customHeight="1">
      <c r="A222" s="79"/>
      <c r="B222" s="80"/>
      <c r="C222" s="80"/>
      <c r="D222" s="81"/>
      <c r="E222" s="82"/>
      <c r="F222" s="82"/>
      <c r="G222" s="82"/>
      <c r="H222" s="82"/>
      <c r="I222" s="82"/>
      <c r="J222" s="82"/>
      <c r="K222" s="83"/>
      <c r="L222" s="84"/>
      <c r="M222" s="85"/>
      <c r="N222" s="38"/>
      <c r="O222" s="39"/>
      <c r="P222" s="39"/>
      <c r="Q222" s="39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5.75" customHeight="1">
      <c r="A223" s="79"/>
      <c r="B223" s="80"/>
      <c r="C223" s="80"/>
      <c r="D223" s="81"/>
      <c r="E223" s="82"/>
      <c r="F223" s="82"/>
      <c r="G223" s="82"/>
      <c r="H223" s="82"/>
      <c r="I223" s="82"/>
      <c r="J223" s="82"/>
      <c r="K223" s="83"/>
      <c r="L223" s="84"/>
      <c r="M223" s="85"/>
      <c r="N223" s="38"/>
      <c r="O223" s="39"/>
      <c r="P223" s="39"/>
      <c r="Q223" s="39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5.75" customHeight="1">
      <c r="A224" s="79"/>
      <c r="B224" s="80"/>
      <c r="C224" s="80"/>
      <c r="D224" s="81"/>
      <c r="E224" s="82"/>
      <c r="F224" s="82"/>
      <c r="G224" s="82"/>
      <c r="H224" s="82"/>
      <c r="I224" s="82"/>
      <c r="J224" s="82"/>
      <c r="K224" s="83"/>
      <c r="L224" s="84"/>
      <c r="M224" s="85"/>
      <c r="N224" s="38"/>
      <c r="O224" s="39"/>
      <c r="P224" s="39"/>
      <c r="Q224" s="39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5.75" customHeight="1">
      <c r="A225" s="79"/>
      <c r="B225" s="80"/>
      <c r="C225" s="80"/>
      <c r="D225" s="81"/>
      <c r="E225" s="82"/>
      <c r="F225" s="82"/>
      <c r="G225" s="82"/>
      <c r="H225" s="82"/>
      <c r="I225" s="82"/>
      <c r="J225" s="82"/>
      <c r="K225" s="83"/>
      <c r="L225" s="84"/>
      <c r="M225" s="85"/>
      <c r="N225" s="38"/>
      <c r="O225" s="39"/>
      <c r="P225" s="39"/>
      <c r="Q225" s="39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5.75" customHeight="1">
      <c r="A226" s="79"/>
      <c r="B226" s="80"/>
      <c r="C226" s="80"/>
      <c r="D226" s="81"/>
      <c r="E226" s="82"/>
      <c r="F226" s="82"/>
      <c r="G226" s="82"/>
      <c r="H226" s="82"/>
      <c r="I226" s="82"/>
      <c r="J226" s="82"/>
      <c r="K226" s="83"/>
      <c r="L226" s="84"/>
      <c r="M226" s="85"/>
      <c r="N226" s="38"/>
      <c r="O226" s="39"/>
      <c r="P226" s="39"/>
      <c r="Q226" s="39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5.75" customHeight="1">
      <c r="A227" s="79"/>
      <c r="B227" s="80"/>
      <c r="C227" s="80"/>
      <c r="D227" s="81"/>
      <c r="E227" s="82"/>
      <c r="F227" s="82"/>
      <c r="G227" s="82"/>
      <c r="H227" s="82"/>
      <c r="I227" s="82"/>
      <c r="J227" s="82"/>
      <c r="K227" s="83"/>
      <c r="L227" s="84"/>
      <c r="M227" s="85"/>
      <c r="N227" s="38"/>
      <c r="O227" s="39"/>
      <c r="P227" s="39"/>
      <c r="Q227" s="39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5.75" customHeight="1">
      <c r="A228" s="79"/>
      <c r="B228" s="80"/>
      <c r="C228" s="80"/>
      <c r="D228" s="81"/>
      <c r="E228" s="82"/>
      <c r="F228" s="82"/>
      <c r="G228" s="82"/>
      <c r="H228" s="82"/>
      <c r="I228" s="82"/>
      <c r="J228" s="82"/>
      <c r="K228" s="83"/>
      <c r="L228" s="84"/>
      <c r="M228" s="85"/>
      <c r="N228" s="38"/>
      <c r="O228" s="39"/>
      <c r="P228" s="39"/>
      <c r="Q228" s="39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5.75" customHeight="1">
      <c r="A229" s="79"/>
      <c r="B229" s="80"/>
      <c r="C229" s="80"/>
      <c r="D229" s="81"/>
      <c r="E229" s="82"/>
      <c r="F229" s="82"/>
      <c r="G229" s="82"/>
      <c r="H229" s="82"/>
      <c r="I229" s="82"/>
      <c r="J229" s="82"/>
      <c r="K229" s="83"/>
      <c r="L229" s="84"/>
      <c r="M229" s="85"/>
      <c r="N229" s="38"/>
      <c r="O229" s="39"/>
      <c r="P229" s="39"/>
      <c r="Q229" s="39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5.75" customHeight="1">
      <c r="A230" s="79"/>
      <c r="B230" s="80"/>
      <c r="C230" s="80"/>
      <c r="D230" s="81"/>
      <c r="E230" s="82"/>
      <c r="F230" s="82"/>
      <c r="G230" s="82"/>
      <c r="H230" s="82"/>
      <c r="I230" s="82"/>
      <c r="J230" s="82"/>
      <c r="K230" s="83"/>
      <c r="L230" s="84"/>
      <c r="M230" s="85"/>
      <c r="N230" s="38"/>
      <c r="O230" s="39"/>
      <c r="P230" s="39"/>
      <c r="Q230" s="39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5.75" customHeight="1">
      <c r="A231" s="79"/>
      <c r="B231" s="80"/>
      <c r="C231" s="80"/>
      <c r="D231" s="81"/>
      <c r="E231" s="82"/>
      <c r="F231" s="82"/>
      <c r="G231" s="82"/>
      <c r="H231" s="82"/>
      <c r="I231" s="82"/>
      <c r="J231" s="82"/>
      <c r="K231" s="83"/>
      <c r="L231" s="84"/>
      <c r="M231" s="85"/>
      <c r="N231" s="38"/>
      <c r="O231" s="39"/>
      <c r="P231" s="39"/>
      <c r="Q231" s="39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>
      <c r="A232" s="79"/>
      <c r="B232" s="80"/>
      <c r="C232" s="80"/>
      <c r="D232" s="81"/>
      <c r="E232" s="82"/>
      <c r="F232" s="82"/>
      <c r="G232" s="82"/>
      <c r="H232" s="82"/>
      <c r="I232" s="82"/>
      <c r="J232" s="82"/>
      <c r="K232" s="83"/>
      <c r="L232" s="84"/>
      <c r="M232" s="85"/>
      <c r="N232" s="38"/>
      <c r="O232" s="39"/>
      <c r="P232" s="39"/>
      <c r="Q232" s="39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5.75" customHeight="1">
      <c r="A233" s="79"/>
      <c r="B233" s="80"/>
      <c r="C233" s="80"/>
      <c r="D233" s="81"/>
      <c r="E233" s="82"/>
      <c r="F233" s="82"/>
      <c r="G233" s="82"/>
      <c r="H233" s="82"/>
      <c r="I233" s="82"/>
      <c r="J233" s="82"/>
      <c r="K233" s="83"/>
      <c r="L233" s="84"/>
      <c r="M233" s="85"/>
      <c r="N233" s="38"/>
      <c r="O233" s="39"/>
      <c r="P233" s="39"/>
      <c r="Q233" s="39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5.75" customHeight="1">
      <c r="A234" s="79"/>
      <c r="B234" s="80"/>
      <c r="C234" s="80"/>
      <c r="D234" s="81"/>
      <c r="E234" s="82"/>
      <c r="F234" s="82"/>
      <c r="G234" s="82"/>
      <c r="H234" s="82"/>
      <c r="I234" s="82"/>
      <c r="J234" s="82"/>
      <c r="K234" s="83"/>
      <c r="L234" s="84"/>
      <c r="M234" s="85"/>
      <c r="N234" s="38"/>
      <c r="O234" s="39"/>
      <c r="P234" s="39"/>
      <c r="Q234" s="39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5.75" customHeight="1">
      <c r="A235" s="79"/>
      <c r="B235" s="80"/>
      <c r="C235" s="80"/>
      <c r="D235" s="81"/>
      <c r="E235" s="82"/>
      <c r="F235" s="82"/>
      <c r="G235" s="82"/>
      <c r="H235" s="82"/>
      <c r="I235" s="82"/>
      <c r="J235" s="82"/>
      <c r="K235" s="83"/>
      <c r="L235" s="84"/>
      <c r="M235" s="85"/>
      <c r="N235" s="38"/>
      <c r="O235" s="39"/>
      <c r="P235" s="39"/>
      <c r="Q235" s="39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5.75" customHeight="1">
      <c r="A236" s="79"/>
      <c r="B236" s="80"/>
      <c r="C236" s="80"/>
      <c r="D236" s="81"/>
      <c r="E236" s="82"/>
      <c r="F236" s="82"/>
      <c r="G236" s="82"/>
      <c r="H236" s="82"/>
      <c r="I236" s="82"/>
      <c r="J236" s="82"/>
      <c r="K236" s="83"/>
      <c r="L236" s="84"/>
      <c r="M236" s="85"/>
      <c r="N236" s="38"/>
      <c r="O236" s="39"/>
      <c r="P236" s="39"/>
      <c r="Q236" s="39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5.75" customHeight="1">
      <c r="A237" s="79"/>
      <c r="B237" s="80"/>
      <c r="C237" s="80"/>
      <c r="D237" s="81"/>
      <c r="E237" s="82"/>
      <c r="F237" s="82"/>
      <c r="G237" s="82"/>
      <c r="H237" s="82"/>
      <c r="I237" s="82"/>
      <c r="J237" s="82"/>
      <c r="K237" s="83"/>
      <c r="L237" s="84"/>
      <c r="M237" s="85"/>
      <c r="N237" s="38"/>
      <c r="O237" s="39"/>
      <c r="P237" s="39"/>
      <c r="Q237" s="39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5.75" customHeight="1">
      <c r="A238" s="79"/>
      <c r="B238" s="80"/>
      <c r="C238" s="80"/>
      <c r="D238" s="81"/>
      <c r="E238" s="82"/>
      <c r="F238" s="82"/>
      <c r="G238" s="82"/>
      <c r="H238" s="82"/>
      <c r="I238" s="82"/>
      <c r="J238" s="82"/>
      <c r="K238" s="83"/>
      <c r="L238" s="84"/>
      <c r="M238" s="85"/>
      <c r="N238" s="38"/>
      <c r="O238" s="39"/>
      <c r="P238" s="39"/>
      <c r="Q238" s="39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5.75" customHeight="1">
      <c r="A239" s="79"/>
      <c r="B239" s="80"/>
      <c r="C239" s="80"/>
      <c r="D239" s="81"/>
      <c r="E239" s="82"/>
      <c r="F239" s="82"/>
      <c r="G239" s="82"/>
      <c r="H239" s="82"/>
      <c r="I239" s="82"/>
      <c r="J239" s="82"/>
      <c r="K239" s="83"/>
      <c r="L239" s="84"/>
      <c r="M239" s="85"/>
      <c r="N239" s="38"/>
      <c r="O239" s="39"/>
      <c r="P239" s="39"/>
      <c r="Q239" s="39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5.75" customHeight="1">
      <c r="A240" s="79"/>
      <c r="B240" s="80"/>
      <c r="C240" s="80"/>
      <c r="D240" s="81"/>
      <c r="E240" s="82"/>
      <c r="F240" s="82"/>
      <c r="G240" s="82"/>
      <c r="H240" s="82"/>
      <c r="I240" s="82"/>
      <c r="J240" s="82"/>
      <c r="K240" s="83"/>
      <c r="L240" s="84"/>
      <c r="M240" s="85"/>
      <c r="N240" s="38"/>
      <c r="O240" s="39"/>
      <c r="P240" s="39"/>
      <c r="Q240" s="39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5.75" customHeight="1">
      <c r="A241" s="79"/>
      <c r="B241" s="80"/>
      <c r="C241" s="80"/>
      <c r="D241" s="81"/>
      <c r="E241" s="82"/>
      <c r="F241" s="82"/>
      <c r="G241" s="82"/>
      <c r="H241" s="82"/>
      <c r="I241" s="82"/>
      <c r="J241" s="82"/>
      <c r="K241" s="83"/>
      <c r="L241" s="84"/>
      <c r="M241" s="85"/>
      <c r="N241" s="38"/>
      <c r="O241" s="39"/>
      <c r="P241" s="39"/>
      <c r="Q241" s="39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5.75" customHeight="1">
      <c r="A242" s="79"/>
      <c r="B242" s="80"/>
      <c r="C242" s="80"/>
      <c r="D242" s="81"/>
      <c r="E242" s="82"/>
      <c r="F242" s="82"/>
      <c r="G242" s="82"/>
      <c r="H242" s="82"/>
      <c r="I242" s="82"/>
      <c r="J242" s="82"/>
      <c r="K242" s="83"/>
      <c r="L242" s="84"/>
      <c r="M242" s="85"/>
      <c r="N242" s="38"/>
      <c r="O242" s="39"/>
      <c r="P242" s="39"/>
      <c r="Q242" s="39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5.75" customHeight="1">
      <c r="A243" s="79"/>
      <c r="B243" s="80"/>
      <c r="C243" s="80"/>
      <c r="D243" s="81"/>
      <c r="E243" s="82"/>
      <c r="F243" s="82"/>
      <c r="G243" s="82"/>
      <c r="H243" s="82"/>
      <c r="I243" s="82"/>
      <c r="J243" s="82"/>
      <c r="K243" s="83"/>
      <c r="L243" s="84"/>
      <c r="M243" s="85"/>
      <c r="N243" s="38"/>
      <c r="O243" s="39"/>
      <c r="P243" s="39"/>
      <c r="Q243" s="39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5.75" customHeight="1">
      <c r="A244" s="79"/>
      <c r="B244" s="80"/>
      <c r="C244" s="80"/>
      <c r="D244" s="81"/>
      <c r="E244" s="82"/>
      <c r="F244" s="82"/>
      <c r="G244" s="82"/>
      <c r="H244" s="82"/>
      <c r="I244" s="82"/>
      <c r="J244" s="82"/>
      <c r="K244" s="83"/>
      <c r="L244" s="84"/>
      <c r="M244" s="85"/>
      <c r="N244" s="38"/>
      <c r="O244" s="39"/>
      <c r="P244" s="39"/>
      <c r="Q244" s="39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5.75" customHeight="1">
      <c r="A245" s="79"/>
      <c r="B245" s="80"/>
      <c r="C245" s="80"/>
      <c r="D245" s="81"/>
      <c r="E245" s="82"/>
      <c r="F245" s="82"/>
      <c r="G245" s="82"/>
      <c r="H245" s="82"/>
      <c r="I245" s="82"/>
      <c r="J245" s="82"/>
      <c r="K245" s="83"/>
      <c r="L245" s="84"/>
      <c r="M245" s="85"/>
      <c r="N245" s="38"/>
      <c r="O245" s="39"/>
      <c r="P245" s="39"/>
      <c r="Q245" s="39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5.75" customHeight="1">
      <c r="A246" s="79"/>
      <c r="B246" s="80"/>
      <c r="C246" s="80"/>
      <c r="D246" s="81"/>
      <c r="E246" s="82"/>
      <c r="F246" s="82"/>
      <c r="G246" s="82"/>
      <c r="H246" s="82"/>
      <c r="I246" s="82"/>
      <c r="J246" s="82"/>
      <c r="K246" s="83"/>
      <c r="L246" s="84"/>
      <c r="M246" s="85"/>
      <c r="N246" s="38"/>
      <c r="O246" s="39"/>
      <c r="P246" s="39"/>
      <c r="Q246" s="39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5.75" customHeight="1">
      <c r="A247" s="79"/>
      <c r="B247" s="80"/>
      <c r="C247" s="80"/>
      <c r="D247" s="81"/>
      <c r="E247" s="82"/>
      <c r="F247" s="82"/>
      <c r="G247" s="82"/>
      <c r="H247" s="82"/>
      <c r="I247" s="82"/>
      <c r="J247" s="82"/>
      <c r="K247" s="83"/>
      <c r="L247" s="84"/>
      <c r="M247" s="85"/>
      <c r="N247" s="38"/>
      <c r="O247" s="39"/>
      <c r="P247" s="39"/>
      <c r="Q247" s="39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5.75" customHeight="1">
      <c r="A248" s="79"/>
      <c r="B248" s="80"/>
      <c r="C248" s="80"/>
      <c r="D248" s="81"/>
      <c r="E248" s="82"/>
      <c r="F248" s="82"/>
      <c r="G248" s="82"/>
      <c r="H248" s="82"/>
      <c r="I248" s="82"/>
      <c r="J248" s="82"/>
      <c r="K248" s="83"/>
      <c r="L248" s="84"/>
      <c r="M248" s="85"/>
      <c r="N248" s="38"/>
      <c r="O248" s="39"/>
      <c r="P248" s="39"/>
      <c r="Q248" s="39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5.75" customHeight="1">
      <c r="A249" s="79"/>
      <c r="B249" s="80"/>
      <c r="C249" s="80"/>
      <c r="D249" s="81"/>
      <c r="E249" s="82"/>
      <c r="F249" s="82"/>
      <c r="G249" s="82"/>
      <c r="H249" s="82"/>
      <c r="I249" s="82"/>
      <c r="J249" s="82"/>
      <c r="K249" s="83"/>
      <c r="L249" s="84"/>
      <c r="M249" s="85"/>
      <c r="N249" s="38"/>
      <c r="O249" s="39"/>
      <c r="P249" s="39"/>
      <c r="Q249" s="39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5.75" customHeight="1">
      <c r="A250" s="79"/>
      <c r="B250" s="80"/>
      <c r="C250" s="80"/>
      <c r="D250" s="81"/>
      <c r="E250" s="82"/>
      <c r="F250" s="82"/>
      <c r="G250" s="82"/>
      <c r="H250" s="82"/>
      <c r="I250" s="82"/>
      <c r="J250" s="82"/>
      <c r="K250" s="83"/>
      <c r="L250" s="84"/>
      <c r="M250" s="85"/>
      <c r="N250" s="38"/>
      <c r="O250" s="39"/>
      <c r="P250" s="39"/>
      <c r="Q250" s="39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>
      <c r="A251" s="79"/>
      <c r="B251" s="80"/>
      <c r="C251" s="80"/>
      <c r="D251" s="81"/>
      <c r="E251" s="82"/>
      <c r="F251" s="82"/>
      <c r="G251" s="82"/>
      <c r="H251" s="82"/>
      <c r="I251" s="82"/>
      <c r="J251" s="82"/>
      <c r="K251" s="83"/>
      <c r="L251" s="84"/>
      <c r="M251" s="85"/>
      <c r="N251" s="38"/>
      <c r="O251" s="39"/>
      <c r="P251" s="39"/>
      <c r="Q251" s="39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5.75" customHeight="1">
      <c r="A252" s="79"/>
      <c r="B252" s="80"/>
      <c r="C252" s="80"/>
      <c r="D252" s="81"/>
      <c r="E252" s="82"/>
      <c r="F252" s="82"/>
      <c r="G252" s="82"/>
      <c r="H252" s="82"/>
      <c r="I252" s="82"/>
      <c r="J252" s="82"/>
      <c r="K252" s="83"/>
      <c r="L252" s="84"/>
      <c r="M252" s="85"/>
      <c r="N252" s="38"/>
      <c r="O252" s="39"/>
      <c r="P252" s="39"/>
      <c r="Q252" s="39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5.75" customHeight="1">
      <c r="A253" s="79"/>
      <c r="B253" s="80"/>
      <c r="C253" s="80"/>
      <c r="D253" s="81"/>
      <c r="E253" s="82"/>
      <c r="F253" s="82"/>
      <c r="G253" s="82"/>
      <c r="H253" s="82"/>
      <c r="I253" s="82"/>
      <c r="J253" s="82"/>
      <c r="K253" s="83"/>
      <c r="L253" s="84"/>
      <c r="M253" s="85"/>
      <c r="N253" s="38"/>
      <c r="O253" s="39"/>
      <c r="P253" s="39"/>
      <c r="Q253" s="39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5.75" customHeight="1">
      <c r="A254" s="79"/>
      <c r="B254" s="80"/>
      <c r="C254" s="80"/>
      <c r="D254" s="81"/>
      <c r="E254" s="82"/>
      <c r="F254" s="82"/>
      <c r="G254" s="82"/>
      <c r="H254" s="82"/>
      <c r="I254" s="82"/>
      <c r="J254" s="82"/>
      <c r="K254" s="83"/>
      <c r="L254" s="84"/>
      <c r="M254" s="85"/>
      <c r="N254" s="38"/>
      <c r="O254" s="39"/>
      <c r="P254" s="39"/>
      <c r="Q254" s="39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5.75" customHeight="1">
      <c r="A255" s="79"/>
      <c r="B255" s="80"/>
      <c r="C255" s="80"/>
      <c r="D255" s="81"/>
      <c r="E255" s="82"/>
      <c r="F255" s="82"/>
      <c r="G255" s="82"/>
      <c r="H255" s="82"/>
      <c r="I255" s="82"/>
      <c r="J255" s="82"/>
      <c r="K255" s="83"/>
      <c r="L255" s="84"/>
      <c r="M255" s="85"/>
      <c r="N255" s="38"/>
      <c r="O255" s="39"/>
      <c r="P255" s="39"/>
      <c r="Q255" s="39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5.75" customHeight="1">
      <c r="A256" s="79"/>
      <c r="B256" s="80"/>
      <c r="C256" s="80"/>
      <c r="D256" s="81"/>
      <c r="E256" s="82"/>
      <c r="F256" s="82"/>
      <c r="G256" s="82"/>
      <c r="H256" s="82"/>
      <c r="I256" s="82"/>
      <c r="J256" s="82"/>
      <c r="K256" s="83"/>
      <c r="L256" s="84"/>
      <c r="M256" s="85"/>
      <c r="N256" s="38"/>
      <c r="O256" s="39"/>
      <c r="P256" s="39"/>
      <c r="Q256" s="39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5.75" customHeight="1">
      <c r="A257" s="79"/>
      <c r="B257" s="80"/>
      <c r="C257" s="80"/>
      <c r="D257" s="81"/>
      <c r="E257" s="82"/>
      <c r="F257" s="82"/>
      <c r="G257" s="82"/>
      <c r="H257" s="82"/>
      <c r="I257" s="82"/>
      <c r="J257" s="82"/>
      <c r="K257" s="83"/>
      <c r="L257" s="84"/>
      <c r="M257" s="85"/>
      <c r="N257" s="38"/>
      <c r="O257" s="39"/>
      <c r="P257" s="39"/>
      <c r="Q257" s="39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5.75" customHeight="1">
      <c r="A258" s="79"/>
      <c r="B258" s="80"/>
      <c r="C258" s="80"/>
      <c r="D258" s="81"/>
      <c r="E258" s="82"/>
      <c r="F258" s="82"/>
      <c r="G258" s="82"/>
      <c r="H258" s="82"/>
      <c r="I258" s="82"/>
      <c r="J258" s="82"/>
      <c r="K258" s="83"/>
      <c r="L258" s="84"/>
      <c r="M258" s="85"/>
      <c r="N258" s="38"/>
      <c r="O258" s="39"/>
      <c r="P258" s="39"/>
      <c r="Q258" s="39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5.75" customHeight="1">
      <c r="A259" s="79"/>
      <c r="B259" s="80"/>
      <c r="C259" s="80"/>
      <c r="D259" s="81"/>
      <c r="E259" s="82"/>
      <c r="F259" s="82"/>
      <c r="G259" s="82"/>
      <c r="H259" s="82"/>
      <c r="I259" s="82"/>
      <c r="J259" s="82"/>
      <c r="K259" s="83"/>
      <c r="L259" s="84"/>
      <c r="M259" s="85"/>
      <c r="N259" s="38"/>
      <c r="O259" s="39"/>
      <c r="P259" s="39"/>
      <c r="Q259" s="39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5.75" customHeight="1">
      <c r="A260" s="79"/>
      <c r="B260" s="80"/>
      <c r="C260" s="80"/>
      <c r="D260" s="81"/>
      <c r="E260" s="82"/>
      <c r="F260" s="82"/>
      <c r="G260" s="82"/>
      <c r="H260" s="82"/>
      <c r="I260" s="82"/>
      <c r="J260" s="82"/>
      <c r="K260" s="83"/>
      <c r="L260" s="84"/>
      <c r="M260" s="85"/>
      <c r="N260" s="38"/>
      <c r="O260" s="39"/>
      <c r="P260" s="39"/>
      <c r="Q260" s="39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5.75" customHeight="1">
      <c r="A261" s="79"/>
      <c r="B261" s="80"/>
      <c r="C261" s="80"/>
      <c r="D261" s="81"/>
      <c r="E261" s="82"/>
      <c r="F261" s="82"/>
      <c r="G261" s="82"/>
      <c r="H261" s="82"/>
      <c r="I261" s="82"/>
      <c r="J261" s="82"/>
      <c r="K261" s="83"/>
      <c r="L261" s="84"/>
      <c r="M261" s="85"/>
      <c r="N261" s="38"/>
      <c r="O261" s="39"/>
      <c r="P261" s="39"/>
      <c r="Q261" s="39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5.75" customHeight="1">
      <c r="A262" s="79"/>
      <c r="B262" s="80"/>
      <c r="C262" s="80"/>
      <c r="D262" s="81"/>
      <c r="E262" s="82"/>
      <c r="F262" s="82"/>
      <c r="G262" s="82"/>
      <c r="H262" s="82"/>
      <c r="I262" s="82"/>
      <c r="J262" s="82"/>
      <c r="K262" s="83"/>
      <c r="L262" s="84"/>
      <c r="M262" s="85"/>
      <c r="N262" s="38"/>
      <c r="O262" s="39"/>
      <c r="P262" s="39"/>
      <c r="Q262" s="39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5.75" customHeight="1">
      <c r="A263" s="79"/>
      <c r="B263" s="80"/>
      <c r="C263" s="80"/>
      <c r="D263" s="81"/>
      <c r="E263" s="82"/>
      <c r="F263" s="82"/>
      <c r="G263" s="82"/>
      <c r="H263" s="82"/>
      <c r="I263" s="82"/>
      <c r="J263" s="82"/>
      <c r="K263" s="83"/>
      <c r="L263" s="84"/>
      <c r="M263" s="85"/>
      <c r="N263" s="38"/>
      <c r="O263" s="39"/>
      <c r="P263" s="39"/>
      <c r="Q263" s="39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5.75" customHeight="1">
      <c r="A264" s="79"/>
      <c r="B264" s="80"/>
      <c r="C264" s="80"/>
      <c r="D264" s="81"/>
      <c r="E264" s="82"/>
      <c r="F264" s="82"/>
      <c r="G264" s="82"/>
      <c r="H264" s="82"/>
      <c r="I264" s="82"/>
      <c r="J264" s="82"/>
      <c r="K264" s="83"/>
      <c r="L264" s="84"/>
      <c r="M264" s="85"/>
      <c r="N264" s="38"/>
      <c r="O264" s="39"/>
      <c r="P264" s="39"/>
      <c r="Q264" s="39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5.75" customHeight="1">
      <c r="A265" s="79"/>
      <c r="B265" s="80"/>
      <c r="C265" s="80"/>
      <c r="D265" s="81"/>
      <c r="E265" s="82"/>
      <c r="F265" s="82"/>
      <c r="G265" s="82"/>
      <c r="H265" s="82"/>
      <c r="I265" s="82"/>
      <c r="J265" s="82"/>
      <c r="K265" s="83"/>
      <c r="L265" s="84"/>
      <c r="M265" s="85"/>
      <c r="N265" s="38"/>
      <c r="O265" s="39"/>
      <c r="P265" s="39"/>
      <c r="Q265" s="39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5.75" customHeight="1">
      <c r="A266" s="79"/>
      <c r="B266" s="80"/>
      <c r="C266" s="80"/>
      <c r="D266" s="81"/>
      <c r="E266" s="82"/>
      <c r="F266" s="82"/>
      <c r="G266" s="82"/>
      <c r="H266" s="82"/>
      <c r="I266" s="82"/>
      <c r="J266" s="82"/>
      <c r="K266" s="83"/>
      <c r="L266" s="84"/>
      <c r="M266" s="85"/>
      <c r="N266" s="38"/>
      <c r="O266" s="39"/>
      <c r="P266" s="39"/>
      <c r="Q266" s="39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5.75" customHeight="1">
      <c r="A267" s="79"/>
      <c r="B267" s="80"/>
      <c r="C267" s="80"/>
      <c r="D267" s="81"/>
      <c r="E267" s="82"/>
      <c r="F267" s="82"/>
      <c r="G267" s="82"/>
      <c r="H267" s="82"/>
      <c r="I267" s="82"/>
      <c r="J267" s="82"/>
      <c r="K267" s="83"/>
      <c r="L267" s="84"/>
      <c r="M267" s="85"/>
      <c r="N267" s="38"/>
      <c r="O267" s="39"/>
      <c r="P267" s="39"/>
      <c r="Q267" s="39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5.75" customHeight="1">
      <c r="A268" s="79"/>
      <c r="B268" s="80"/>
      <c r="C268" s="80"/>
      <c r="D268" s="81"/>
      <c r="E268" s="82"/>
      <c r="F268" s="82"/>
      <c r="G268" s="82"/>
      <c r="H268" s="82"/>
      <c r="I268" s="82"/>
      <c r="J268" s="82"/>
      <c r="K268" s="83"/>
      <c r="L268" s="84"/>
      <c r="M268" s="85"/>
      <c r="N268" s="38"/>
      <c r="O268" s="39"/>
      <c r="P268" s="39"/>
      <c r="Q268" s="39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5.75" customHeight="1">
      <c r="A269" s="79"/>
      <c r="B269" s="80"/>
      <c r="C269" s="80"/>
      <c r="D269" s="81"/>
      <c r="E269" s="82"/>
      <c r="F269" s="82"/>
      <c r="G269" s="82"/>
      <c r="H269" s="82"/>
      <c r="I269" s="82"/>
      <c r="J269" s="82"/>
      <c r="K269" s="83"/>
      <c r="L269" s="84"/>
      <c r="M269" s="85"/>
      <c r="N269" s="38"/>
      <c r="O269" s="39"/>
      <c r="P269" s="39"/>
      <c r="Q269" s="39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5.75" customHeight="1">
      <c r="A270" s="79"/>
      <c r="B270" s="80"/>
      <c r="C270" s="80"/>
      <c r="D270" s="81"/>
      <c r="E270" s="82"/>
      <c r="F270" s="82"/>
      <c r="G270" s="82"/>
      <c r="H270" s="82"/>
      <c r="I270" s="82"/>
      <c r="J270" s="82"/>
      <c r="K270" s="83"/>
      <c r="L270" s="84"/>
      <c r="M270" s="85"/>
      <c r="N270" s="38"/>
      <c r="O270" s="39"/>
      <c r="P270" s="39"/>
      <c r="Q270" s="39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5.75" customHeight="1">
      <c r="A271" s="79"/>
      <c r="B271" s="80"/>
      <c r="C271" s="80"/>
      <c r="D271" s="81"/>
      <c r="E271" s="82"/>
      <c r="F271" s="82"/>
      <c r="G271" s="82"/>
      <c r="H271" s="82"/>
      <c r="I271" s="82"/>
      <c r="J271" s="82"/>
      <c r="K271" s="83"/>
      <c r="L271" s="84"/>
      <c r="M271" s="85"/>
      <c r="N271" s="38"/>
      <c r="O271" s="39"/>
      <c r="P271" s="39"/>
      <c r="Q271" s="39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5.75" customHeight="1">
      <c r="A272" s="79"/>
      <c r="B272" s="80"/>
      <c r="C272" s="80"/>
      <c r="D272" s="81"/>
      <c r="E272" s="82"/>
      <c r="F272" s="82"/>
      <c r="G272" s="82"/>
      <c r="H272" s="82"/>
      <c r="I272" s="82"/>
      <c r="J272" s="82"/>
      <c r="K272" s="83"/>
      <c r="L272" s="84"/>
      <c r="M272" s="85"/>
      <c r="N272" s="38"/>
      <c r="O272" s="39"/>
      <c r="P272" s="39"/>
      <c r="Q272" s="39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5.75" customHeight="1">
      <c r="A273" s="79"/>
      <c r="B273" s="80"/>
      <c r="C273" s="80"/>
      <c r="D273" s="81"/>
      <c r="E273" s="82"/>
      <c r="F273" s="82"/>
      <c r="G273" s="82"/>
      <c r="H273" s="82"/>
      <c r="I273" s="82"/>
      <c r="J273" s="82"/>
      <c r="K273" s="83"/>
      <c r="L273" s="84"/>
      <c r="M273" s="85"/>
      <c r="N273" s="38"/>
      <c r="O273" s="39"/>
      <c r="P273" s="39"/>
      <c r="Q273" s="39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5.75" customHeight="1">
      <c r="A274" s="79"/>
      <c r="B274" s="80"/>
      <c r="C274" s="80"/>
      <c r="D274" s="81"/>
      <c r="E274" s="82"/>
      <c r="F274" s="82"/>
      <c r="G274" s="82"/>
      <c r="H274" s="82"/>
      <c r="I274" s="82"/>
      <c r="J274" s="82"/>
      <c r="K274" s="83"/>
      <c r="L274" s="84"/>
      <c r="M274" s="85"/>
      <c r="N274" s="38"/>
      <c r="O274" s="39"/>
      <c r="P274" s="39"/>
      <c r="Q274" s="39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5.75" customHeight="1">
      <c r="A275" s="79"/>
      <c r="B275" s="80"/>
      <c r="C275" s="80"/>
      <c r="D275" s="81"/>
      <c r="E275" s="82"/>
      <c r="F275" s="82"/>
      <c r="G275" s="82"/>
      <c r="H275" s="82"/>
      <c r="I275" s="82"/>
      <c r="J275" s="82"/>
      <c r="K275" s="83"/>
      <c r="L275" s="84"/>
      <c r="M275" s="85"/>
      <c r="N275" s="38"/>
      <c r="O275" s="39"/>
      <c r="P275" s="39"/>
      <c r="Q275" s="39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5.75" customHeight="1">
      <c r="A276" s="79"/>
      <c r="B276" s="80"/>
      <c r="C276" s="80"/>
      <c r="D276" s="81"/>
      <c r="E276" s="82"/>
      <c r="F276" s="82"/>
      <c r="G276" s="82"/>
      <c r="H276" s="82"/>
      <c r="I276" s="82"/>
      <c r="J276" s="82"/>
      <c r="K276" s="83"/>
      <c r="L276" s="84"/>
      <c r="M276" s="85"/>
      <c r="N276" s="38"/>
      <c r="O276" s="39"/>
      <c r="P276" s="39"/>
      <c r="Q276" s="39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5.75" customHeight="1">
      <c r="A277" s="79"/>
      <c r="B277" s="80"/>
      <c r="C277" s="80"/>
      <c r="D277" s="81"/>
      <c r="E277" s="82"/>
      <c r="F277" s="82"/>
      <c r="G277" s="82"/>
      <c r="H277" s="82"/>
      <c r="I277" s="82"/>
      <c r="J277" s="82"/>
      <c r="K277" s="83"/>
      <c r="L277" s="84"/>
      <c r="M277" s="85"/>
      <c r="N277" s="38"/>
      <c r="O277" s="39"/>
      <c r="P277" s="39"/>
      <c r="Q277" s="39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5.75" customHeight="1">
      <c r="A278" s="79"/>
      <c r="B278" s="80"/>
      <c r="C278" s="80"/>
      <c r="D278" s="81"/>
      <c r="E278" s="82"/>
      <c r="F278" s="82"/>
      <c r="G278" s="82"/>
      <c r="H278" s="82"/>
      <c r="I278" s="82"/>
      <c r="J278" s="82"/>
      <c r="K278" s="83"/>
      <c r="L278" s="84"/>
      <c r="M278" s="85"/>
      <c r="N278" s="38"/>
      <c r="O278" s="39"/>
      <c r="P278" s="39"/>
      <c r="Q278" s="39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5.75" customHeight="1">
      <c r="A279" s="79"/>
      <c r="B279" s="80"/>
      <c r="C279" s="80"/>
      <c r="D279" s="81"/>
      <c r="E279" s="82"/>
      <c r="F279" s="82"/>
      <c r="G279" s="82"/>
      <c r="H279" s="82"/>
      <c r="I279" s="82"/>
      <c r="J279" s="82"/>
      <c r="K279" s="83"/>
      <c r="L279" s="84"/>
      <c r="M279" s="85"/>
      <c r="N279" s="38"/>
      <c r="O279" s="39"/>
      <c r="P279" s="39"/>
      <c r="Q279" s="39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5.75" customHeight="1">
      <c r="A280" s="79"/>
      <c r="B280" s="80"/>
      <c r="C280" s="80"/>
      <c r="D280" s="81"/>
      <c r="E280" s="82"/>
      <c r="F280" s="82"/>
      <c r="G280" s="82"/>
      <c r="H280" s="82"/>
      <c r="I280" s="82"/>
      <c r="J280" s="82"/>
      <c r="K280" s="83"/>
      <c r="L280" s="84"/>
      <c r="M280" s="85"/>
      <c r="N280" s="38"/>
      <c r="O280" s="39"/>
      <c r="P280" s="39"/>
      <c r="Q280" s="39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5.75" customHeight="1">
      <c r="A281" s="79"/>
      <c r="B281" s="80"/>
      <c r="C281" s="80"/>
      <c r="D281" s="81"/>
      <c r="E281" s="82"/>
      <c r="F281" s="82"/>
      <c r="G281" s="82"/>
      <c r="H281" s="82"/>
      <c r="I281" s="82"/>
      <c r="J281" s="82"/>
      <c r="K281" s="83"/>
      <c r="L281" s="84"/>
      <c r="M281" s="85"/>
      <c r="N281" s="38"/>
      <c r="O281" s="39"/>
      <c r="P281" s="39"/>
      <c r="Q281" s="39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5.75" customHeight="1">
      <c r="A282" s="79"/>
      <c r="B282" s="80"/>
      <c r="C282" s="80"/>
      <c r="D282" s="81"/>
      <c r="E282" s="82"/>
      <c r="F282" s="82"/>
      <c r="G282" s="82"/>
      <c r="H282" s="82"/>
      <c r="I282" s="82"/>
      <c r="J282" s="82"/>
      <c r="K282" s="83"/>
      <c r="L282" s="84"/>
      <c r="M282" s="85"/>
      <c r="N282" s="38"/>
      <c r="O282" s="39"/>
      <c r="P282" s="39"/>
      <c r="Q282" s="39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5.75" customHeight="1">
      <c r="A283" s="79"/>
      <c r="B283" s="80"/>
      <c r="C283" s="80"/>
      <c r="D283" s="81"/>
      <c r="E283" s="82"/>
      <c r="F283" s="82"/>
      <c r="G283" s="82"/>
      <c r="H283" s="82"/>
      <c r="I283" s="82"/>
      <c r="J283" s="82"/>
      <c r="K283" s="83"/>
      <c r="L283" s="84"/>
      <c r="M283" s="85"/>
      <c r="N283" s="38"/>
      <c r="O283" s="39"/>
      <c r="P283" s="39"/>
      <c r="Q283" s="39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5.75" customHeight="1">
      <c r="A284" s="79"/>
      <c r="B284" s="80"/>
      <c r="C284" s="80"/>
      <c r="D284" s="81"/>
      <c r="E284" s="82"/>
      <c r="F284" s="82"/>
      <c r="G284" s="82"/>
      <c r="H284" s="82"/>
      <c r="I284" s="82"/>
      <c r="J284" s="82"/>
      <c r="K284" s="83"/>
      <c r="L284" s="84"/>
      <c r="M284" s="85"/>
      <c r="N284" s="38"/>
      <c r="O284" s="39"/>
      <c r="P284" s="39"/>
      <c r="Q284" s="39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5.75" customHeight="1">
      <c r="A285" s="79"/>
      <c r="B285" s="80"/>
      <c r="C285" s="80"/>
      <c r="D285" s="81"/>
      <c r="E285" s="82"/>
      <c r="F285" s="82"/>
      <c r="G285" s="82"/>
      <c r="H285" s="82"/>
      <c r="I285" s="82"/>
      <c r="J285" s="82"/>
      <c r="K285" s="83"/>
      <c r="L285" s="84"/>
      <c r="M285" s="85"/>
      <c r="N285" s="38"/>
      <c r="O285" s="39"/>
      <c r="P285" s="39"/>
      <c r="Q285" s="39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5.75" customHeight="1">
      <c r="A286" s="79"/>
      <c r="B286" s="80"/>
      <c r="C286" s="80"/>
      <c r="D286" s="81"/>
      <c r="E286" s="82"/>
      <c r="F286" s="82"/>
      <c r="G286" s="82"/>
      <c r="H286" s="82"/>
      <c r="I286" s="82"/>
      <c r="J286" s="82"/>
      <c r="K286" s="83"/>
      <c r="L286" s="84"/>
      <c r="M286" s="85"/>
      <c r="N286" s="38"/>
      <c r="O286" s="39"/>
      <c r="P286" s="39"/>
      <c r="Q286" s="39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5.75" customHeight="1">
      <c r="A287" s="79"/>
      <c r="B287" s="80"/>
      <c r="C287" s="80"/>
      <c r="D287" s="81"/>
      <c r="E287" s="82"/>
      <c r="F287" s="82"/>
      <c r="G287" s="82"/>
      <c r="H287" s="82"/>
      <c r="I287" s="82"/>
      <c r="J287" s="82"/>
      <c r="K287" s="83"/>
      <c r="L287" s="84"/>
      <c r="M287" s="85"/>
      <c r="N287" s="38"/>
      <c r="O287" s="39"/>
      <c r="P287" s="39"/>
      <c r="Q287" s="39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5.75" customHeight="1">
      <c r="A288" s="79"/>
      <c r="B288" s="80"/>
      <c r="C288" s="80"/>
      <c r="D288" s="81"/>
      <c r="E288" s="82"/>
      <c r="F288" s="82"/>
      <c r="G288" s="82"/>
      <c r="H288" s="82"/>
      <c r="I288" s="82"/>
      <c r="J288" s="82"/>
      <c r="K288" s="83"/>
      <c r="L288" s="84"/>
      <c r="M288" s="85"/>
      <c r="N288" s="38"/>
      <c r="O288" s="39"/>
      <c r="P288" s="39"/>
      <c r="Q288" s="39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5.75" customHeight="1">
      <c r="A289" s="79"/>
      <c r="B289" s="80"/>
      <c r="C289" s="80"/>
      <c r="D289" s="81"/>
      <c r="E289" s="82"/>
      <c r="F289" s="82"/>
      <c r="G289" s="82"/>
      <c r="H289" s="82"/>
      <c r="I289" s="82"/>
      <c r="J289" s="82"/>
      <c r="K289" s="83"/>
      <c r="L289" s="84"/>
      <c r="M289" s="85"/>
      <c r="N289" s="38"/>
      <c r="O289" s="39"/>
      <c r="P289" s="39"/>
      <c r="Q289" s="39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5.75" customHeight="1">
      <c r="A290" s="79"/>
      <c r="B290" s="80"/>
      <c r="C290" s="80"/>
      <c r="D290" s="81"/>
      <c r="E290" s="82"/>
      <c r="F290" s="82"/>
      <c r="G290" s="82"/>
      <c r="H290" s="82"/>
      <c r="I290" s="82"/>
      <c r="J290" s="82"/>
      <c r="K290" s="83"/>
      <c r="L290" s="84"/>
      <c r="M290" s="85"/>
      <c r="N290" s="38"/>
      <c r="O290" s="39"/>
      <c r="P290" s="39"/>
      <c r="Q290" s="39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5.75" customHeight="1">
      <c r="A291" s="79"/>
      <c r="B291" s="80"/>
      <c r="C291" s="80"/>
      <c r="D291" s="81"/>
      <c r="E291" s="82"/>
      <c r="F291" s="82"/>
      <c r="G291" s="82"/>
      <c r="H291" s="82"/>
      <c r="I291" s="82"/>
      <c r="J291" s="82"/>
      <c r="K291" s="83"/>
      <c r="L291" s="84"/>
      <c r="M291" s="85"/>
      <c r="N291" s="38"/>
      <c r="O291" s="39"/>
      <c r="P291" s="39"/>
      <c r="Q291" s="39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5.75" customHeight="1">
      <c r="A292" s="79"/>
      <c r="B292" s="80"/>
      <c r="C292" s="80"/>
      <c r="D292" s="81"/>
      <c r="E292" s="82"/>
      <c r="F292" s="82"/>
      <c r="G292" s="82"/>
      <c r="H292" s="82"/>
      <c r="I292" s="82"/>
      <c r="J292" s="82"/>
      <c r="K292" s="83"/>
      <c r="L292" s="84"/>
      <c r="M292" s="85"/>
      <c r="N292" s="38"/>
      <c r="O292" s="39"/>
      <c r="P292" s="39"/>
      <c r="Q292" s="39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5.75" customHeight="1">
      <c r="A293" s="79"/>
      <c r="B293" s="80"/>
      <c r="C293" s="80"/>
      <c r="D293" s="81"/>
      <c r="E293" s="82"/>
      <c r="F293" s="82"/>
      <c r="G293" s="82"/>
      <c r="H293" s="82"/>
      <c r="I293" s="82"/>
      <c r="J293" s="82"/>
      <c r="K293" s="83"/>
      <c r="L293" s="84"/>
      <c r="M293" s="85"/>
      <c r="N293" s="38"/>
      <c r="O293" s="39"/>
      <c r="P293" s="39"/>
      <c r="Q293" s="39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5.75" customHeight="1">
      <c r="A294" s="79"/>
      <c r="B294" s="80"/>
      <c r="C294" s="80"/>
      <c r="D294" s="81"/>
      <c r="E294" s="82"/>
      <c r="F294" s="82"/>
      <c r="G294" s="82"/>
      <c r="H294" s="82"/>
      <c r="I294" s="82"/>
      <c r="J294" s="82"/>
      <c r="K294" s="83"/>
      <c r="L294" s="84"/>
      <c r="M294" s="85"/>
      <c r="N294" s="38"/>
      <c r="O294" s="39"/>
      <c r="P294" s="39"/>
      <c r="Q294" s="39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5.75" customHeight="1">
      <c r="A295" s="79"/>
      <c r="B295" s="80"/>
      <c r="C295" s="80"/>
      <c r="D295" s="81"/>
      <c r="E295" s="82"/>
      <c r="F295" s="82"/>
      <c r="G295" s="82"/>
      <c r="H295" s="82"/>
      <c r="I295" s="82"/>
      <c r="J295" s="82"/>
      <c r="K295" s="83"/>
      <c r="L295" s="84"/>
      <c r="M295" s="85"/>
      <c r="N295" s="38"/>
      <c r="O295" s="39"/>
      <c r="P295" s="39"/>
      <c r="Q295" s="39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5.75" customHeight="1">
      <c r="A296" s="79"/>
      <c r="B296" s="80"/>
      <c r="C296" s="80"/>
      <c r="D296" s="81"/>
      <c r="E296" s="82"/>
      <c r="F296" s="82"/>
      <c r="G296" s="82"/>
      <c r="H296" s="82"/>
      <c r="I296" s="82"/>
      <c r="J296" s="82"/>
      <c r="K296" s="83"/>
      <c r="L296" s="84"/>
      <c r="M296" s="85"/>
      <c r="N296" s="38"/>
      <c r="O296" s="39"/>
      <c r="P296" s="39"/>
      <c r="Q296" s="39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5.75" customHeight="1">
      <c r="A297" s="79"/>
      <c r="B297" s="80"/>
      <c r="C297" s="80"/>
      <c r="D297" s="81"/>
      <c r="E297" s="82"/>
      <c r="F297" s="82"/>
      <c r="G297" s="82"/>
      <c r="H297" s="82"/>
      <c r="I297" s="82"/>
      <c r="J297" s="82"/>
      <c r="K297" s="83"/>
      <c r="L297" s="84"/>
      <c r="M297" s="85"/>
      <c r="N297" s="38"/>
      <c r="O297" s="39"/>
      <c r="P297" s="39"/>
      <c r="Q297" s="39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5.75" customHeight="1">
      <c r="A298" s="79"/>
      <c r="B298" s="80"/>
      <c r="C298" s="80"/>
      <c r="D298" s="81"/>
      <c r="E298" s="82"/>
      <c r="F298" s="82"/>
      <c r="G298" s="82"/>
      <c r="H298" s="82"/>
      <c r="I298" s="82"/>
      <c r="J298" s="82"/>
      <c r="K298" s="83"/>
      <c r="L298" s="84"/>
      <c r="M298" s="85"/>
      <c r="N298" s="38"/>
      <c r="O298" s="39"/>
      <c r="P298" s="39"/>
      <c r="Q298" s="39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5.75" customHeight="1">
      <c r="A299" s="79"/>
      <c r="B299" s="80"/>
      <c r="C299" s="80"/>
      <c r="D299" s="81"/>
      <c r="E299" s="82"/>
      <c r="F299" s="82"/>
      <c r="G299" s="82"/>
      <c r="H299" s="82"/>
      <c r="I299" s="82"/>
      <c r="J299" s="82"/>
      <c r="K299" s="83"/>
      <c r="L299" s="84"/>
      <c r="M299" s="85"/>
      <c r="N299" s="38"/>
      <c r="O299" s="39"/>
      <c r="P299" s="39"/>
      <c r="Q299" s="39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5.75" customHeight="1">
      <c r="A300" s="79"/>
      <c r="B300" s="80"/>
      <c r="C300" s="80"/>
      <c r="D300" s="81"/>
      <c r="E300" s="82"/>
      <c r="F300" s="82"/>
      <c r="G300" s="82"/>
      <c r="H300" s="82"/>
      <c r="I300" s="82"/>
      <c r="J300" s="82"/>
      <c r="K300" s="83"/>
      <c r="L300" s="84"/>
      <c r="M300" s="85"/>
      <c r="N300" s="38"/>
      <c r="O300" s="39"/>
      <c r="P300" s="39"/>
      <c r="Q300" s="39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5.75" customHeight="1">
      <c r="A301" s="79"/>
      <c r="B301" s="80"/>
      <c r="C301" s="80"/>
      <c r="D301" s="81"/>
      <c r="E301" s="82"/>
      <c r="F301" s="82"/>
      <c r="G301" s="82"/>
      <c r="H301" s="82"/>
      <c r="I301" s="82"/>
      <c r="J301" s="82"/>
      <c r="K301" s="83"/>
      <c r="L301" s="84"/>
      <c r="M301" s="85"/>
      <c r="N301" s="38"/>
      <c r="O301" s="39"/>
      <c r="P301" s="39"/>
      <c r="Q301" s="39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5.75" customHeight="1">
      <c r="A302" s="79"/>
      <c r="B302" s="80"/>
      <c r="C302" s="80"/>
      <c r="D302" s="81"/>
      <c r="E302" s="82"/>
      <c r="F302" s="82"/>
      <c r="G302" s="82"/>
      <c r="H302" s="82"/>
      <c r="I302" s="82"/>
      <c r="J302" s="82"/>
      <c r="K302" s="83"/>
      <c r="L302" s="84"/>
      <c r="M302" s="85"/>
      <c r="N302" s="38"/>
      <c r="O302" s="39"/>
      <c r="P302" s="39"/>
      <c r="Q302" s="39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5.75" customHeight="1">
      <c r="A303" s="79"/>
      <c r="B303" s="80"/>
      <c r="C303" s="80"/>
      <c r="D303" s="81"/>
      <c r="E303" s="82"/>
      <c r="F303" s="82"/>
      <c r="G303" s="82"/>
      <c r="H303" s="82"/>
      <c r="I303" s="82"/>
      <c r="J303" s="82"/>
      <c r="K303" s="83"/>
      <c r="L303" s="84"/>
      <c r="M303" s="85"/>
      <c r="N303" s="38"/>
      <c r="O303" s="39"/>
      <c r="P303" s="39"/>
      <c r="Q303" s="39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5.75" customHeight="1">
      <c r="A304" s="79"/>
      <c r="B304" s="80"/>
      <c r="C304" s="80"/>
      <c r="D304" s="81"/>
      <c r="E304" s="82"/>
      <c r="F304" s="82"/>
      <c r="G304" s="82"/>
      <c r="H304" s="82"/>
      <c r="I304" s="82"/>
      <c r="J304" s="82"/>
      <c r="K304" s="83"/>
      <c r="L304" s="84"/>
      <c r="M304" s="85"/>
      <c r="N304" s="38"/>
      <c r="O304" s="39"/>
      <c r="P304" s="39"/>
      <c r="Q304" s="39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5.75" customHeight="1">
      <c r="A305" s="79"/>
      <c r="B305" s="80"/>
      <c r="C305" s="80"/>
      <c r="D305" s="81"/>
      <c r="E305" s="82"/>
      <c r="F305" s="82"/>
      <c r="G305" s="82"/>
      <c r="H305" s="82"/>
      <c r="I305" s="82"/>
      <c r="J305" s="82"/>
      <c r="K305" s="83"/>
      <c r="L305" s="84"/>
      <c r="M305" s="85"/>
      <c r="N305" s="38"/>
      <c r="O305" s="39"/>
      <c r="P305" s="39"/>
      <c r="Q305" s="39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5.75" customHeight="1">
      <c r="A306" s="79"/>
      <c r="B306" s="80"/>
      <c r="C306" s="80"/>
      <c r="D306" s="81"/>
      <c r="E306" s="82"/>
      <c r="F306" s="82"/>
      <c r="G306" s="82"/>
      <c r="H306" s="82"/>
      <c r="I306" s="82"/>
      <c r="J306" s="82"/>
      <c r="K306" s="83"/>
      <c r="L306" s="84"/>
      <c r="M306" s="85"/>
      <c r="N306" s="38"/>
      <c r="O306" s="39"/>
      <c r="P306" s="39"/>
      <c r="Q306" s="39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5.75" customHeight="1">
      <c r="A307" s="79"/>
      <c r="B307" s="80"/>
      <c r="C307" s="80"/>
      <c r="D307" s="81"/>
      <c r="E307" s="82"/>
      <c r="F307" s="82"/>
      <c r="G307" s="82"/>
      <c r="H307" s="82"/>
      <c r="I307" s="82"/>
      <c r="J307" s="82"/>
      <c r="K307" s="83"/>
      <c r="L307" s="84"/>
      <c r="M307" s="85"/>
      <c r="N307" s="38"/>
      <c r="O307" s="39"/>
      <c r="P307" s="39"/>
      <c r="Q307" s="39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5.75" customHeight="1">
      <c r="A308" s="79"/>
      <c r="B308" s="80"/>
      <c r="C308" s="80"/>
      <c r="D308" s="81"/>
      <c r="E308" s="82"/>
      <c r="F308" s="82"/>
      <c r="G308" s="82"/>
      <c r="H308" s="82"/>
      <c r="I308" s="82"/>
      <c r="J308" s="82"/>
      <c r="K308" s="83"/>
      <c r="L308" s="84"/>
      <c r="M308" s="85"/>
      <c r="N308" s="38"/>
      <c r="O308" s="39"/>
      <c r="P308" s="39"/>
      <c r="Q308" s="39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5.75" customHeight="1">
      <c r="A309" s="79"/>
      <c r="B309" s="80"/>
      <c r="C309" s="80"/>
      <c r="D309" s="81"/>
      <c r="E309" s="82"/>
      <c r="F309" s="82"/>
      <c r="G309" s="82"/>
      <c r="H309" s="82"/>
      <c r="I309" s="82"/>
      <c r="J309" s="82"/>
      <c r="K309" s="83"/>
      <c r="L309" s="84"/>
      <c r="M309" s="85"/>
      <c r="N309" s="38"/>
      <c r="O309" s="39"/>
      <c r="P309" s="39"/>
      <c r="Q309" s="39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5.75" customHeight="1">
      <c r="A310" s="79"/>
      <c r="B310" s="80"/>
      <c r="C310" s="80"/>
      <c r="D310" s="81"/>
      <c r="E310" s="82"/>
      <c r="F310" s="82"/>
      <c r="G310" s="82"/>
      <c r="H310" s="82"/>
      <c r="I310" s="82"/>
      <c r="J310" s="82"/>
      <c r="K310" s="83"/>
      <c r="L310" s="84"/>
      <c r="M310" s="85"/>
      <c r="N310" s="38"/>
      <c r="O310" s="39"/>
      <c r="P310" s="39"/>
      <c r="Q310" s="39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5.75" customHeight="1">
      <c r="A311" s="79"/>
      <c r="B311" s="80"/>
      <c r="C311" s="80"/>
      <c r="D311" s="81"/>
      <c r="E311" s="82"/>
      <c r="F311" s="82"/>
      <c r="G311" s="82"/>
      <c r="H311" s="82"/>
      <c r="I311" s="82"/>
      <c r="J311" s="82"/>
      <c r="K311" s="83"/>
      <c r="L311" s="84"/>
      <c r="M311" s="85"/>
      <c r="N311" s="38"/>
      <c r="O311" s="39"/>
      <c r="P311" s="39"/>
      <c r="Q311" s="39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5.75" customHeight="1">
      <c r="A312" s="79"/>
      <c r="B312" s="80"/>
      <c r="C312" s="80"/>
      <c r="D312" s="81"/>
      <c r="E312" s="82"/>
      <c r="F312" s="82"/>
      <c r="G312" s="82"/>
      <c r="H312" s="82"/>
      <c r="I312" s="82"/>
      <c r="J312" s="82"/>
      <c r="K312" s="83"/>
      <c r="L312" s="84"/>
      <c r="M312" s="85"/>
      <c r="N312" s="38"/>
      <c r="O312" s="39"/>
      <c r="P312" s="39"/>
      <c r="Q312" s="39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5.75" customHeight="1">
      <c r="A313" s="79"/>
      <c r="B313" s="80"/>
      <c r="C313" s="80"/>
      <c r="D313" s="81"/>
      <c r="E313" s="82"/>
      <c r="F313" s="82"/>
      <c r="G313" s="82"/>
      <c r="H313" s="82"/>
      <c r="I313" s="82"/>
      <c r="J313" s="82"/>
      <c r="K313" s="83"/>
      <c r="L313" s="84"/>
      <c r="M313" s="85"/>
      <c r="N313" s="38"/>
      <c r="O313" s="39"/>
      <c r="P313" s="39"/>
      <c r="Q313" s="39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5.75" customHeight="1">
      <c r="A314" s="79"/>
      <c r="B314" s="80"/>
      <c r="C314" s="80"/>
      <c r="D314" s="81"/>
      <c r="E314" s="82"/>
      <c r="F314" s="82"/>
      <c r="G314" s="82"/>
      <c r="H314" s="82"/>
      <c r="I314" s="82"/>
      <c r="J314" s="82"/>
      <c r="K314" s="83"/>
      <c r="L314" s="84"/>
      <c r="M314" s="85"/>
      <c r="N314" s="38"/>
      <c r="O314" s="39"/>
      <c r="P314" s="39"/>
      <c r="Q314" s="39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5.75" customHeight="1">
      <c r="A315" s="79"/>
      <c r="B315" s="80"/>
      <c r="C315" s="80"/>
      <c r="D315" s="81"/>
      <c r="E315" s="82"/>
      <c r="F315" s="82"/>
      <c r="G315" s="82"/>
      <c r="H315" s="82"/>
      <c r="I315" s="82"/>
      <c r="J315" s="82"/>
      <c r="K315" s="83"/>
      <c r="L315" s="84"/>
      <c r="M315" s="85"/>
      <c r="N315" s="38"/>
      <c r="O315" s="39"/>
      <c r="P315" s="39"/>
      <c r="Q315" s="39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5.75" customHeight="1">
      <c r="A316" s="79"/>
      <c r="B316" s="80"/>
      <c r="C316" s="80"/>
      <c r="D316" s="81"/>
      <c r="E316" s="82"/>
      <c r="F316" s="82"/>
      <c r="G316" s="82"/>
      <c r="H316" s="82"/>
      <c r="I316" s="82"/>
      <c r="J316" s="82"/>
      <c r="K316" s="83"/>
      <c r="L316" s="84"/>
      <c r="M316" s="85"/>
      <c r="N316" s="38"/>
      <c r="O316" s="39"/>
      <c r="P316" s="39"/>
      <c r="Q316" s="39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5.75" customHeight="1">
      <c r="A317" s="79"/>
      <c r="B317" s="80"/>
      <c r="C317" s="80"/>
      <c r="D317" s="81"/>
      <c r="E317" s="82"/>
      <c r="F317" s="82"/>
      <c r="G317" s="82"/>
      <c r="H317" s="82"/>
      <c r="I317" s="82"/>
      <c r="J317" s="82"/>
      <c r="K317" s="83"/>
      <c r="L317" s="84"/>
      <c r="M317" s="85"/>
      <c r="N317" s="38"/>
      <c r="O317" s="39"/>
      <c r="P317" s="39"/>
      <c r="Q317" s="39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5.75" customHeight="1">
      <c r="A318" s="79"/>
      <c r="B318" s="80"/>
      <c r="C318" s="80"/>
      <c r="D318" s="81"/>
      <c r="E318" s="82"/>
      <c r="F318" s="82"/>
      <c r="G318" s="82"/>
      <c r="H318" s="82"/>
      <c r="I318" s="82"/>
      <c r="J318" s="82"/>
      <c r="K318" s="83"/>
      <c r="L318" s="84"/>
      <c r="M318" s="85"/>
      <c r="N318" s="38"/>
      <c r="O318" s="39"/>
      <c r="P318" s="39"/>
      <c r="Q318" s="39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5.75" customHeight="1">
      <c r="A319" s="79"/>
      <c r="B319" s="80"/>
      <c r="C319" s="80"/>
      <c r="D319" s="81"/>
      <c r="E319" s="82"/>
      <c r="F319" s="82"/>
      <c r="G319" s="82"/>
      <c r="H319" s="82"/>
      <c r="I319" s="82"/>
      <c r="J319" s="82"/>
      <c r="K319" s="83"/>
      <c r="L319" s="84"/>
      <c r="M319" s="85"/>
      <c r="N319" s="38"/>
      <c r="O319" s="39"/>
      <c r="P319" s="39"/>
      <c r="Q319" s="39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5.75" customHeight="1">
      <c r="A320" s="79"/>
      <c r="B320" s="80"/>
      <c r="C320" s="80"/>
      <c r="D320" s="81"/>
      <c r="E320" s="82"/>
      <c r="F320" s="82"/>
      <c r="G320" s="82"/>
      <c r="H320" s="82"/>
      <c r="I320" s="82"/>
      <c r="J320" s="82"/>
      <c r="K320" s="83"/>
      <c r="L320" s="84"/>
      <c r="M320" s="85"/>
      <c r="N320" s="38"/>
      <c r="O320" s="39"/>
      <c r="P320" s="39"/>
      <c r="Q320" s="39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5.75" customHeight="1">
      <c r="A321" s="79"/>
      <c r="B321" s="80"/>
      <c r="C321" s="80"/>
      <c r="D321" s="81"/>
      <c r="E321" s="82"/>
      <c r="F321" s="82"/>
      <c r="G321" s="82"/>
      <c r="H321" s="82"/>
      <c r="I321" s="82"/>
      <c r="J321" s="82"/>
      <c r="K321" s="83"/>
      <c r="L321" s="84"/>
      <c r="M321" s="85"/>
      <c r="N321" s="38"/>
      <c r="O321" s="39"/>
      <c r="P321" s="39"/>
      <c r="Q321" s="39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5.75" customHeight="1">
      <c r="A322" s="79"/>
      <c r="B322" s="80"/>
      <c r="C322" s="80"/>
      <c r="D322" s="81"/>
      <c r="E322" s="82"/>
      <c r="F322" s="82"/>
      <c r="G322" s="82"/>
      <c r="H322" s="82"/>
      <c r="I322" s="82"/>
      <c r="J322" s="82"/>
      <c r="K322" s="83"/>
      <c r="L322" s="84"/>
      <c r="M322" s="85"/>
      <c r="N322" s="38"/>
      <c r="O322" s="39"/>
      <c r="P322" s="39"/>
      <c r="Q322" s="39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5.75" customHeight="1">
      <c r="A323" s="79"/>
      <c r="B323" s="80"/>
      <c r="C323" s="80"/>
      <c r="D323" s="81"/>
      <c r="E323" s="82"/>
      <c r="F323" s="82"/>
      <c r="G323" s="82"/>
      <c r="H323" s="82"/>
      <c r="I323" s="82"/>
      <c r="J323" s="82"/>
      <c r="K323" s="83"/>
      <c r="L323" s="84"/>
      <c r="M323" s="85"/>
      <c r="N323" s="38"/>
      <c r="O323" s="39"/>
      <c r="P323" s="39"/>
      <c r="Q323" s="39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5.75" customHeight="1">
      <c r="A324" s="79"/>
      <c r="B324" s="80"/>
      <c r="C324" s="80"/>
      <c r="D324" s="81"/>
      <c r="E324" s="82"/>
      <c r="F324" s="82"/>
      <c r="G324" s="82"/>
      <c r="H324" s="82"/>
      <c r="I324" s="82"/>
      <c r="J324" s="82"/>
      <c r="K324" s="83"/>
      <c r="L324" s="84"/>
      <c r="M324" s="85"/>
      <c r="N324" s="38"/>
      <c r="O324" s="39"/>
      <c r="P324" s="39"/>
      <c r="Q324" s="39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5.75" customHeight="1">
      <c r="A325" s="79"/>
      <c r="B325" s="80"/>
      <c r="C325" s="80"/>
      <c r="D325" s="81"/>
      <c r="E325" s="82"/>
      <c r="F325" s="82"/>
      <c r="G325" s="82"/>
      <c r="H325" s="82"/>
      <c r="I325" s="82"/>
      <c r="J325" s="82"/>
      <c r="K325" s="83"/>
      <c r="L325" s="84"/>
      <c r="M325" s="85"/>
      <c r="N325" s="38"/>
      <c r="O325" s="39"/>
      <c r="P325" s="39"/>
      <c r="Q325" s="39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5.75" customHeight="1">
      <c r="A326" s="79"/>
      <c r="B326" s="80"/>
      <c r="C326" s="80"/>
      <c r="D326" s="81"/>
      <c r="E326" s="82"/>
      <c r="F326" s="82"/>
      <c r="G326" s="82"/>
      <c r="H326" s="82"/>
      <c r="I326" s="82"/>
      <c r="J326" s="82"/>
      <c r="K326" s="83"/>
      <c r="L326" s="84"/>
      <c r="M326" s="85"/>
      <c r="N326" s="38"/>
      <c r="O326" s="39"/>
      <c r="P326" s="39"/>
      <c r="Q326" s="39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5.75" customHeight="1">
      <c r="A327" s="79"/>
      <c r="B327" s="80"/>
      <c r="C327" s="80"/>
      <c r="D327" s="81"/>
      <c r="E327" s="82"/>
      <c r="F327" s="82"/>
      <c r="G327" s="82"/>
      <c r="H327" s="82"/>
      <c r="I327" s="82"/>
      <c r="J327" s="82"/>
      <c r="K327" s="83"/>
      <c r="L327" s="84"/>
      <c r="M327" s="85"/>
      <c r="N327" s="38"/>
      <c r="O327" s="39"/>
      <c r="P327" s="39"/>
      <c r="Q327" s="39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5.75" customHeight="1">
      <c r="A328" s="79"/>
      <c r="B328" s="80"/>
      <c r="C328" s="80"/>
      <c r="D328" s="81"/>
      <c r="E328" s="82"/>
      <c r="F328" s="82"/>
      <c r="G328" s="82"/>
      <c r="H328" s="82"/>
      <c r="I328" s="82"/>
      <c r="J328" s="82"/>
      <c r="K328" s="83"/>
      <c r="L328" s="84"/>
      <c r="M328" s="85"/>
      <c r="N328" s="38"/>
      <c r="O328" s="39"/>
      <c r="P328" s="39"/>
      <c r="Q328" s="39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5.75" customHeight="1">
      <c r="A329" s="79"/>
      <c r="B329" s="80"/>
      <c r="C329" s="80"/>
      <c r="D329" s="81"/>
      <c r="E329" s="82"/>
      <c r="F329" s="82"/>
      <c r="G329" s="82"/>
      <c r="H329" s="82"/>
      <c r="I329" s="82"/>
      <c r="J329" s="82"/>
      <c r="K329" s="83"/>
      <c r="L329" s="84"/>
      <c r="M329" s="85"/>
      <c r="N329" s="38"/>
      <c r="O329" s="39"/>
      <c r="P329" s="39"/>
      <c r="Q329" s="39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5.75" customHeight="1">
      <c r="A330" s="79"/>
      <c r="B330" s="80"/>
      <c r="C330" s="80"/>
      <c r="D330" s="81"/>
      <c r="E330" s="82"/>
      <c r="F330" s="82"/>
      <c r="G330" s="82"/>
      <c r="H330" s="82"/>
      <c r="I330" s="82"/>
      <c r="J330" s="82"/>
      <c r="K330" s="83"/>
      <c r="L330" s="84"/>
      <c r="M330" s="85"/>
      <c r="N330" s="38"/>
      <c r="O330" s="39"/>
      <c r="P330" s="39"/>
      <c r="Q330" s="39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5.75" customHeight="1">
      <c r="A331" s="79"/>
      <c r="B331" s="80"/>
      <c r="C331" s="80"/>
      <c r="D331" s="81"/>
      <c r="E331" s="82"/>
      <c r="F331" s="82"/>
      <c r="G331" s="82"/>
      <c r="H331" s="82"/>
      <c r="I331" s="82"/>
      <c r="J331" s="82"/>
      <c r="K331" s="83"/>
      <c r="L331" s="84"/>
      <c r="M331" s="85"/>
      <c r="N331" s="38"/>
      <c r="O331" s="39"/>
      <c r="P331" s="39"/>
      <c r="Q331" s="39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5.75" customHeight="1">
      <c r="A332" s="79"/>
      <c r="B332" s="80"/>
      <c r="C332" s="80"/>
      <c r="D332" s="81"/>
      <c r="E332" s="82"/>
      <c r="F332" s="82"/>
      <c r="G332" s="82"/>
      <c r="H332" s="82"/>
      <c r="I332" s="82"/>
      <c r="J332" s="82"/>
      <c r="K332" s="83"/>
      <c r="L332" s="84"/>
      <c r="M332" s="85"/>
      <c r="N332" s="38"/>
      <c r="O332" s="39"/>
      <c r="P332" s="39"/>
      <c r="Q332" s="39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5.75" customHeight="1">
      <c r="A333" s="79"/>
      <c r="B333" s="80"/>
      <c r="C333" s="80"/>
      <c r="D333" s="81"/>
      <c r="E333" s="82"/>
      <c r="F333" s="82"/>
      <c r="G333" s="82"/>
      <c r="H333" s="82"/>
      <c r="I333" s="82"/>
      <c r="J333" s="82"/>
      <c r="K333" s="83"/>
      <c r="L333" s="84"/>
      <c r="M333" s="85"/>
      <c r="N333" s="38"/>
      <c r="O333" s="39"/>
      <c r="P333" s="39"/>
      <c r="Q333" s="39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5.75" customHeight="1">
      <c r="A334" s="79"/>
      <c r="B334" s="80"/>
      <c r="C334" s="80"/>
      <c r="D334" s="81"/>
      <c r="E334" s="82"/>
      <c r="F334" s="82"/>
      <c r="G334" s="82"/>
      <c r="H334" s="82"/>
      <c r="I334" s="82"/>
      <c r="J334" s="82"/>
      <c r="K334" s="83"/>
      <c r="L334" s="84"/>
      <c r="M334" s="85"/>
      <c r="N334" s="38"/>
      <c r="O334" s="39"/>
      <c r="P334" s="39"/>
      <c r="Q334" s="39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5.75" customHeight="1">
      <c r="A335" s="79"/>
      <c r="B335" s="80"/>
      <c r="C335" s="80"/>
      <c r="D335" s="81"/>
      <c r="E335" s="82"/>
      <c r="F335" s="82"/>
      <c r="G335" s="82"/>
      <c r="H335" s="82"/>
      <c r="I335" s="82"/>
      <c r="J335" s="82"/>
      <c r="K335" s="83"/>
      <c r="L335" s="84"/>
      <c r="M335" s="85"/>
      <c r="N335" s="38"/>
      <c r="O335" s="39"/>
      <c r="P335" s="39"/>
      <c r="Q335" s="39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5.75" customHeight="1">
      <c r="A336" s="79"/>
      <c r="B336" s="80"/>
      <c r="C336" s="80"/>
      <c r="D336" s="81"/>
      <c r="E336" s="82"/>
      <c r="F336" s="82"/>
      <c r="G336" s="82"/>
      <c r="H336" s="82"/>
      <c r="I336" s="82"/>
      <c r="J336" s="82"/>
      <c r="K336" s="83"/>
      <c r="L336" s="84"/>
      <c r="M336" s="85"/>
      <c r="N336" s="38"/>
      <c r="O336" s="39"/>
      <c r="P336" s="39"/>
      <c r="Q336" s="39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5.75" customHeight="1">
      <c r="A337" s="79"/>
      <c r="B337" s="80"/>
      <c r="C337" s="80"/>
      <c r="D337" s="81"/>
      <c r="E337" s="82"/>
      <c r="F337" s="82"/>
      <c r="G337" s="82"/>
      <c r="H337" s="82"/>
      <c r="I337" s="82"/>
      <c r="J337" s="82"/>
      <c r="K337" s="83"/>
      <c r="L337" s="84"/>
      <c r="M337" s="85"/>
      <c r="N337" s="38"/>
      <c r="O337" s="39"/>
      <c r="P337" s="39"/>
      <c r="Q337" s="39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5.75" customHeight="1">
      <c r="A338" s="79"/>
      <c r="B338" s="80"/>
      <c r="C338" s="80"/>
      <c r="D338" s="81"/>
      <c r="E338" s="82"/>
      <c r="F338" s="82"/>
      <c r="G338" s="82"/>
      <c r="H338" s="82"/>
      <c r="I338" s="82"/>
      <c r="J338" s="82"/>
      <c r="K338" s="83"/>
      <c r="L338" s="84"/>
      <c r="M338" s="85"/>
      <c r="N338" s="38"/>
      <c r="O338" s="39"/>
      <c r="P338" s="39"/>
      <c r="Q338" s="39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5.75" customHeight="1">
      <c r="A339" s="79"/>
      <c r="B339" s="80"/>
      <c r="C339" s="80"/>
      <c r="D339" s="81"/>
      <c r="E339" s="82"/>
      <c r="F339" s="82"/>
      <c r="G339" s="82"/>
      <c r="H339" s="82"/>
      <c r="I339" s="82"/>
      <c r="J339" s="82"/>
      <c r="K339" s="83"/>
      <c r="L339" s="84"/>
      <c r="M339" s="85"/>
      <c r="N339" s="38"/>
      <c r="O339" s="39"/>
      <c r="P339" s="39"/>
      <c r="Q339" s="39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5.75" customHeight="1">
      <c r="A340" s="79"/>
      <c r="B340" s="80"/>
      <c r="C340" s="80"/>
      <c r="D340" s="81"/>
      <c r="E340" s="82"/>
      <c r="F340" s="82"/>
      <c r="G340" s="82"/>
      <c r="H340" s="82"/>
      <c r="I340" s="82"/>
      <c r="J340" s="82"/>
      <c r="K340" s="83"/>
      <c r="L340" s="84"/>
      <c r="M340" s="85"/>
      <c r="N340" s="38"/>
      <c r="O340" s="39"/>
      <c r="P340" s="39"/>
      <c r="Q340" s="39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5.75" customHeight="1">
      <c r="A341" s="79"/>
      <c r="B341" s="80"/>
      <c r="C341" s="80"/>
      <c r="D341" s="81"/>
      <c r="E341" s="82"/>
      <c r="F341" s="82"/>
      <c r="G341" s="82"/>
      <c r="H341" s="82"/>
      <c r="I341" s="82"/>
      <c r="J341" s="82"/>
      <c r="K341" s="83"/>
      <c r="L341" s="84"/>
      <c r="M341" s="85"/>
      <c r="N341" s="38"/>
      <c r="O341" s="39"/>
      <c r="P341" s="39"/>
      <c r="Q341" s="39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5.75" customHeight="1">
      <c r="A342" s="79"/>
      <c r="B342" s="80"/>
      <c r="C342" s="80"/>
      <c r="D342" s="81"/>
      <c r="E342" s="82"/>
      <c r="F342" s="82"/>
      <c r="G342" s="82"/>
      <c r="H342" s="82"/>
      <c r="I342" s="82"/>
      <c r="J342" s="82"/>
      <c r="K342" s="83"/>
      <c r="L342" s="84"/>
      <c r="M342" s="85"/>
      <c r="N342" s="38"/>
      <c r="O342" s="39"/>
      <c r="P342" s="39"/>
      <c r="Q342" s="39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5.75" customHeight="1">
      <c r="A343" s="79"/>
      <c r="B343" s="80"/>
      <c r="C343" s="80"/>
      <c r="D343" s="81"/>
      <c r="E343" s="82"/>
      <c r="F343" s="82"/>
      <c r="G343" s="82"/>
      <c r="H343" s="82"/>
      <c r="I343" s="82"/>
      <c r="J343" s="82"/>
      <c r="K343" s="83"/>
      <c r="L343" s="84"/>
      <c r="M343" s="85"/>
      <c r="N343" s="38"/>
      <c r="O343" s="39"/>
      <c r="P343" s="39"/>
      <c r="Q343" s="39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5.75" customHeight="1">
      <c r="A344" s="79"/>
      <c r="B344" s="80"/>
      <c r="C344" s="80"/>
      <c r="D344" s="81"/>
      <c r="E344" s="82"/>
      <c r="F344" s="82"/>
      <c r="G344" s="82"/>
      <c r="H344" s="82"/>
      <c r="I344" s="82"/>
      <c r="J344" s="82"/>
      <c r="K344" s="83"/>
      <c r="L344" s="84"/>
      <c r="M344" s="85"/>
      <c r="N344" s="38"/>
      <c r="O344" s="39"/>
      <c r="P344" s="39"/>
      <c r="Q344" s="39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5.75" customHeight="1">
      <c r="A345" s="79"/>
      <c r="B345" s="80"/>
      <c r="C345" s="80"/>
      <c r="D345" s="81"/>
      <c r="E345" s="82"/>
      <c r="F345" s="82"/>
      <c r="G345" s="82"/>
      <c r="H345" s="82"/>
      <c r="I345" s="82"/>
      <c r="J345" s="82"/>
      <c r="K345" s="83"/>
      <c r="L345" s="84"/>
      <c r="M345" s="85"/>
      <c r="N345" s="38"/>
      <c r="O345" s="39"/>
      <c r="P345" s="39"/>
      <c r="Q345" s="39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5.75" customHeight="1">
      <c r="A346" s="79"/>
      <c r="B346" s="80"/>
      <c r="C346" s="80"/>
      <c r="D346" s="81"/>
      <c r="E346" s="82"/>
      <c r="F346" s="82"/>
      <c r="G346" s="82"/>
      <c r="H346" s="82"/>
      <c r="I346" s="82"/>
      <c r="J346" s="82"/>
      <c r="K346" s="83"/>
      <c r="L346" s="84"/>
      <c r="M346" s="85"/>
      <c r="N346" s="38"/>
      <c r="O346" s="39"/>
      <c r="P346" s="39"/>
      <c r="Q346" s="39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5.75" customHeight="1">
      <c r="A347" s="79"/>
      <c r="B347" s="80"/>
      <c r="C347" s="80"/>
      <c r="D347" s="81"/>
      <c r="E347" s="82"/>
      <c r="F347" s="82"/>
      <c r="G347" s="82"/>
      <c r="H347" s="82"/>
      <c r="I347" s="82"/>
      <c r="J347" s="82"/>
      <c r="K347" s="83"/>
      <c r="L347" s="84"/>
      <c r="M347" s="85"/>
      <c r="N347" s="38"/>
      <c r="O347" s="39"/>
      <c r="P347" s="39"/>
      <c r="Q347" s="39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5.75" customHeight="1">
      <c r="A348" s="79"/>
      <c r="B348" s="80"/>
      <c r="C348" s="80"/>
      <c r="D348" s="81"/>
      <c r="E348" s="82"/>
      <c r="F348" s="82"/>
      <c r="G348" s="82"/>
      <c r="H348" s="82"/>
      <c r="I348" s="82"/>
      <c r="J348" s="82"/>
      <c r="K348" s="83"/>
      <c r="L348" s="84"/>
      <c r="M348" s="85"/>
      <c r="N348" s="38"/>
      <c r="O348" s="39"/>
      <c r="P348" s="39"/>
      <c r="Q348" s="39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5.75" customHeight="1">
      <c r="A349" s="79"/>
      <c r="B349" s="80"/>
      <c r="C349" s="80"/>
      <c r="D349" s="81"/>
      <c r="E349" s="82"/>
      <c r="F349" s="82"/>
      <c r="G349" s="82"/>
      <c r="H349" s="82"/>
      <c r="I349" s="82"/>
      <c r="J349" s="82"/>
      <c r="K349" s="83"/>
      <c r="L349" s="84"/>
      <c r="M349" s="85"/>
      <c r="N349" s="38"/>
      <c r="O349" s="39"/>
      <c r="P349" s="39"/>
      <c r="Q349" s="39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5.75" customHeight="1">
      <c r="A350" s="79"/>
      <c r="B350" s="80"/>
      <c r="C350" s="80"/>
      <c r="D350" s="81"/>
      <c r="E350" s="82"/>
      <c r="F350" s="82"/>
      <c r="G350" s="82"/>
      <c r="H350" s="82"/>
      <c r="I350" s="82"/>
      <c r="J350" s="82"/>
      <c r="K350" s="83"/>
      <c r="L350" s="84"/>
      <c r="M350" s="85"/>
      <c r="N350" s="38"/>
      <c r="O350" s="39"/>
      <c r="P350" s="39"/>
      <c r="Q350" s="39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5.75" customHeight="1">
      <c r="A351" s="79"/>
      <c r="B351" s="80"/>
      <c r="C351" s="80"/>
      <c r="D351" s="81"/>
      <c r="E351" s="82"/>
      <c r="F351" s="82"/>
      <c r="G351" s="82"/>
      <c r="H351" s="82"/>
      <c r="I351" s="82"/>
      <c r="J351" s="82"/>
      <c r="K351" s="83"/>
      <c r="L351" s="84"/>
      <c r="M351" s="85"/>
      <c r="N351" s="38"/>
      <c r="O351" s="39"/>
      <c r="P351" s="39"/>
      <c r="Q351" s="39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5.75" customHeight="1">
      <c r="A352" s="79"/>
      <c r="B352" s="80"/>
      <c r="C352" s="80"/>
      <c r="D352" s="81"/>
      <c r="E352" s="82"/>
      <c r="F352" s="82"/>
      <c r="G352" s="82"/>
      <c r="H352" s="82"/>
      <c r="I352" s="82"/>
      <c r="J352" s="82"/>
      <c r="K352" s="83"/>
      <c r="L352" s="84"/>
      <c r="M352" s="85"/>
      <c r="N352" s="38"/>
      <c r="O352" s="39"/>
      <c r="P352" s="39"/>
      <c r="Q352" s="39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5.75" customHeight="1">
      <c r="A353" s="79"/>
      <c r="B353" s="80"/>
      <c r="C353" s="80"/>
      <c r="D353" s="81"/>
      <c r="E353" s="82"/>
      <c r="F353" s="82"/>
      <c r="G353" s="82"/>
      <c r="H353" s="82"/>
      <c r="I353" s="82"/>
      <c r="J353" s="82"/>
      <c r="K353" s="83"/>
      <c r="L353" s="84"/>
      <c r="M353" s="85"/>
      <c r="N353" s="38"/>
      <c r="O353" s="39"/>
      <c r="P353" s="39"/>
      <c r="Q353" s="39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5.75" customHeight="1">
      <c r="A354" s="79"/>
      <c r="B354" s="80"/>
      <c r="C354" s="80"/>
      <c r="D354" s="81"/>
      <c r="E354" s="82"/>
      <c r="F354" s="82"/>
      <c r="G354" s="82"/>
      <c r="H354" s="82"/>
      <c r="I354" s="82"/>
      <c r="J354" s="82"/>
      <c r="K354" s="83"/>
      <c r="L354" s="84"/>
      <c r="M354" s="85"/>
      <c r="N354" s="38"/>
      <c r="O354" s="39"/>
      <c r="P354" s="39"/>
      <c r="Q354" s="39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5.75" customHeight="1">
      <c r="A355" s="79"/>
      <c r="B355" s="80"/>
      <c r="C355" s="80"/>
      <c r="D355" s="81"/>
      <c r="E355" s="82"/>
      <c r="F355" s="82"/>
      <c r="G355" s="82"/>
      <c r="H355" s="82"/>
      <c r="I355" s="82"/>
      <c r="J355" s="82"/>
      <c r="K355" s="83"/>
      <c r="L355" s="84"/>
      <c r="M355" s="85"/>
      <c r="N355" s="38"/>
      <c r="O355" s="39"/>
      <c r="P355" s="39"/>
      <c r="Q355" s="39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5.75" customHeight="1">
      <c r="A356" s="79"/>
      <c r="B356" s="80"/>
      <c r="C356" s="80"/>
      <c r="D356" s="81"/>
      <c r="E356" s="82"/>
      <c r="F356" s="82"/>
      <c r="G356" s="82"/>
      <c r="H356" s="82"/>
      <c r="I356" s="82"/>
      <c r="J356" s="82"/>
      <c r="K356" s="83"/>
      <c r="L356" s="84"/>
      <c r="M356" s="85"/>
      <c r="N356" s="38"/>
      <c r="O356" s="39"/>
      <c r="P356" s="39"/>
      <c r="Q356" s="39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5.75" customHeight="1">
      <c r="A357" s="79"/>
      <c r="B357" s="80"/>
      <c r="C357" s="80"/>
      <c r="D357" s="81"/>
      <c r="E357" s="82"/>
      <c r="F357" s="82"/>
      <c r="G357" s="82"/>
      <c r="H357" s="82"/>
      <c r="I357" s="82"/>
      <c r="J357" s="82"/>
      <c r="K357" s="83"/>
      <c r="L357" s="84"/>
      <c r="M357" s="85"/>
      <c r="N357" s="38"/>
      <c r="O357" s="39"/>
      <c r="P357" s="39"/>
      <c r="Q357" s="39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5.75" customHeight="1">
      <c r="A358" s="79"/>
      <c r="B358" s="80"/>
      <c r="C358" s="80"/>
      <c r="D358" s="81"/>
      <c r="E358" s="82"/>
      <c r="F358" s="82"/>
      <c r="G358" s="82"/>
      <c r="H358" s="82"/>
      <c r="I358" s="82"/>
      <c r="J358" s="82"/>
      <c r="K358" s="83"/>
      <c r="L358" s="84"/>
      <c r="M358" s="85"/>
      <c r="N358" s="38"/>
      <c r="O358" s="39"/>
      <c r="P358" s="39"/>
      <c r="Q358" s="39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5.75" customHeight="1">
      <c r="A359" s="79"/>
      <c r="B359" s="80"/>
      <c r="C359" s="80"/>
      <c r="D359" s="81"/>
      <c r="E359" s="82"/>
      <c r="F359" s="82"/>
      <c r="G359" s="82"/>
      <c r="H359" s="82"/>
      <c r="I359" s="82"/>
      <c r="J359" s="82"/>
      <c r="K359" s="83"/>
      <c r="L359" s="84"/>
      <c r="M359" s="85"/>
      <c r="N359" s="38"/>
      <c r="O359" s="39"/>
      <c r="P359" s="39"/>
      <c r="Q359" s="39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5.75" customHeight="1">
      <c r="A360" s="79"/>
      <c r="B360" s="80"/>
      <c r="C360" s="80"/>
      <c r="D360" s="81"/>
      <c r="E360" s="82"/>
      <c r="F360" s="82"/>
      <c r="G360" s="82"/>
      <c r="H360" s="82"/>
      <c r="I360" s="82"/>
      <c r="J360" s="82"/>
      <c r="K360" s="83"/>
      <c r="L360" s="84"/>
      <c r="M360" s="85"/>
      <c r="N360" s="38"/>
      <c r="O360" s="39"/>
      <c r="P360" s="39"/>
      <c r="Q360" s="39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5.75" customHeight="1">
      <c r="A361" s="79"/>
      <c r="B361" s="80"/>
      <c r="C361" s="80"/>
      <c r="D361" s="81"/>
      <c r="E361" s="82"/>
      <c r="F361" s="82"/>
      <c r="G361" s="82"/>
      <c r="H361" s="82"/>
      <c r="I361" s="82"/>
      <c r="J361" s="82"/>
      <c r="K361" s="83"/>
      <c r="L361" s="84"/>
      <c r="M361" s="85"/>
      <c r="N361" s="38"/>
      <c r="O361" s="39"/>
      <c r="P361" s="39"/>
      <c r="Q361" s="39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5.75" customHeight="1">
      <c r="A362" s="79"/>
      <c r="B362" s="80"/>
      <c r="C362" s="80"/>
      <c r="D362" s="81"/>
      <c r="E362" s="82"/>
      <c r="F362" s="82"/>
      <c r="G362" s="82"/>
      <c r="H362" s="82"/>
      <c r="I362" s="82"/>
      <c r="J362" s="82"/>
      <c r="K362" s="83"/>
      <c r="L362" s="84"/>
      <c r="M362" s="85"/>
      <c r="N362" s="38"/>
      <c r="O362" s="39"/>
      <c r="P362" s="39"/>
      <c r="Q362" s="39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5.75" customHeight="1">
      <c r="A363" s="79"/>
      <c r="B363" s="80"/>
      <c r="C363" s="80"/>
      <c r="D363" s="81"/>
      <c r="E363" s="82"/>
      <c r="F363" s="82"/>
      <c r="G363" s="82"/>
      <c r="H363" s="82"/>
      <c r="I363" s="82"/>
      <c r="J363" s="82"/>
      <c r="K363" s="83"/>
      <c r="L363" s="84"/>
      <c r="M363" s="85"/>
      <c r="N363" s="38"/>
      <c r="O363" s="39"/>
      <c r="P363" s="39"/>
      <c r="Q363" s="39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5.75" customHeight="1">
      <c r="A364" s="79"/>
      <c r="B364" s="80"/>
      <c r="C364" s="80"/>
      <c r="D364" s="81"/>
      <c r="E364" s="82"/>
      <c r="F364" s="82"/>
      <c r="G364" s="82"/>
      <c r="H364" s="82"/>
      <c r="I364" s="82"/>
      <c r="J364" s="82"/>
      <c r="K364" s="83"/>
      <c r="L364" s="84"/>
      <c r="M364" s="85"/>
      <c r="N364" s="38"/>
      <c r="O364" s="39"/>
      <c r="P364" s="39"/>
      <c r="Q364" s="39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5.75" customHeight="1">
      <c r="A365" s="79"/>
      <c r="B365" s="80"/>
      <c r="C365" s="80"/>
      <c r="D365" s="81"/>
      <c r="E365" s="82"/>
      <c r="F365" s="82"/>
      <c r="G365" s="82"/>
      <c r="H365" s="82"/>
      <c r="I365" s="82"/>
      <c r="J365" s="82"/>
      <c r="K365" s="83"/>
      <c r="L365" s="84"/>
      <c r="M365" s="85"/>
      <c r="N365" s="38"/>
      <c r="O365" s="39"/>
      <c r="P365" s="39"/>
      <c r="Q365" s="39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5.75" customHeight="1">
      <c r="A366" s="79"/>
      <c r="B366" s="80"/>
      <c r="C366" s="80"/>
      <c r="D366" s="81"/>
      <c r="E366" s="82"/>
      <c r="F366" s="82"/>
      <c r="G366" s="82"/>
      <c r="H366" s="82"/>
      <c r="I366" s="82"/>
      <c r="J366" s="82"/>
      <c r="K366" s="83"/>
      <c r="L366" s="84"/>
      <c r="M366" s="85"/>
      <c r="N366" s="38"/>
      <c r="O366" s="39"/>
      <c r="P366" s="39"/>
      <c r="Q366" s="39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5.75" customHeight="1">
      <c r="A367" s="79"/>
      <c r="B367" s="80"/>
      <c r="C367" s="80"/>
      <c r="D367" s="81"/>
      <c r="E367" s="82"/>
      <c r="F367" s="82"/>
      <c r="G367" s="82"/>
      <c r="H367" s="82"/>
      <c r="I367" s="82"/>
      <c r="J367" s="82"/>
      <c r="K367" s="83"/>
      <c r="L367" s="84"/>
      <c r="M367" s="85"/>
      <c r="N367" s="38"/>
      <c r="O367" s="39"/>
      <c r="P367" s="39"/>
      <c r="Q367" s="39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5.75" customHeight="1">
      <c r="A368" s="79"/>
      <c r="B368" s="80"/>
      <c r="C368" s="80"/>
      <c r="D368" s="81"/>
      <c r="E368" s="82"/>
      <c r="F368" s="82"/>
      <c r="G368" s="82"/>
      <c r="H368" s="82"/>
      <c r="I368" s="82"/>
      <c r="J368" s="82"/>
      <c r="K368" s="83"/>
      <c r="L368" s="84"/>
      <c r="M368" s="85"/>
      <c r="N368" s="38"/>
      <c r="O368" s="39"/>
      <c r="P368" s="39"/>
      <c r="Q368" s="39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5.75" customHeight="1">
      <c r="A369" s="79"/>
      <c r="B369" s="80"/>
      <c r="C369" s="80"/>
      <c r="D369" s="81"/>
      <c r="E369" s="82"/>
      <c r="F369" s="82"/>
      <c r="G369" s="82"/>
      <c r="H369" s="82"/>
      <c r="I369" s="82"/>
      <c r="J369" s="82"/>
      <c r="K369" s="83"/>
      <c r="L369" s="84"/>
      <c r="M369" s="85"/>
      <c r="N369" s="38"/>
      <c r="O369" s="39"/>
      <c r="P369" s="39"/>
      <c r="Q369" s="39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5.75" customHeight="1">
      <c r="A370" s="79"/>
      <c r="B370" s="80"/>
      <c r="C370" s="80"/>
      <c r="D370" s="81"/>
      <c r="E370" s="82"/>
      <c r="F370" s="82"/>
      <c r="G370" s="82"/>
      <c r="H370" s="82"/>
      <c r="I370" s="82"/>
      <c r="J370" s="82"/>
      <c r="K370" s="83"/>
      <c r="L370" s="84"/>
      <c r="M370" s="85"/>
      <c r="N370" s="38"/>
      <c r="O370" s="39"/>
      <c r="P370" s="39"/>
      <c r="Q370" s="39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5.75" customHeight="1">
      <c r="A371" s="79"/>
      <c r="B371" s="80"/>
      <c r="C371" s="80"/>
      <c r="D371" s="81"/>
      <c r="E371" s="82"/>
      <c r="F371" s="82"/>
      <c r="G371" s="82"/>
      <c r="H371" s="82"/>
      <c r="I371" s="82"/>
      <c r="J371" s="82"/>
      <c r="K371" s="83"/>
      <c r="L371" s="84"/>
      <c r="M371" s="85"/>
      <c r="N371" s="38"/>
      <c r="O371" s="39"/>
      <c r="P371" s="39"/>
      <c r="Q371" s="39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5.75" customHeight="1">
      <c r="A372" s="79"/>
      <c r="B372" s="80"/>
      <c r="C372" s="80"/>
      <c r="D372" s="81"/>
      <c r="E372" s="82"/>
      <c r="F372" s="82"/>
      <c r="G372" s="82"/>
      <c r="H372" s="82"/>
      <c r="I372" s="82"/>
      <c r="J372" s="82"/>
      <c r="K372" s="83"/>
      <c r="L372" s="84"/>
      <c r="M372" s="85"/>
      <c r="N372" s="38"/>
      <c r="O372" s="39"/>
      <c r="P372" s="39"/>
      <c r="Q372" s="39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5.75" customHeight="1">
      <c r="A373" s="79"/>
      <c r="B373" s="80"/>
      <c r="C373" s="80"/>
      <c r="D373" s="81"/>
      <c r="E373" s="82"/>
      <c r="F373" s="82"/>
      <c r="G373" s="82"/>
      <c r="H373" s="82"/>
      <c r="I373" s="82"/>
      <c r="J373" s="82"/>
      <c r="K373" s="83"/>
      <c r="L373" s="84"/>
      <c r="M373" s="85"/>
      <c r="N373" s="38"/>
      <c r="O373" s="39"/>
      <c r="P373" s="39"/>
      <c r="Q373" s="39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5.75" customHeight="1">
      <c r="A374" s="79"/>
      <c r="B374" s="80"/>
      <c r="C374" s="80"/>
      <c r="D374" s="81"/>
      <c r="E374" s="82"/>
      <c r="F374" s="82"/>
      <c r="G374" s="82"/>
      <c r="H374" s="82"/>
      <c r="I374" s="82"/>
      <c r="J374" s="82"/>
      <c r="K374" s="83"/>
      <c r="L374" s="84"/>
      <c r="M374" s="85"/>
      <c r="N374" s="38"/>
      <c r="O374" s="39"/>
      <c r="P374" s="39"/>
      <c r="Q374" s="39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5.75" customHeight="1">
      <c r="A375" s="79"/>
      <c r="B375" s="80"/>
      <c r="C375" s="80"/>
      <c r="D375" s="81"/>
      <c r="E375" s="82"/>
      <c r="F375" s="82"/>
      <c r="G375" s="82"/>
      <c r="H375" s="82"/>
      <c r="I375" s="82"/>
      <c r="J375" s="82"/>
      <c r="K375" s="83"/>
      <c r="L375" s="84"/>
      <c r="M375" s="85"/>
      <c r="N375" s="38"/>
      <c r="O375" s="39"/>
      <c r="P375" s="39"/>
      <c r="Q375" s="39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5.75" customHeight="1">
      <c r="A376" s="79"/>
      <c r="B376" s="80"/>
      <c r="C376" s="80"/>
      <c r="D376" s="81"/>
      <c r="E376" s="82"/>
      <c r="F376" s="82"/>
      <c r="G376" s="82"/>
      <c r="H376" s="82"/>
      <c r="I376" s="82"/>
      <c r="J376" s="82"/>
      <c r="K376" s="83"/>
      <c r="L376" s="84"/>
      <c r="M376" s="85"/>
      <c r="N376" s="38"/>
      <c r="O376" s="39"/>
      <c r="P376" s="39"/>
      <c r="Q376" s="39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5.75" customHeight="1">
      <c r="A377" s="79"/>
      <c r="B377" s="80"/>
      <c r="C377" s="80"/>
      <c r="D377" s="81"/>
      <c r="E377" s="82"/>
      <c r="F377" s="82"/>
      <c r="G377" s="82"/>
      <c r="H377" s="82"/>
      <c r="I377" s="82"/>
      <c r="J377" s="82"/>
      <c r="K377" s="83"/>
      <c r="L377" s="84"/>
      <c r="M377" s="85"/>
      <c r="N377" s="38"/>
      <c r="O377" s="39"/>
      <c r="P377" s="39"/>
      <c r="Q377" s="39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5.75" customHeight="1">
      <c r="A378" s="79"/>
      <c r="B378" s="80"/>
      <c r="C378" s="80"/>
      <c r="D378" s="81"/>
      <c r="E378" s="82"/>
      <c r="F378" s="82"/>
      <c r="G378" s="82"/>
      <c r="H378" s="82"/>
      <c r="I378" s="82"/>
      <c r="J378" s="82"/>
      <c r="K378" s="83"/>
      <c r="L378" s="84"/>
      <c r="M378" s="85"/>
      <c r="N378" s="38"/>
      <c r="O378" s="39"/>
      <c r="P378" s="39"/>
      <c r="Q378" s="39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5.75" customHeight="1">
      <c r="A379" s="79"/>
      <c r="B379" s="80"/>
      <c r="C379" s="80"/>
      <c r="D379" s="81"/>
      <c r="E379" s="82"/>
      <c r="F379" s="82"/>
      <c r="G379" s="82"/>
      <c r="H379" s="82"/>
      <c r="I379" s="82"/>
      <c r="J379" s="82"/>
      <c r="K379" s="83"/>
      <c r="L379" s="84"/>
      <c r="M379" s="85"/>
      <c r="N379" s="38"/>
      <c r="O379" s="39"/>
      <c r="P379" s="39"/>
      <c r="Q379" s="39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5.75" customHeight="1">
      <c r="A380" s="79"/>
      <c r="B380" s="80"/>
      <c r="C380" s="80"/>
      <c r="D380" s="81"/>
      <c r="E380" s="82"/>
      <c r="F380" s="82"/>
      <c r="G380" s="82"/>
      <c r="H380" s="82"/>
      <c r="I380" s="82"/>
      <c r="J380" s="82"/>
      <c r="K380" s="83"/>
      <c r="L380" s="84"/>
      <c r="M380" s="85"/>
      <c r="N380" s="38"/>
      <c r="O380" s="39"/>
      <c r="P380" s="39"/>
      <c r="Q380" s="39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5.75" customHeight="1">
      <c r="A381" s="79"/>
      <c r="B381" s="80"/>
      <c r="C381" s="80"/>
      <c r="D381" s="81"/>
      <c r="E381" s="82"/>
      <c r="F381" s="82"/>
      <c r="G381" s="82"/>
      <c r="H381" s="82"/>
      <c r="I381" s="82"/>
      <c r="J381" s="82"/>
      <c r="K381" s="83"/>
      <c r="L381" s="84"/>
      <c r="M381" s="85"/>
      <c r="N381" s="38"/>
      <c r="O381" s="39"/>
      <c r="P381" s="39"/>
      <c r="Q381" s="39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5.75" customHeight="1">
      <c r="A382" s="79"/>
      <c r="B382" s="80"/>
      <c r="C382" s="80"/>
      <c r="D382" s="81"/>
      <c r="E382" s="82"/>
      <c r="F382" s="82"/>
      <c r="G382" s="82"/>
      <c r="H382" s="82"/>
      <c r="I382" s="82"/>
      <c r="J382" s="82"/>
      <c r="K382" s="83"/>
      <c r="L382" s="84"/>
      <c r="M382" s="85"/>
      <c r="N382" s="38"/>
      <c r="O382" s="39"/>
      <c r="P382" s="39"/>
      <c r="Q382" s="39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5.75" customHeight="1">
      <c r="A383" s="79"/>
      <c r="B383" s="80"/>
      <c r="C383" s="80"/>
      <c r="D383" s="81"/>
      <c r="E383" s="82"/>
      <c r="F383" s="82"/>
      <c r="G383" s="82"/>
      <c r="H383" s="82"/>
      <c r="I383" s="82"/>
      <c r="J383" s="82"/>
      <c r="K383" s="83"/>
      <c r="L383" s="84"/>
      <c r="M383" s="85"/>
      <c r="N383" s="38"/>
      <c r="O383" s="39"/>
      <c r="P383" s="39"/>
      <c r="Q383" s="39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5.75" customHeight="1">
      <c r="A384" s="79"/>
      <c r="B384" s="80"/>
      <c r="C384" s="80"/>
      <c r="D384" s="81"/>
      <c r="E384" s="82"/>
      <c r="F384" s="82"/>
      <c r="G384" s="82"/>
      <c r="H384" s="82"/>
      <c r="I384" s="82"/>
      <c r="J384" s="82"/>
      <c r="K384" s="83"/>
      <c r="L384" s="84"/>
      <c r="M384" s="85"/>
      <c r="N384" s="38"/>
      <c r="O384" s="39"/>
      <c r="P384" s="39"/>
      <c r="Q384" s="39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5.75" customHeight="1">
      <c r="A385" s="79"/>
      <c r="B385" s="80"/>
      <c r="C385" s="80"/>
      <c r="D385" s="81"/>
      <c r="E385" s="82"/>
      <c r="F385" s="82"/>
      <c r="G385" s="82"/>
      <c r="H385" s="82"/>
      <c r="I385" s="82"/>
      <c r="J385" s="82"/>
      <c r="K385" s="83"/>
      <c r="L385" s="84"/>
      <c r="M385" s="85"/>
      <c r="N385" s="38"/>
      <c r="O385" s="39"/>
      <c r="P385" s="39"/>
      <c r="Q385" s="39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5.75" customHeight="1">
      <c r="A386" s="79"/>
      <c r="B386" s="80"/>
      <c r="C386" s="80"/>
      <c r="D386" s="81"/>
      <c r="E386" s="82"/>
      <c r="F386" s="82"/>
      <c r="G386" s="82"/>
      <c r="H386" s="82"/>
      <c r="I386" s="82"/>
      <c r="J386" s="82"/>
      <c r="K386" s="83"/>
      <c r="L386" s="84"/>
      <c r="M386" s="85"/>
      <c r="N386" s="38"/>
      <c r="O386" s="39"/>
      <c r="P386" s="39"/>
      <c r="Q386" s="39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5.75" customHeight="1">
      <c r="A387" s="79"/>
      <c r="B387" s="80"/>
      <c r="C387" s="80"/>
      <c r="D387" s="81"/>
      <c r="E387" s="82"/>
      <c r="F387" s="82"/>
      <c r="G387" s="82"/>
      <c r="H387" s="82"/>
      <c r="I387" s="82"/>
      <c r="J387" s="82"/>
      <c r="K387" s="83"/>
      <c r="L387" s="84"/>
      <c r="M387" s="85"/>
      <c r="N387" s="38"/>
      <c r="O387" s="39"/>
      <c r="P387" s="39"/>
      <c r="Q387" s="39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5.75" customHeight="1">
      <c r="A388" s="79"/>
      <c r="B388" s="80"/>
      <c r="C388" s="80"/>
      <c r="D388" s="81"/>
      <c r="E388" s="82"/>
      <c r="F388" s="82"/>
      <c r="G388" s="82"/>
      <c r="H388" s="82"/>
      <c r="I388" s="82"/>
      <c r="J388" s="82"/>
      <c r="K388" s="83"/>
      <c r="L388" s="84"/>
      <c r="M388" s="85"/>
      <c r="N388" s="38"/>
      <c r="O388" s="39"/>
      <c r="P388" s="39"/>
      <c r="Q388" s="39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5.75" customHeight="1">
      <c r="A389" s="79"/>
      <c r="B389" s="80"/>
      <c r="C389" s="80"/>
      <c r="D389" s="81"/>
      <c r="E389" s="82"/>
      <c r="F389" s="82"/>
      <c r="G389" s="82"/>
      <c r="H389" s="82"/>
      <c r="I389" s="82"/>
      <c r="J389" s="82"/>
      <c r="K389" s="83"/>
      <c r="L389" s="84"/>
      <c r="M389" s="85"/>
      <c r="N389" s="38"/>
      <c r="O389" s="39"/>
      <c r="P389" s="39"/>
      <c r="Q389" s="39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5.75" customHeight="1">
      <c r="A390" s="79"/>
      <c r="B390" s="80"/>
      <c r="C390" s="80"/>
      <c r="D390" s="81"/>
      <c r="E390" s="82"/>
      <c r="F390" s="82"/>
      <c r="G390" s="82"/>
      <c r="H390" s="82"/>
      <c r="I390" s="82"/>
      <c r="J390" s="82"/>
      <c r="K390" s="83"/>
      <c r="L390" s="84"/>
      <c r="M390" s="85"/>
      <c r="N390" s="38"/>
      <c r="O390" s="39"/>
      <c r="P390" s="39"/>
      <c r="Q390" s="39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5.75" customHeight="1">
      <c r="A391" s="79"/>
      <c r="B391" s="80"/>
      <c r="C391" s="80"/>
      <c r="D391" s="81"/>
      <c r="E391" s="82"/>
      <c r="F391" s="82"/>
      <c r="G391" s="82"/>
      <c r="H391" s="82"/>
      <c r="I391" s="82"/>
      <c r="J391" s="82"/>
      <c r="K391" s="83"/>
      <c r="L391" s="84"/>
      <c r="M391" s="85"/>
      <c r="N391" s="38"/>
      <c r="O391" s="39"/>
      <c r="P391" s="39"/>
      <c r="Q391" s="39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5.75" customHeight="1">
      <c r="A392" s="79"/>
      <c r="B392" s="80"/>
      <c r="C392" s="80"/>
      <c r="D392" s="81"/>
      <c r="E392" s="82"/>
      <c r="F392" s="82"/>
      <c r="G392" s="82"/>
      <c r="H392" s="82"/>
      <c r="I392" s="82"/>
      <c r="J392" s="82"/>
      <c r="K392" s="83"/>
      <c r="L392" s="84"/>
      <c r="M392" s="85"/>
      <c r="N392" s="38"/>
      <c r="O392" s="39"/>
      <c r="P392" s="39"/>
      <c r="Q392" s="39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5.75" customHeight="1">
      <c r="A393" s="79"/>
      <c r="B393" s="80"/>
      <c r="C393" s="80"/>
      <c r="D393" s="81"/>
      <c r="E393" s="82"/>
      <c r="F393" s="82"/>
      <c r="G393" s="82"/>
      <c r="H393" s="82"/>
      <c r="I393" s="82"/>
      <c r="J393" s="82"/>
      <c r="K393" s="83"/>
      <c r="L393" s="84"/>
      <c r="M393" s="85"/>
      <c r="N393" s="38"/>
      <c r="O393" s="39"/>
      <c r="P393" s="39"/>
      <c r="Q393" s="39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5.75" customHeight="1">
      <c r="A394" s="79"/>
      <c r="B394" s="80"/>
      <c r="C394" s="80"/>
      <c r="D394" s="81"/>
      <c r="E394" s="82"/>
      <c r="F394" s="82"/>
      <c r="G394" s="82"/>
      <c r="H394" s="82"/>
      <c r="I394" s="82"/>
      <c r="J394" s="82"/>
      <c r="K394" s="83"/>
      <c r="L394" s="84"/>
      <c r="M394" s="85"/>
      <c r="N394" s="38"/>
      <c r="O394" s="39"/>
      <c r="P394" s="39"/>
      <c r="Q394" s="39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5.75" customHeight="1">
      <c r="A395" s="79"/>
      <c r="B395" s="80"/>
      <c r="C395" s="80"/>
      <c r="D395" s="81"/>
      <c r="E395" s="82"/>
      <c r="F395" s="82"/>
      <c r="G395" s="82"/>
      <c r="H395" s="82"/>
      <c r="I395" s="82"/>
      <c r="J395" s="82"/>
      <c r="K395" s="83"/>
      <c r="L395" s="84"/>
      <c r="M395" s="85"/>
      <c r="N395" s="38"/>
      <c r="O395" s="39"/>
      <c r="P395" s="39"/>
      <c r="Q395" s="39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5.75" customHeight="1">
      <c r="A396" s="79"/>
      <c r="B396" s="80"/>
      <c r="C396" s="80"/>
      <c r="D396" s="81"/>
      <c r="E396" s="82"/>
      <c r="F396" s="82"/>
      <c r="G396" s="82"/>
      <c r="H396" s="82"/>
      <c r="I396" s="82"/>
      <c r="J396" s="82"/>
      <c r="K396" s="83"/>
      <c r="L396" s="84"/>
      <c r="M396" s="85"/>
      <c r="N396" s="38"/>
      <c r="O396" s="39"/>
      <c r="P396" s="39"/>
      <c r="Q396" s="39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5.75" customHeight="1">
      <c r="A397" s="79"/>
      <c r="B397" s="80"/>
      <c r="C397" s="80"/>
      <c r="D397" s="81"/>
      <c r="E397" s="82"/>
      <c r="F397" s="82"/>
      <c r="G397" s="82"/>
      <c r="H397" s="82"/>
      <c r="I397" s="82"/>
      <c r="J397" s="82"/>
      <c r="K397" s="83"/>
      <c r="L397" s="84"/>
      <c r="M397" s="85"/>
      <c r="N397" s="38"/>
      <c r="O397" s="39"/>
      <c r="P397" s="39"/>
      <c r="Q397" s="39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5.75" customHeight="1">
      <c r="A398" s="79"/>
      <c r="B398" s="80"/>
      <c r="C398" s="80"/>
      <c r="D398" s="81"/>
      <c r="E398" s="82"/>
      <c r="F398" s="82"/>
      <c r="G398" s="82"/>
      <c r="H398" s="82"/>
      <c r="I398" s="82"/>
      <c r="J398" s="82"/>
      <c r="K398" s="83"/>
      <c r="L398" s="84"/>
      <c r="M398" s="85"/>
      <c r="N398" s="38"/>
      <c r="O398" s="39"/>
      <c r="P398" s="39"/>
      <c r="Q398" s="39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5.75" customHeight="1">
      <c r="A399" s="79"/>
      <c r="B399" s="80"/>
      <c r="C399" s="80"/>
      <c r="D399" s="81"/>
      <c r="E399" s="82"/>
      <c r="F399" s="82"/>
      <c r="G399" s="82"/>
      <c r="H399" s="82"/>
      <c r="I399" s="82"/>
      <c r="J399" s="82"/>
      <c r="K399" s="83"/>
      <c r="L399" s="84"/>
      <c r="M399" s="85"/>
      <c r="N399" s="38"/>
      <c r="O399" s="39"/>
      <c r="P399" s="39"/>
      <c r="Q399" s="39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5.75" customHeight="1">
      <c r="A400" s="79"/>
      <c r="B400" s="80"/>
      <c r="C400" s="80"/>
      <c r="D400" s="81"/>
      <c r="E400" s="82"/>
      <c r="F400" s="82"/>
      <c r="G400" s="82"/>
      <c r="H400" s="82"/>
      <c r="I400" s="82"/>
      <c r="J400" s="82"/>
      <c r="K400" s="83"/>
      <c r="L400" s="84"/>
      <c r="M400" s="85"/>
      <c r="N400" s="38"/>
      <c r="O400" s="39"/>
      <c r="P400" s="39"/>
      <c r="Q400" s="39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5.75" customHeight="1">
      <c r="A401" s="79"/>
      <c r="B401" s="80"/>
      <c r="C401" s="80"/>
      <c r="D401" s="81"/>
      <c r="E401" s="82"/>
      <c r="F401" s="82"/>
      <c r="G401" s="82"/>
      <c r="H401" s="82"/>
      <c r="I401" s="82"/>
      <c r="J401" s="82"/>
      <c r="K401" s="83"/>
      <c r="L401" s="84"/>
      <c r="M401" s="85"/>
      <c r="N401" s="38"/>
      <c r="O401" s="39"/>
      <c r="P401" s="39"/>
      <c r="Q401" s="39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5.75" customHeight="1">
      <c r="A402" s="79"/>
      <c r="B402" s="80"/>
      <c r="C402" s="80"/>
      <c r="D402" s="81"/>
      <c r="E402" s="82"/>
      <c r="F402" s="82"/>
      <c r="G402" s="82"/>
      <c r="H402" s="82"/>
      <c r="I402" s="82"/>
      <c r="J402" s="82"/>
      <c r="K402" s="83"/>
      <c r="L402" s="84"/>
      <c r="M402" s="85"/>
      <c r="N402" s="38"/>
      <c r="O402" s="39"/>
      <c r="P402" s="39"/>
      <c r="Q402" s="39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5.75" customHeight="1">
      <c r="A403" s="79"/>
      <c r="B403" s="80"/>
      <c r="C403" s="80"/>
      <c r="D403" s="81"/>
      <c r="E403" s="82"/>
      <c r="F403" s="82"/>
      <c r="G403" s="82"/>
      <c r="H403" s="82"/>
      <c r="I403" s="82"/>
      <c r="J403" s="82"/>
      <c r="K403" s="83"/>
      <c r="L403" s="84"/>
      <c r="M403" s="85"/>
      <c r="N403" s="38"/>
      <c r="O403" s="39"/>
      <c r="P403" s="39"/>
      <c r="Q403" s="39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5.75" customHeight="1">
      <c r="A404" s="79"/>
      <c r="B404" s="80"/>
      <c r="C404" s="80"/>
      <c r="D404" s="81"/>
      <c r="E404" s="82"/>
      <c r="F404" s="82"/>
      <c r="G404" s="82"/>
      <c r="H404" s="82"/>
      <c r="I404" s="82"/>
      <c r="J404" s="82"/>
      <c r="K404" s="83"/>
      <c r="L404" s="84"/>
      <c r="M404" s="85"/>
      <c r="N404" s="38"/>
      <c r="O404" s="39"/>
      <c r="P404" s="39"/>
      <c r="Q404" s="39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5.75" customHeight="1">
      <c r="A405" s="79"/>
      <c r="B405" s="80"/>
      <c r="C405" s="80"/>
      <c r="D405" s="81"/>
      <c r="E405" s="82"/>
      <c r="F405" s="82"/>
      <c r="G405" s="82"/>
      <c r="H405" s="82"/>
      <c r="I405" s="82"/>
      <c r="J405" s="82"/>
      <c r="K405" s="83"/>
      <c r="L405" s="84"/>
      <c r="M405" s="85"/>
      <c r="N405" s="38"/>
      <c r="O405" s="39"/>
      <c r="P405" s="39"/>
      <c r="Q405" s="39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5.75" customHeight="1">
      <c r="A406" s="79"/>
      <c r="B406" s="80"/>
      <c r="C406" s="80"/>
      <c r="D406" s="81"/>
      <c r="E406" s="82"/>
      <c r="F406" s="82"/>
      <c r="G406" s="82"/>
      <c r="H406" s="82"/>
      <c r="I406" s="82"/>
      <c r="J406" s="82"/>
      <c r="K406" s="83"/>
      <c r="L406" s="84"/>
      <c r="M406" s="85"/>
      <c r="N406" s="38"/>
      <c r="O406" s="39"/>
      <c r="P406" s="39"/>
      <c r="Q406" s="39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5.75" customHeight="1">
      <c r="A407" s="79"/>
      <c r="B407" s="80"/>
      <c r="C407" s="80"/>
      <c r="D407" s="81"/>
      <c r="E407" s="82"/>
      <c r="F407" s="82"/>
      <c r="G407" s="82"/>
      <c r="H407" s="82"/>
      <c r="I407" s="82"/>
      <c r="J407" s="82"/>
      <c r="K407" s="83"/>
      <c r="L407" s="84"/>
      <c r="M407" s="85"/>
      <c r="N407" s="38"/>
      <c r="O407" s="39"/>
      <c r="P407" s="39"/>
      <c r="Q407" s="39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5.75" customHeight="1">
      <c r="A408" s="79"/>
      <c r="B408" s="80"/>
      <c r="C408" s="80"/>
      <c r="D408" s="81"/>
      <c r="E408" s="82"/>
      <c r="F408" s="82"/>
      <c r="G408" s="82"/>
      <c r="H408" s="82"/>
      <c r="I408" s="82"/>
      <c r="J408" s="82"/>
      <c r="K408" s="83"/>
      <c r="L408" s="84"/>
      <c r="M408" s="85"/>
      <c r="N408" s="38"/>
      <c r="O408" s="39"/>
      <c r="P408" s="39"/>
      <c r="Q408" s="39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5.75" customHeight="1">
      <c r="A409" s="79"/>
      <c r="B409" s="80"/>
      <c r="C409" s="80"/>
      <c r="D409" s="81"/>
      <c r="E409" s="82"/>
      <c r="F409" s="82"/>
      <c r="G409" s="82"/>
      <c r="H409" s="82"/>
      <c r="I409" s="82"/>
      <c r="J409" s="82"/>
      <c r="K409" s="83"/>
      <c r="L409" s="84"/>
      <c r="M409" s="85"/>
      <c r="N409" s="38"/>
      <c r="O409" s="39"/>
      <c r="P409" s="39"/>
      <c r="Q409" s="39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5.75" customHeight="1">
      <c r="A410" s="79"/>
      <c r="B410" s="80"/>
      <c r="C410" s="80"/>
      <c r="D410" s="81"/>
      <c r="E410" s="82"/>
      <c r="F410" s="82"/>
      <c r="G410" s="82"/>
      <c r="H410" s="82"/>
      <c r="I410" s="82"/>
      <c r="J410" s="82"/>
      <c r="K410" s="83"/>
      <c r="L410" s="84"/>
      <c r="M410" s="85"/>
      <c r="N410" s="38"/>
      <c r="O410" s="39"/>
      <c r="P410" s="39"/>
      <c r="Q410" s="39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5.75" customHeight="1">
      <c r="A411" s="79"/>
      <c r="B411" s="80"/>
      <c r="C411" s="80"/>
      <c r="D411" s="81"/>
      <c r="E411" s="82"/>
      <c r="F411" s="82"/>
      <c r="G411" s="82"/>
      <c r="H411" s="82"/>
      <c r="I411" s="82"/>
      <c r="J411" s="82"/>
      <c r="K411" s="83"/>
      <c r="L411" s="84"/>
      <c r="M411" s="85"/>
      <c r="N411" s="38"/>
      <c r="O411" s="39"/>
      <c r="P411" s="39"/>
      <c r="Q411" s="39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5.75" customHeight="1">
      <c r="A412" s="79"/>
      <c r="B412" s="80"/>
      <c r="C412" s="80"/>
      <c r="D412" s="81"/>
      <c r="E412" s="82"/>
      <c r="F412" s="82"/>
      <c r="G412" s="82"/>
      <c r="H412" s="82"/>
      <c r="I412" s="82"/>
      <c r="J412" s="82"/>
      <c r="K412" s="83"/>
      <c r="L412" s="84"/>
      <c r="M412" s="85"/>
      <c r="N412" s="38"/>
      <c r="O412" s="39"/>
      <c r="P412" s="39"/>
      <c r="Q412" s="39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5.75" customHeight="1">
      <c r="A413" s="79"/>
      <c r="B413" s="80"/>
      <c r="C413" s="80"/>
      <c r="D413" s="81"/>
      <c r="E413" s="82"/>
      <c r="F413" s="82"/>
      <c r="G413" s="82"/>
      <c r="H413" s="82"/>
      <c r="I413" s="82"/>
      <c r="J413" s="82"/>
      <c r="K413" s="83"/>
      <c r="L413" s="84"/>
      <c r="M413" s="85"/>
      <c r="N413" s="38"/>
      <c r="O413" s="39"/>
      <c r="P413" s="39"/>
      <c r="Q413" s="39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5.75" customHeight="1">
      <c r="A414" s="79"/>
      <c r="B414" s="80"/>
      <c r="C414" s="80"/>
      <c r="D414" s="81"/>
      <c r="E414" s="82"/>
      <c r="F414" s="82"/>
      <c r="G414" s="82"/>
      <c r="H414" s="82"/>
      <c r="I414" s="82"/>
      <c r="J414" s="82"/>
      <c r="K414" s="83"/>
      <c r="L414" s="84"/>
      <c r="M414" s="85"/>
      <c r="N414" s="38"/>
      <c r="O414" s="39"/>
      <c r="P414" s="39"/>
      <c r="Q414" s="39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5.75" customHeight="1">
      <c r="A415" s="79"/>
      <c r="B415" s="80"/>
      <c r="C415" s="80"/>
      <c r="D415" s="81"/>
      <c r="E415" s="82"/>
      <c r="F415" s="82"/>
      <c r="G415" s="82"/>
      <c r="H415" s="82"/>
      <c r="I415" s="82"/>
      <c r="J415" s="82"/>
      <c r="K415" s="83"/>
      <c r="L415" s="84"/>
      <c r="M415" s="85"/>
      <c r="N415" s="38"/>
      <c r="O415" s="39"/>
      <c r="P415" s="39"/>
      <c r="Q415" s="39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5.75" customHeight="1">
      <c r="A416" s="79"/>
      <c r="B416" s="80"/>
      <c r="C416" s="80"/>
      <c r="D416" s="81"/>
      <c r="E416" s="82"/>
      <c r="F416" s="82"/>
      <c r="G416" s="82"/>
      <c r="H416" s="82"/>
      <c r="I416" s="82"/>
      <c r="J416" s="82"/>
      <c r="K416" s="83"/>
      <c r="L416" s="84"/>
      <c r="M416" s="85"/>
      <c r="N416" s="38"/>
      <c r="O416" s="39"/>
      <c r="P416" s="39"/>
      <c r="Q416" s="39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5.75" customHeight="1">
      <c r="A417" s="79"/>
      <c r="B417" s="80"/>
      <c r="C417" s="80"/>
      <c r="D417" s="81"/>
      <c r="E417" s="82"/>
      <c r="F417" s="82"/>
      <c r="G417" s="82"/>
      <c r="H417" s="82"/>
      <c r="I417" s="82"/>
      <c r="J417" s="82"/>
      <c r="K417" s="83"/>
      <c r="L417" s="84"/>
      <c r="M417" s="85"/>
      <c r="N417" s="38"/>
      <c r="O417" s="39"/>
      <c r="P417" s="39"/>
      <c r="Q417" s="39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5.75" customHeight="1">
      <c r="A418" s="79"/>
      <c r="B418" s="80"/>
      <c r="C418" s="80"/>
      <c r="D418" s="81"/>
      <c r="E418" s="82"/>
      <c r="F418" s="82"/>
      <c r="G418" s="82"/>
      <c r="H418" s="82"/>
      <c r="I418" s="82"/>
      <c r="J418" s="82"/>
      <c r="K418" s="83"/>
      <c r="L418" s="84"/>
      <c r="M418" s="85"/>
      <c r="N418" s="38"/>
      <c r="O418" s="39"/>
      <c r="P418" s="39"/>
      <c r="Q418" s="39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5.75" customHeight="1">
      <c r="A419" s="79"/>
      <c r="B419" s="80"/>
      <c r="C419" s="80"/>
      <c r="D419" s="81"/>
      <c r="E419" s="82"/>
      <c r="F419" s="82"/>
      <c r="G419" s="82"/>
      <c r="H419" s="82"/>
      <c r="I419" s="82"/>
      <c r="J419" s="82"/>
      <c r="K419" s="83"/>
      <c r="L419" s="84"/>
      <c r="M419" s="85"/>
      <c r="N419" s="38"/>
      <c r="O419" s="39"/>
      <c r="P419" s="39"/>
      <c r="Q419" s="39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5.75" customHeight="1">
      <c r="A420" s="79"/>
      <c r="B420" s="80"/>
      <c r="C420" s="80"/>
      <c r="D420" s="81"/>
      <c r="E420" s="82"/>
      <c r="F420" s="82"/>
      <c r="G420" s="82"/>
      <c r="H420" s="82"/>
      <c r="I420" s="82"/>
      <c r="J420" s="82"/>
      <c r="K420" s="83"/>
      <c r="L420" s="84"/>
      <c r="M420" s="85"/>
      <c r="N420" s="38"/>
      <c r="O420" s="39"/>
      <c r="P420" s="39"/>
      <c r="Q420" s="39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5.75" customHeight="1">
      <c r="A421" s="79"/>
      <c r="B421" s="80"/>
      <c r="C421" s="80"/>
      <c r="D421" s="81"/>
      <c r="E421" s="82"/>
      <c r="F421" s="82"/>
      <c r="G421" s="82"/>
      <c r="H421" s="82"/>
      <c r="I421" s="82"/>
      <c r="J421" s="82"/>
      <c r="K421" s="83"/>
      <c r="L421" s="84"/>
      <c r="M421" s="85"/>
      <c r="N421" s="38"/>
      <c r="O421" s="39"/>
      <c r="P421" s="39"/>
      <c r="Q421" s="39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5.75" customHeight="1">
      <c r="A422" s="79"/>
      <c r="B422" s="80"/>
      <c r="C422" s="80"/>
      <c r="D422" s="81"/>
      <c r="E422" s="82"/>
      <c r="F422" s="82"/>
      <c r="G422" s="82"/>
      <c r="H422" s="82"/>
      <c r="I422" s="82"/>
      <c r="J422" s="82"/>
      <c r="K422" s="83"/>
      <c r="L422" s="84"/>
      <c r="M422" s="85"/>
      <c r="N422" s="38"/>
      <c r="O422" s="39"/>
      <c r="P422" s="39"/>
      <c r="Q422" s="39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5.75" customHeight="1">
      <c r="A423" s="79"/>
      <c r="B423" s="80"/>
      <c r="C423" s="80"/>
      <c r="D423" s="81"/>
      <c r="E423" s="82"/>
      <c r="F423" s="82"/>
      <c r="G423" s="82"/>
      <c r="H423" s="82"/>
      <c r="I423" s="82"/>
      <c r="J423" s="82"/>
      <c r="K423" s="83"/>
      <c r="L423" s="84"/>
      <c r="M423" s="85"/>
      <c r="N423" s="38"/>
      <c r="O423" s="39"/>
      <c r="P423" s="39"/>
      <c r="Q423" s="39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5.75" customHeight="1">
      <c r="A424" s="79"/>
      <c r="B424" s="80"/>
      <c r="C424" s="80"/>
      <c r="D424" s="81"/>
      <c r="E424" s="82"/>
      <c r="F424" s="82"/>
      <c r="G424" s="82"/>
      <c r="H424" s="82"/>
      <c r="I424" s="82"/>
      <c r="J424" s="82"/>
      <c r="K424" s="83"/>
      <c r="L424" s="84"/>
      <c r="M424" s="85"/>
      <c r="N424" s="38"/>
      <c r="O424" s="39"/>
      <c r="P424" s="39"/>
      <c r="Q424" s="39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5.75" customHeight="1">
      <c r="A425" s="79"/>
      <c r="B425" s="80"/>
      <c r="C425" s="80"/>
      <c r="D425" s="81"/>
      <c r="E425" s="82"/>
      <c r="F425" s="82"/>
      <c r="G425" s="82"/>
      <c r="H425" s="82"/>
      <c r="I425" s="82"/>
      <c r="J425" s="82"/>
      <c r="K425" s="83"/>
      <c r="L425" s="84"/>
      <c r="M425" s="85"/>
      <c r="N425" s="38"/>
      <c r="O425" s="39"/>
      <c r="P425" s="39"/>
      <c r="Q425" s="39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5.75" customHeight="1">
      <c r="A426" s="79"/>
      <c r="B426" s="80"/>
      <c r="C426" s="80"/>
      <c r="D426" s="81"/>
      <c r="E426" s="82"/>
      <c r="F426" s="82"/>
      <c r="G426" s="82"/>
      <c r="H426" s="82"/>
      <c r="I426" s="82"/>
      <c r="J426" s="82"/>
      <c r="K426" s="83"/>
      <c r="L426" s="84"/>
      <c r="M426" s="85"/>
      <c r="N426" s="38"/>
      <c r="O426" s="39"/>
      <c r="P426" s="39"/>
      <c r="Q426" s="39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5.75" customHeight="1">
      <c r="A427" s="79"/>
      <c r="B427" s="80"/>
      <c r="C427" s="80"/>
      <c r="D427" s="81"/>
      <c r="E427" s="82"/>
      <c r="F427" s="82"/>
      <c r="G427" s="82"/>
      <c r="H427" s="82"/>
      <c r="I427" s="82"/>
      <c r="J427" s="82"/>
      <c r="K427" s="83"/>
      <c r="L427" s="84"/>
      <c r="M427" s="85"/>
      <c r="N427" s="38"/>
      <c r="O427" s="39"/>
      <c r="P427" s="39"/>
      <c r="Q427" s="39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5.75" customHeight="1">
      <c r="A428" s="79"/>
      <c r="B428" s="80"/>
      <c r="C428" s="80"/>
      <c r="D428" s="81"/>
      <c r="E428" s="82"/>
      <c r="F428" s="82"/>
      <c r="G428" s="82"/>
      <c r="H428" s="82"/>
      <c r="I428" s="82"/>
      <c r="J428" s="82"/>
      <c r="K428" s="83"/>
      <c r="L428" s="84"/>
      <c r="M428" s="85"/>
      <c r="N428" s="38"/>
      <c r="O428" s="39"/>
      <c r="P428" s="39"/>
      <c r="Q428" s="39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5.75" customHeight="1">
      <c r="A429" s="79"/>
      <c r="B429" s="80"/>
      <c r="C429" s="80"/>
      <c r="D429" s="81"/>
      <c r="E429" s="82"/>
      <c r="F429" s="82"/>
      <c r="G429" s="82"/>
      <c r="H429" s="82"/>
      <c r="I429" s="82"/>
      <c r="J429" s="82"/>
      <c r="K429" s="83"/>
      <c r="L429" s="84"/>
      <c r="M429" s="85"/>
      <c r="N429" s="38"/>
      <c r="O429" s="39"/>
      <c r="P429" s="39"/>
      <c r="Q429" s="39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5.75" customHeight="1">
      <c r="A430" s="79"/>
      <c r="B430" s="80"/>
      <c r="C430" s="80"/>
      <c r="D430" s="81"/>
      <c r="E430" s="82"/>
      <c r="F430" s="82"/>
      <c r="G430" s="82"/>
      <c r="H430" s="82"/>
      <c r="I430" s="82"/>
      <c r="J430" s="82"/>
      <c r="K430" s="83"/>
      <c r="L430" s="84"/>
      <c r="M430" s="85"/>
      <c r="N430" s="38"/>
      <c r="O430" s="39"/>
      <c r="P430" s="39"/>
      <c r="Q430" s="39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5.75" customHeight="1">
      <c r="A431" s="79"/>
      <c r="B431" s="80"/>
      <c r="C431" s="80"/>
      <c r="D431" s="81"/>
      <c r="E431" s="82"/>
      <c r="F431" s="82"/>
      <c r="G431" s="82"/>
      <c r="H431" s="82"/>
      <c r="I431" s="82"/>
      <c r="J431" s="82"/>
      <c r="K431" s="83"/>
      <c r="L431" s="84"/>
      <c r="M431" s="85"/>
      <c r="N431" s="38"/>
      <c r="O431" s="39"/>
      <c r="P431" s="39"/>
      <c r="Q431" s="39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5.75" customHeight="1">
      <c r="A432" s="79"/>
      <c r="B432" s="80"/>
      <c r="C432" s="80"/>
      <c r="D432" s="81"/>
      <c r="E432" s="82"/>
      <c r="F432" s="82"/>
      <c r="G432" s="82"/>
      <c r="H432" s="82"/>
      <c r="I432" s="82"/>
      <c r="J432" s="82"/>
      <c r="K432" s="83"/>
      <c r="L432" s="84"/>
      <c r="M432" s="85"/>
      <c r="N432" s="38"/>
      <c r="O432" s="39"/>
      <c r="P432" s="39"/>
      <c r="Q432" s="39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5.75" customHeight="1">
      <c r="A433" s="79"/>
      <c r="B433" s="80"/>
      <c r="C433" s="80"/>
      <c r="D433" s="81"/>
      <c r="E433" s="82"/>
      <c r="F433" s="82"/>
      <c r="G433" s="82"/>
      <c r="H433" s="82"/>
      <c r="I433" s="82"/>
      <c r="J433" s="82"/>
      <c r="K433" s="83"/>
      <c r="L433" s="84"/>
      <c r="M433" s="85"/>
      <c r="N433" s="38"/>
      <c r="O433" s="39"/>
      <c r="P433" s="39"/>
      <c r="Q433" s="39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5.75" customHeight="1">
      <c r="A434" s="79"/>
      <c r="B434" s="80"/>
      <c r="C434" s="80"/>
      <c r="D434" s="81"/>
      <c r="E434" s="82"/>
      <c r="F434" s="82"/>
      <c r="G434" s="82"/>
      <c r="H434" s="82"/>
      <c r="I434" s="82"/>
      <c r="J434" s="82"/>
      <c r="K434" s="83"/>
      <c r="L434" s="84"/>
      <c r="M434" s="85"/>
      <c r="N434" s="38"/>
      <c r="O434" s="39"/>
      <c r="P434" s="39"/>
      <c r="Q434" s="39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5.75" customHeight="1">
      <c r="A435" s="79"/>
      <c r="B435" s="80"/>
      <c r="C435" s="80"/>
      <c r="D435" s="81"/>
      <c r="E435" s="82"/>
      <c r="F435" s="82"/>
      <c r="G435" s="82"/>
      <c r="H435" s="82"/>
      <c r="I435" s="82"/>
      <c r="J435" s="82"/>
      <c r="K435" s="83"/>
      <c r="L435" s="84"/>
      <c r="M435" s="85"/>
      <c r="N435" s="38"/>
      <c r="O435" s="39"/>
      <c r="P435" s="39"/>
      <c r="Q435" s="39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5.75" customHeight="1">
      <c r="A436" s="79"/>
      <c r="B436" s="80"/>
      <c r="C436" s="80"/>
      <c r="D436" s="81"/>
      <c r="E436" s="82"/>
      <c r="F436" s="82"/>
      <c r="G436" s="82"/>
      <c r="H436" s="82"/>
      <c r="I436" s="82"/>
      <c r="J436" s="82"/>
      <c r="K436" s="83"/>
      <c r="L436" s="84"/>
      <c r="M436" s="85"/>
      <c r="N436" s="38"/>
      <c r="O436" s="39"/>
      <c r="P436" s="39"/>
      <c r="Q436" s="39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5.75" customHeight="1">
      <c r="A437" s="79"/>
      <c r="B437" s="80"/>
      <c r="C437" s="80"/>
      <c r="D437" s="81"/>
      <c r="E437" s="82"/>
      <c r="F437" s="82"/>
      <c r="G437" s="82"/>
      <c r="H437" s="82"/>
      <c r="I437" s="82"/>
      <c r="J437" s="82"/>
      <c r="K437" s="83"/>
      <c r="L437" s="84"/>
      <c r="M437" s="85"/>
      <c r="N437" s="38"/>
      <c r="O437" s="39"/>
      <c r="P437" s="39"/>
      <c r="Q437" s="39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5.75" customHeight="1">
      <c r="A438" s="79"/>
      <c r="B438" s="80"/>
      <c r="C438" s="80"/>
      <c r="D438" s="81"/>
      <c r="E438" s="82"/>
      <c r="F438" s="82"/>
      <c r="G438" s="82"/>
      <c r="H438" s="82"/>
      <c r="I438" s="82"/>
      <c r="J438" s="82"/>
      <c r="K438" s="83"/>
      <c r="L438" s="84"/>
      <c r="M438" s="85"/>
      <c r="N438" s="38"/>
      <c r="O438" s="39"/>
      <c r="P438" s="39"/>
      <c r="Q438" s="39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5.75" customHeight="1">
      <c r="A439" s="79"/>
      <c r="B439" s="80"/>
      <c r="C439" s="80"/>
      <c r="D439" s="81"/>
      <c r="E439" s="82"/>
      <c r="F439" s="82"/>
      <c r="G439" s="82"/>
      <c r="H439" s="82"/>
      <c r="I439" s="82"/>
      <c r="J439" s="82"/>
      <c r="K439" s="83"/>
      <c r="L439" s="84"/>
      <c r="M439" s="85"/>
      <c r="N439" s="38"/>
      <c r="O439" s="39"/>
      <c r="P439" s="39"/>
      <c r="Q439" s="39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5.75" customHeight="1">
      <c r="A440" s="79"/>
      <c r="B440" s="80"/>
      <c r="C440" s="80"/>
      <c r="D440" s="81"/>
      <c r="E440" s="82"/>
      <c r="F440" s="82"/>
      <c r="G440" s="82"/>
      <c r="H440" s="82"/>
      <c r="I440" s="82"/>
      <c r="J440" s="82"/>
      <c r="K440" s="83"/>
      <c r="L440" s="84"/>
      <c r="M440" s="85"/>
      <c r="N440" s="38"/>
      <c r="O440" s="39"/>
      <c r="P440" s="39"/>
      <c r="Q440" s="39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5.75" customHeight="1">
      <c r="A441" s="79"/>
      <c r="B441" s="80"/>
      <c r="C441" s="80"/>
      <c r="D441" s="81"/>
      <c r="E441" s="82"/>
      <c r="F441" s="82"/>
      <c r="G441" s="82"/>
      <c r="H441" s="82"/>
      <c r="I441" s="82"/>
      <c r="J441" s="82"/>
      <c r="K441" s="83"/>
      <c r="L441" s="84"/>
      <c r="M441" s="85"/>
      <c r="N441" s="38"/>
      <c r="O441" s="39"/>
      <c r="P441" s="39"/>
      <c r="Q441" s="39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5.75" customHeight="1">
      <c r="A442" s="79"/>
      <c r="B442" s="80"/>
      <c r="C442" s="80"/>
      <c r="D442" s="81"/>
      <c r="E442" s="82"/>
      <c r="F442" s="82"/>
      <c r="G442" s="82"/>
      <c r="H442" s="82"/>
      <c r="I442" s="82"/>
      <c r="J442" s="82"/>
      <c r="K442" s="83"/>
      <c r="L442" s="84"/>
      <c r="M442" s="85"/>
      <c r="N442" s="38"/>
      <c r="O442" s="39"/>
      <c r="P442" s="39"/>
      <c r="Q442" s="39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5.75" customHeight="1">
      <c r="A443" s="79"/>
      <c r="B443" s="80"/>
      <c r="C443" s="80"/>
      <c r="D443" s="81"/>
      <c r="E443" s="82"/>
      <c r="F443" s="82"/>
      <c r="G443" s="82"/>
      <c r="H443" s="82"/>
      <c r="I443" s="82"/>
      <c r="J443" s="82"/>
      <c r="K443" s="83"/>
      <c r="L443" s="84"/>
      <c r="M443" s="85"/>
      <c r="N443" s="38"/>
      <c r="O443" s="39"/>
      <c r="P443" s="39"/>
      <c r="Q443" s="39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5.75" customHeight="1">
      <c r="A444" s="79"/>
      <c r="B444" s="80"/>
      <c r="C444" s="80"/>
      <c r="D444" s="81"/>
      <c r="E444" s="82"/>
      <c r="F444" s="82"/>
      <c r="G444" s="82"/>
      <c r="H444" s="82"/>
      <c r="I444" s="82"/>
      <c r="J444" s="82"/>
      <c r="K444" s="83"/>
      <c r="L444" s="84"/>
      <c r="M444" s="85"/>
      <c r="N444" s="38"/>
      <c r="O444" s="39"/>
      <c r="P444" s="39"/>
      <c r="Q444" s="39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5.75" customHeight="1">
      <c r="A445" s="79"/>
      <c r="B445" s="80"/>
      <c r="C445" s="80"/>
      <c r="D445" s="81"/>
      <c r="E445" s="82"/>
      <c r="F445" s="82"/>
      <c r="G445" s="82"/>
      <c r="H445" s="82"/>
      <c r="I445" s="82"/>
      <c r="J445" s="82"/>
      <c r="K445" s="83"/>
      <c r="L445" s="84"/>
      <c r="M445" s="85"/>
      <c r="N445" s="38"/>
      <c r="O445" s="39"/>
      <c r="P445" s="39"/>
      <c r="Q445" s="39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5.75" customHeight="1">
      <c r="A446" s="79"/>
      <c r="B446" s="80"/>
      <c r="C446" s="80"/>
      <c r="D446" s="81"/>
      <c r="E446" s="82"/>
      <c r="F446" s="82"/>
      <c r="G446" s="82"/>
      <c r="H446" s="82"/>
      <c r="I446" s="82"/>
      <c r="J446" s="82"/>
      <c r="K446" s="83"/>
      <c r="L446" s="84"/>
      <c r="M446" s="85"/>
      <c r="N446" s="38"/>
      <c r="O446" s="39"/>
      <c r="P446" s="39"/>
      <c r="Q446" s="39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5.75" customHeight="1">
      <c r="A447" s="79"/>
      <c r="B447" s="80"/>
      <c r="C447" s="80"/>
      <c r="D447" s="81"/>
      <c r="E447" s="82"/>
      <c r="F447" s="82"/>
      <c r="G447" s="82"/>
      <c r="H447" s="82"/>
      <c r="I447" s="82"/>
      <c r="J447" s="82"/>
      <c r="K447" s="83"/>
      <c r="L447" s="84"/>
      <c r="M447" s="85"/>
      <c r="N447" s="38"/>
      <c r="O447" s="39"/>
      <c r="P447" s="39"/>
      <c r="Q447" s="39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5.75" customHeight="1">
      <c r="A448" s="79"/>
      <c r="B448" s="80"/>
      <c r="C448" s="80"/>
      <c r="D448" s="81"/>
      <c r="E448" s="82"/>
      <c r="F448" s="82"/>
      <c r="G448" s="82"/>
      <c r="H448" s="82"/>
      <c r="I448" s="82"/>
      <c r="J448" s="82"/>
      <c r="K448" s="83"/>
      <c r="L448" s="84"/>
      <c r="M448" s="85"/>
      <c r="N448" s="38"/>
      <c r="O448" s="39"/>
      <c r="P448" s="39"/>
      <c r="Q448" s="39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5.75" customHeight="1">
      <c r="A449" s="79"/>
      <c r="B449" s="80"/>
      <c r="C449" s="80"/>
      <c r="D449" s="81"/>
      <c r="E449" s="82"/>
      <c r="F449" s="82"/>
      <c r="G449" s="82"/>
      <c r="H449" s="82"/>
      <c r="I449" s="82"/>
      <c r="J449" s="82"/>
      <c r="K449" s="83"/>
      <c r="L449" s="84"/>
      <c r="M449" s="85"/>
      <c r="N449" s="38"/>
      <c r="O449" s="39"/>
      <c r="P449" s="39"/>
      <c r="Q449" s="39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5.75" customHeight="1">
      <c r="A450" s="79"/>
      <c r="B450" s="80"/>
      <c r="C450" s="80"/>
      <c r="D450" s="81"/>
      <c r="E450" s="82"/>
      <c r="F450" s="82"/>
      <c r="G450" s="82"/>
      <c r="H450" s="82"/>
      <c r="I450" s="82"/>
      <c r="J450" s="82"/>
      <c r="K450" s="83"/>
      <c r="L450" s="84"/>
      <c r="M450" s="85"/>
      <c r="N450" s="38"/>
      <c r="O450" s="39"/>
      <c r="P450" s="39"/>
      <c r="Q450" s="39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5.75" customHeight="1">
      <c r="A451" s="79"/>
      <c r="B451" s="80"/>
      <c r="C451" s="80"/>
      <c r="D451" s="81"/>
      <c r="E451" s="82"/>
      <c r="F451" s="82"/>
      <c r="G451" s="82"/>
      <c r="H451" s="82"/>
      <c r="I451" s="82"/>
      <c r="J451" s="82"/>
      <c r="K451" s="83"/>
      <c r="L451" s="84"/>
      <c r="M451" s="85"/>
      <c r="N451" s="38"/>
      <c r="O451" s="39"/>
      <c r="P451" s="39"/>
      <c r="Q451" s="39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5.75" customHeight="1">
      <c r="A452" s="79"/>
      <c r="B452" s="80"/>
      <c r="C452" s="80"/>
      <c r="D452" s="81"/>
      <c r="E452" s="82"/>
      <c r="F452" s="82"/>
      <c r="G452" s="82"/>
      <c r="H452" s="82"/>
      <c r="I452" s="82"/>
      <c r="J452" s="82"/>
      <c r="K452" s="83"/>
      <c r="L452" s="84"/>
      <c r="M452" s="85"/>
      <c r="N452" s="38"/>
      <c r="O452" s="39"/>
      <c r="P452" s="39"/>
      <c r="Q452" s="39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5.75" customHeight="1">
      <c r="A453" s="79"/>
      <c r="B453" s="80"/>
      <c r="C453" s="80"/>
      <c r="D453" s="81"/>
      <c r="E453" s="82"/>
      <c r="F453" s="82"/>
      <c r="G453" s="82"/>
      <c r="H453" s="82"/>
      <c r="I453" s="82"/>
      <c r="J453" s="82"/>
      <c r="K453" s="83"/>
      <c r="L453" s="84"/>
      <c r="M453" s="85"/>
      <c r="N453" s="38"/>
      <c r="O453" s="39"/>
      <c r="P453" s="39"/>
      <c r="Q453" s="39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5.75" customHeight="1">
      <c r="A454" s="79"/>
      <c r="B454" s="80"/>
      <c r="C454" s="80"/>
      <c r="D454" s="81"/>
      <c r="E454" s="82"/>
      <c r="F454" s="82"/>
      <c r="G454" s="82"/>
      <c r="H454" s="82"/>
      <c r="I454" s="82"/>
      <c r="J454" s="82"/>
      <c r="K454" s="83"/>
      <c r="L454" s="84"/>
      <c r="M454" s="85"/>
      <c r="N454" s="38"/>
      <c r="O454" s="39"/>
      <c r="P454" s="39"/>
      <c r="Q454" s="39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5.75" customHeight="1">
      <c r="A455" s="79"/>
      <c r="B455" s="80"/>
      <c r="C455" s="80"/>
      <c r="D455" s="81"/>
      <c r="E455" s="82"/>
      <c r="F455" s="82"/>
      <c r="G455" s="82"/>
      <c r="H455" s="82"/>
      <c r="I455" s="82"/>
      <c r="J455" s="82"/>
      <c r="K455" s="83"/>
      <c r="L455" s="84"/>
      <c r="M455" s="85"/>
      <c r="N455" s="38"/>
      <c r="O455" s="39"/>
      <c r="P455" s="39"/>
      <c r="Q455" s="39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5.75" customHeight="1">
      <c r="A456" s="79"/>
      <c r="B456" s="80"/>
      <c r="C456" s="80"/>
      <c r="D456" s="81"/>
      <c r="E456" s="82"/>
      <c r="F456" s="82"/>
      <c r="G456" s="82"/>
      <c r="H456" s="82"/>
      <c r="I456" s="82"/>
      <c r="J456" s="82"/>
      <c r="K456" s="83"/>
      <c r="L456" s="84"/>
      <c r="M456" s="85"/>
      <c r="N456" s="38"/>
      <c r="O456" s="39"/>
      <c r="P456" s="39"/>
      <c r="Q456" s="39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5.75" customHeight="1">
      <c r="A457" s="79"/>
      <c r="B457" s="80"/>
      <c r="C457" s="80"/>
      <c r="D457" s="81"/>
      <c r="E457" s="82"/>
      <c r="F457" s="82"/>
      <c r="G457" s="82"/>
      <c r="H457" s="82"/>
      <c r="I457" s="82"/>
      <c r="J457" s="82"/>
      <c r="K457" s="83"/>
      <c r="L457" s="84"/>
      <c r="M457" s="85"/>
      <c r="N457" s="38"/>
      <c r="O457" s="39"/>
      <c r="P457" s="39"/>
      <c r="Q457" s="39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5.75" customHeight="1">
      <c r="A458" s="79"/>
      <c r="B458" s="80"/>
      <c r="C458" s="80"/>
      <c r="D458" s="81"/>
      <c r="E458" s="82"/>
      <c r="F458" s="82"/>
      <c r="G458" s="82"/>
      <c r="H458" s="82"/>
      <c r="I458" s="82"/>
      <c r="J458" s="82"/>
      <c r="K458" s="83"/>
      <c r="L458" s="84"/>
      <c r="M458" s="85"/>
      <c r="N458" s="38"/>
      <c r="O458" s="39"/>
      <c r="P458" s="39"/>
      <c r="Q458" s="39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5.75" customHeight="1">
      <c r="A459" s="79"/>
      <c r="B459" s="80"/>
      <c r="C459" s="80"/>
      <c r="D459" s="81"/>
      <c r="E459" s="82"/>
      <c r="F459" s="82"/>
      <c r="G459" s="82"/>
      <c r="H459" s="82"/>
      <c r="I459" s="82"/>
      <c r="J459" s="82"/>
      <c r="K459" s="83"/>
      <c r="L459" s="84"/>
      <c r="M459" s="85"/>
      <c r="N459" s="38"/>
      <c r="O459" s="39"/>
      <c r="P459" s="39"/>
      <c r="Q459" s="39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5.75" customHeight="1">
      <c r="A460" s="79"/>
      <c r="B460" s="80"/>
      <c r="C460" s="80"/>
      <c r="D460" s="81"/>
      <c r="E460" s="82"/>
      <c r="F460" s="82"/>
      <c r="G460" s="82"/>
      <c r="H460" s="82"/>
      <c r="I460" s="82"/>
      <c r="J460" s="82"/>
      <c r="K460" s="83"/>
      <c r="L460" s="84"/>
      <c r="M460" s="85"/>
      <c r="N460" s="38"/>
      <c r="O460" s="39"/>
      <c r="P460" s="39"/>
      <c r="Q460" s="39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5.75" customHeight="1">
      <c r="A461" s="79"/>
      <c r="B461" s="80"/>
      <c r="C461" s="80"/>
      <c r="D461" s="81"/>
      <c r="E461" s="82"/>
      <c r="F461" s="82"/>
      <c r="G461" s="82"/>
      <c r="H461" s="82"/>
      <c r="I461" s="82"/>
      <c r="J461" s="82"/>
      <c r="K461" s="83"/>
      <c r="L461" s="84"/>
      <c r="M461" s="85"/>
      <c r="N461" s="38"/>
      <c r="O461" s="39"/>
      <c r="P461" s="39"/>
      <c r="Q461" s="39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5.75" customHeight="1">
      <c r="A462" s="79"/>
      <c r="B462" s="80"/>
      <c r="C462" s="80"/>
      <c r="D462" s="81"/>
      <c r="E462" s="82"/>
      <c r="F462" s="82"/>
      <c r="G462" s="82"/>
      <c r="H462" s="82"/>
      <c r="I462" s="82"/>
      <c r="J462" s="82"/>
      <c r="K462" s="83"/>
      <c r="L462" s="84"/>
      <c r="M462" s="85"/>
      <c r="N462" s="38"/>
      <c r="O462" s="39"/>
      <c r="P462" s="39"/>
      <c r="Q462" s="39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5.75" customHeight="1">
      <c r="A463" s="79"/>
      <c r="B463" s="80"/>
      <c r="C463" s="80"/>
      <c r="D463" s="81"/>
      <c r="E463" s="82"/>
      <c r="F463" s="82"/>
      <c r="G463" s="82"/>
      <c r="H463" s="82"/>
      <c r="I463" s="82"/>
      <c r="J463" s="82"/>
      <c r="K463" s="83"/>
      <c r="L463" s="84"/>
      <c r="M463" s="85"/>
      <c r="N463" s="38"/>
      <c r="O463" s="39"/>
      <c r="P463" s="39"/>
      <c r="Q463" s="39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5.75" customHeight="1">
      <c r="A464" s="79"/>
      <c r="B464" s="80"/>
      <c r="C464" s="80"/>
      <c r="D464" s="81"/>
      <c r="E464" s="82"/>
      <c r="F464" s="82"/>
      <c r="G464" s="82"/>
      <c r="H464" s="82"/>
      <c r="I464" s="82"/>
      <c r="J464" s="82"/>
      <c r="K464" s="83"/>
      <c r="L464" s="84"/>
      <c r="M464" s="85"/>
      <c r="N464" s="38"/>
      <c r="O464" s="39"/>
      <c r="P464" s="39"/>
      <c r="Q464" s="39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5.75" customHeight="1">
      <c r="A465" s="79"/>
      <c r="B465" s="80"/>
      <c r="C465" s="80"/>
      <c r="D465" s="81"/>
      <c r="E465" s="82"/>
      <c r="F465" s="82"/>
      <c r="G465" s="82"/>
      <c r="H465" s="82"/>
      <c r="I465" s="82"/>
      <c r="J465" s="82"/>
      <c r="K465" s="83"/>
      <c r="L465" s="84"/>
      <c r="M465" s="85"/>
      <c r="N465" s="38"/>
      <c r="O465" s="39"/>
      <c r="P465" s="39"/>
      <c r="Q465" s="39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5.75" customHeight="1">
      <c r="A466" s="79"/>
      <c r="B466" s="80"/>
      <c r="C466" s="80"/>
      <c r="D466" s="81"/>
      <c r="E466" s="82"/>
      <c r="F466" s="82"/>
      <c r="G466" s="82"/>
      <c r="H466" s="82"/>
      <c r="I466" s="82"/>
      <c r="J466" s="82"/>
      <c r="K466" s="83"/>
      <c r="L466" s="84"/>
      <c r="M466" s="85"/>
      <c r="N466" s="38"/>
      <c r="O466" s="39"/>
      <c r="P466" s="39"/>
      <c r="Q466" s="39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5.75" customHeight="1">
      <c r="A467" s="79"/>
      <c r="B467" s="80"/>
      <c r="C467" s="80"/>
      <c r="D467" s="81"/>
      <c r="E467" s="82"/>
      <c r="F467" s="82"/>
      <c r="G467" s="82"/>
      <c r="H467" s="82"/>
      <c r="I467" s="82"/>
      <c r="J467" s="82"/>
      <c r="K467" s="83"/>
      <c r="L467" s="84"/>
      <c r="M467" s="85"/>
      <c r="N467" s="38"/>
      <c r="O467" s="39"/>
      <c r="P467" s="39"/>
      <c r="Q467" s="39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5.75" customHeight="1">
      <c r="A468" s="79"/>
      <c r="B468" s="80"/>
      <c r="C468" s="80"/>
      <c r="D468" s="81"/>
      <c r="E468" s="82"/>
      <c r="F468" s="82"/>
      <c r="G468" s="82"/>
      <c r="H468" s="82"/>
      <c r="I468" s="82"/>
      <c r="J468" s="82"/>
      <c r="K468" s="83"/>
      <c r="L468" s="84"/>
      <c r="M468" s="85"/>
      <c r="N468" s="38"/>
      <c r="O468" s="39"/>
      <c r="P468" s="39"/>
      <c r="Q468" s="39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5.75" customHeight="1">
      <c r="A469" s="79"/>
      <c r="B469" s="80"/>
      <c r="C469" s="80"/>
      <c r="D469" s="81"/>
      <c r="E469" s="82"/>
      <c r="F469" s="82"/>
      <c r="G469" s="82"/>
      <c r="H469" s="82"/>
      <c r="I469" s="82"/>
      <c r="J469" s="82"/>
      <c r="K469" s="83"/>
      <c r="L469" s="84"/>
      <c r="M469" s="85"/>
      <c r="N469" s="38"/>
      <c r="O469" s="39"/>
      <c r="P469" s="39"/>
      <c r="Q469" s="39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5.75" customHeight="1">
      <c r="A470" s="79"/>
      <c r="B470" s="80"/>
      <c r="C470" s="80"/>
      <c r="D470" s="81"/>
      <c r="E470" s="82"/>
      <c r="F470" s="82"/>
      <c r="G470" s="82"/>
      <c r="H470" s="82"/>
      <c r="I470" s="82"/>
      <c r="J470" s="82"/>
      <c r="K470" s="83"/>
      <c r="L470" s="84"/>
      <c r="M470" s="85"/>
      <c r="N470" s="38"/>
      <c r="O470" s="39"/>
      <c r="P470" s="39"/>
      <c r="Q470" s="39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5.75" customHeight="1">
      <c r="A471" s="79"/>
      <c r="B471" s="80"/>
      <c r="C471" s="80"/>
      <c r="D471" s="81"/>
      <c r="E471" s="82"/>
      <c r="F471" s="82"/>
      <c r="G471" s="82"/>
      <c r="H471" s="82"/>
      <c r="I471" s="82"/>
      <c r="J471" s="82"/>
      <c r="K471" s="83"/>
      <c r="L471" s="84"/>
      <c r="M471" s="85"/>
      <c r="N471" s="38"/>
      <c r="O471" s="39"/>
      <c r="P471" s="39"/>
      <c r="Q471" s="39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5.75" customHeight="1">
      <c r="A472" s="79"/>
      <c r="B472" s="80"/>
      <c r="C472" s="80"/>
      <c r="D472" s="81"/>
      <c r="E472" s="82"/>
      <c r="F472" s="82"/>
      <c r="G472" s="82"/>
      <c r="H472" s="82"/>
      <c r="I472" s="82"/>
      <c r="J472" s="82"/>
      <c r="K472" s="83"/>
      <c r="L472" s="84"/>
      <c r="M472" s="85"/>
      <c r="N472" s="38"/>
      <c r="O472" s="39"/>
      <c r="P472" s="39"/>
      <c r="Q472" s="39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5.75" customHeight="1">
      <c r="A473" s="79"/>
      <c r="B473" s="80"/>
      <c r="C473" s="80"/>
      <c r="D473" s="81"/>
      <c r="E473" s="82"/>
      <c r="F473" s="82"/>
      <c r="G473" s="82"/>
      <c r="H473" s="82"/>
      <c r="I473" s="82"/>
      <c r="J473" s="82"/>
      <c r="K473" s="83"/>
      <c r="L473" s="84"/>
      <c r="M473" s="85"/>
      <c r="N473" s="38"/>
      <c r="O473" s="39"/>
      <c r="P473" s="39"/>
      <c r="Q473" s="39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5.75" customHeight="1">
      <c r="A474" s="79"/>
      <c r="B474" s="80"/>
      <c r="C474" s="80"/>
      <c r="D474" s="81"/>
      <c r="E474" s="82"/>
      <c r="F474" s="82"/>
      <c r="G474" s="82"/>
      <c r="H474" s="82"/>
      <c r="I474" s="82"/>
      <c r="J474" s="82"/>
      <c r="K474" s="83"/>
      <c r="L474" s="84"/>
      <c r="M474" s="85"/>
      <c r="N474" s="38"/>
      <c r="O474" s="39"/>
      <c r="P474" s="39"/>
      <c r="Q474" s="39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5.75" customHeight="1">
      <c r="A475" s="79"/>
      <c r="B475" s="80"/>
      <c r="C475" s="80"/>
      <c r="D475" s="81"/>
      <c r="E475" s="82"/>
      <c r="F475" s="82"/>
      <c r="G475" s="82"/>
      <c r="H475" s="82"/>
      <c r="I475" s="82"/>
      <c r="J475" s="82"/>
      <c r="K475" s="83"/>
      <c r="L475" s="84"/>
      <c r="M475" s="85"/>
      <c r="N475" s="38"/>
      <c r="O475" s="39"/>
      <c r="P475" s="39"/>
      <c r="Q475" s="39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5.75" customHeight="1">
      <c r="A476" s="79"/>
      <c r="B476" s="80"/>
      <c r="C476" s="80"/>
      <c r="D476" s="81"/>
      <c r="E476" s="82"/>
      <c r="F476" s="82"/>
      <c r="G476" s="82"/>
      <c r="H476" s="82"/>
      <c r="I476" s="82"/>
      <c r="J476" s="82"/>
      <c r="K476" s="83"/>
      <c r="L476" s="84"/>
      <c r="M476" s="85"/>
      <c r="N476" s="38"/>
      <c r="O476" s="39"/>
      <c r="P476" s="39"/>
      <c r="Q476" s="39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5.75" customHeight="1">
      <c r="A477" s="79"/>
      <c r="B477" s="80"/>
      <c r="C477" s="80"/>
      <c r="D477" s="81"/>
      <c r="E477" s="82"/>
      <c r="F477" s="82"/>
      <c r="G477" s="82"/>
      <c r="H477" s="82"/>
      <c r="I477" s="82"/>
      <c r="J477" s="82"/>
      <c r="K477" s="83"/>
      <c r="L477" s="84"/>
      <c r="M477" s="85"/>
      <c r="N477" s="38"/>
      <c r="O477" s="39"/>
      <c r="P477" s="39"/>
      <c r="Q477" s="39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5.75" customHeight="1">
      <c r="A478" s="79"/>
      <c r="B478" s="80"/>
      <c r="C478" s="80"/>
      <c r="D478" s="81"/>
      <c r="E478" s="82"/>
      <c r="F478" s="82"/>
      <c r="G478" s="82"/>
      <c r="H478" s="82"/>
      <c r="I478" s="82"/>
      <c r="J478" s="82"/>
      <c r="K478" s="83"/>
      <c r="L478" s="84"/>
      <c r="M478" s="85"/>
      <c r="N478" s="38"/>
      <c r="O478" s="39"/>
      <c r="P478" s="39"/>
      <c r="Q478" s="39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5.75" customHeight="1">
      <c r="A479" s="79"/>
      <c r="B479" s="80"/>
      <c r="C479" s="80"/>
      <c r="D479" s="81"/>
      <c r="E479" s="82"/>
      <c r="F479" s="82"/>
      <c r="G479" s="82"/>
      <c r="H479" s="82"/>
      <c r="I479" s="82"/>
      <c r="J479" s="82"/>
      <c r="K479" s="83"/>
      <c r="L479" s="84"/>
      <c r="M479" s="85"/>
      <c r="N479" s="38"/>
      <c r="O479" s="39"/>
      <c r="P479" s="39"/>
      <c r="Q479" s="39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5.75" customHeight="1">
      <c r="A480" s="79"/>
      <c r="B480" s="80"/>
      <c r="C480" s="80"/>
      <c r="D480" s="81"/>
      <c r="E480" s="82"/>
      <c r="F480" s="82"/>
      <c r="G480" s="82"/>
      <c r="H480" s="82"/>
      <c r="I480" s="82"/>
      <c r="J480" s="82"/>
      <c r="K480" s="83"/>
      <c r="L480" s="84"/>
      <c r="M480" s="85"/>
      <c r="N480" s="38"/>
      <c r="O480" s="39"/>
      <c r="P480" s="39"/>
      <c r="Q480" s="39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5.75" customHeight="1">
      <c r="A481" s="79"/>
      <c r="B481" s="80"/>
      <c r="C481" s="80"/>
      <c r="D481" s="81"/>
      <c r="E481" s="82"/>
      <c r="F481" s="82"/>
      <c r="G481" s="82"/>
      <c r="H481" s="82"/>
      <c r="I481" s="82"/>
      <c r="J481" s="82"/>
      <c r="K481" s="83"/>
      <c r="L481" s="84"/>
      <c r="M481" s="85"/>
      <c r="N481" s="38"/>
      <c r="O481" s="39"/>
      <c r="P481" s="39"/>
      <c r="Q481" s="39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5.75" customHeight="1">
      <c r="A482" s="79"/>
      <c r="B482" s="80"/>
      <c r="C482" s="80"/>
      <c r="D482" s="81"/>
      <c r="E482" s="82"/>
      <c r="F482" s="82"/>
      <c r="G482" s="82"/>
      <c r="H482" s="82"/>
      <c r="I482" s="82"/>
      <c r="J482" s="82"/>
      <c r="K482" s="83"/>
      <c r="L482" s="84"/>
      <c r="M482" s="85"/>
      <c r="N482" s="38"/>
      <c r="O482" s="39"/>
      <c r="P482" s="39"/>
      <c r="Q482" s="39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5.75" customHeight="1">
      <c r="A483" s="79"/>
      <c r="B483" s="80"/>
      <c r="C483" s="80"/>
      <c r="D483" s="81"/>
      <c r="E483" s="82"/>
      <c r="F483" s="82"/>
      <c r="G483" s="82"/>
      <c r="H483" s="82"/>
      <c r="I483" s="82"/>
      <c r="J483" s="82"/>
      <c r="K483" s="83"/>
      <c r="L483" s="84"/>
      <c r="M483" s="85"/>
      <c r="N483" s="38"/>
      <c r="O483" s="39"/>
      <c r="P483" s="39"/>
      <c r="Q483" s="39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5.75" customHeight="1">
      <c r="A484" s="79"/>
      <c r="B484" s="80"/>
      <c r="C484" s="80"/>
      <c r="D484" s="81"/>
      <c r="E484" s="82"/>
      <c r="F484" s="82"/>
      <c r="G484" s="82"/>
      <c r="H484" s="82"/>
      <c r="I484" s="82"/>
      <c r="J484" s="82"/>
      <c r="K484" s="83"/>
      <c r="L484" s="84"/>
      <c r="M484" s="85"/>
      <c r="N484" s="38"/>
      <c r="O484" s="39"/>
      <c r="P484" s="39"/>
      <c r="Q484" s="39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5.75" customHeight="1">
      <c r="A485" s="79"/>
      <c r="B485" s="80"/>
      <c r="C485" s="80"/>
      <c r="D485" s="81"/>
      <c r="E485" s="82"/>
      <c r="F485" s="82"/>
      <c r="G485" s="82"/>
      <c r="H485" s="82"/>
      <c r="I485" s="82"/>
      <c r="J485" s="82"/>
      <c r="K485" s="83"/>
      <c r="L485" s="84"/>
      <c r="M485" s="85"/>
      <c r="N485" s="38"/>
      <c r="O485" s="39"/>
      <c r="P485" s="39"/>
      <c r="Q485" s="39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5.75" customHeight="1">
      <c r="A486" s="79"/>
      <c r="B486" s="80"/>
      <c r="C486" s="80"/>
      <c r="D486" s="81"/>
      <c r="E486" s="82"/>
      <c r="F486" s="82"/>
      <c r="G486" s="82"/>
      <c r="H486" s="82"/>
      <c r="I486" s="82"/>
      <c r="J486" s="82"/>
      <c r="K486" s="83"/>
      <c r="L486" s="84"/>
      <c r="M486" s="85"/>
      <c r="N486" s="38"/>
      <c r="O486" s="39"/>
      <c r="P486" s="39"/>
      <c r="Q486" s="39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5.75" customHeight="1">
      <c r="A487" s="79"/>
      <c r="B487" s="80"/>
      <c r="C487" s="80"/>
      <c r="D487" s="81"/>
      <c r="E487" s="82"/>
      <c r="F487" s="82"/>
      <c r="G487" s="82"/>
      <c r="H487" s="82"/>
      <c r="I487" s="82"/>
      <c r="J487" s="82"/>
      <c r="K487" s="83"/>
      <c r="L487" s="84"/>
      <c r="M487" s="85"/>
      <c r="N487" s="38"/>
      <c r="O487" s="39"/>
      <c r="P487" s="39"/>
      <c r="Q487" s="39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5.75" customHeight="1">
      <c r="A488" s="79"/>
      <c r="B488" s="80"/>
      <c r="C488" s="80"/>
      <c r="D488" s="81"/>
      <c r="E488" s="82"/>
      <c r="F488" s="82"/>
      <c r="G488" s="82"/>
      <c r="H488" s="82"/>
      <c r="I488" s="82"/>
      <c r="J488" s="82"/>
      <c r="K488" s="83"/>
      <c r="L488" s="84"/>
      <c r="M488" s="85"/>
      <c r="N488" s="38"/>
      <c r="O488" s="39"/>
      <c r="P488" s="39"/>
      <c r="Q488" s="39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5.75" customHeight="1">
      <c r="A489" s="79"/>
      <c r="B489" s="80"/>
      <c r="C489" s="80"/>
      <c r="D489" s="81"/>
      <c r="E489" s="82"/>
      <c r="F489" s="82"/>
      <c r="G489" s="82"/>
      <c r="H489" s="82"/>
      <c r="I489" s="82"/>
      <c r="J489" s="82"/>
      <c r="K489" s="83"/>
      <c r="L489" s="84"/>
      <c r="M489" s="85"/>
      <c r="N489" s="38"/>
      <c r="O489" s="39"/>
      <c r="P489" s="39"/>
      <c r="Q489" s="39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5.75" customHeight="1">
      <c r="A490" s="79"/>
      <c r="B490" s="80"/>
      <c r="C490" s="80"/>
      <c r="D490" s="81"/>
      <c r="E490" s="82"/>
      <c r="F490" s="82"/>
      <c r="G490" s="82"/>
      <c r="H490" s="82"/>
      <c r="I490" s="82"/>
      <c r="J490" s="82"/>
      <c r="K490" s="83"/>
      <c r="L490" s="84"/>
      <c r="M490" s="85"/>
      <c r="N490" s="38"/>
      <c r="O490" s="39"/>
      <c r="P490" s="39"/>
      <c r="Q490" s="39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5.75" customHeight="1">
      <c r="A491" s="79"/>
      <c r="B491" s="80"/>
      <c r="C491" s="80"/>
      <c r="D491" s="81"/>
      <c r="E491" s="82"/>
      <c r="F491" s="82"/>
      <c r="G491" s="82"/>
      <c r="H491" s="82"/>
      <c r="I491" s="82"/>
      <c r="J491" s="82"/>
      <c r="K491" s="83"/>
      <c r="L491" s="84"/>
      <c r="M491" s="85"/>
      <c r="N491" s="38"/>
      <c r="O491" s="39"/>
      <c r="P491" s="39"/>
      <c r="Q491" s="39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5.75" customHeight="1">
      <c r="A492" s="79"/>
      <c r="B492" s="80"/>
      <c r="C492" s="80"/>
      <c r="D492" s="81"/>
      <c r="E492" s="82"/>
      <c r="F492" s="82"/>
      <c r="G492" s="82"/>
      <c r="H492" s="82"/>
      <c r="I492" s="82"/>
      <c r="J492" s="82"/>
      <c r="K492" s="83"/>
      <c r="L492" s="84"/>
      <c r="M492" s="85"/>
      <c r="N492" s="38"/>
      <c r="O492" s="39"/>
      <c r="P492" s="39"/>
      <c r="Q492" s="39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5.75" customHeight="1">
      <c r="A493" s="79"/>
      <c r="B493" s="80"/>
      <c r="C493" s="80"/>
      <c r="D493" s="81"/>
      <c r="E493" s="82"/>
      <c r="F493" s="82"/>
      <c r="G493" s="82"/>
      <c r="H493" s="82"/>
      <c r="I493" s="82"/>
      <c r="J493" s="82"/>
      <c r="K493" s="83"/>
      <c r="L493" s="84"/>
      <c r="M493" s="85"/>
      <c r="N493" s="38"/>
      <c r="O493" s="39"/>
      <c r="P493" s="39"/>
      <c r="Q493" s="39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5.75" customHeight="1">
      <c r="A494" s="79"/>
      <c r="B494" s="80"/>
      <c r="C494" s="80"/>
      <c r="D494" s="81"/>
      <c r="E494" s="82"/>
      <c r="F494" s="82"/>
      <c r="G494" s="82"/>
      <c r="H494" s="82"/>
      <c r="I494" s="82"/>
      <c r="J494" s="82"/>
      <c r="K494" s="83"/>
      <c r="L494" s="84"/>
      <c r="M494" s="85"/>
      <c r="N494" s="38"/>
      <c r="O494" s="39"/>
      <c r="P494" s="39"/>
      <c r="Q494" s="39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5.75" customHeight="1">
      <c r="A495" s="79"/>
      <c r="B495" s="80"/>
      <c r="C495" s="80"/>
      <c r="D495" s="81"/>
      <c r="E495" s="82"/>
      <c r="F495" s="82"/>
      <c r="G495" s="82"/>
      <c r="H495" s="82"/>
      <c r="I495" s="82"/>
      <c r="J495" s="82"/>
      <c r="K495" s="83"/>
      <c r="L495" s="84"/>
      <c r="M495" s="85"/>
      <c r="N495" s="38"/>
      <c r="O495" s="39"/>
      <c r="P495" s="39"/>
      <c r="Q495" s="39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5.75" customHeight="1">
      <c r="A496" s="79"/>
      <c r="B496" s="80"/>
      <c r="C496" s="80"/>
      <c r="D496" s="81"/>
      <c r="E496" s="82"/>
      <c r="F496" s="82"/>
      <c r="G496" s="82"/>
      <c r="H496" s="82"/>
      <c r="I496" s="82"/>
      <c r="J496" s="82"/>
      <c r="K496" s="83"/>
      <c r="L496" s="84"/>
      <c r="M496" s="85"/>
      <c r="N496" s="38"/>
      <c r="O496" s="39"/>
      <c r="P496" s="39"/>
      <c r="Q496" s="39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5.75" customHeight="1">
      <c r="A497" s="79"/>
      <c r="B497" s="80"/>
      <c r="C497" s="80"/>
      <c r="D497" s="81"/>
      <c r="E497" s="82"/>
      <c r="F497" s="82"/>
      <c r="G497" s="82"/>
      <c r="H497" s="82"/>
      <c r="I497" s="82"/>
      <c r="J497" s="82"/>
      <c r="K497" s="83"/>
      <c r="L497" s="84"/>
      <c r="M497" s="85"/>
      <c r="N497" s="38"/>
      <c r="O497" s="39"/>
      <c r="P497" s="39"/>
      <c r="Q497" s="39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5.75" customHeight="1">
      <c r="A498" s="79"/>
      <c r="B498" s="80"/>
      <c r="C498" s="80"/>
      <c r="D498" s="81"/>
      <c r="E498" s="82"/>
      <c r="F498" s="82"/>
      <c r="G498" s="82"/>
      <c r="H498" s="82"/>
      <c r="I498" s="82"/>
      <c r="J498" s="82"/>
      <c r="K498" s="83"/>
      <c r="L498" s="84"/>
      <c r="M498" s="85"/>
      <c r="N498" s="38"/>
      <c r="O498" s="39"/>
      <c r="P498" s="39"/>
      <c r="Q498" s="39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5.75" customHeight="1">
      <c r="A499" s="79"/>
      <c r="B499" s="80"/>
      <c r="C499" s="80"/>
      <c r="D499" s="81"/>
      <c r="E499" s="82"/>
      <c r="F499" s="82"/>
      <c r="G499" s="82"/>
      <c r="H499" s="82"/>
      <c r="I499" s="82"/>
      <c r="J499" s="82"/>
      <c r="K499" s="83"/>
      <c r="L499" s="84"/>
      <c r="M499" s="85"/>
      <c r="N499" s="38"/>
      <c r="O499" s="39"/>
      <c r="P499" s="39"/>
      <c r="Q499" s="39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5.75" customHeight="1">
      <c r="A500" s="79"/>
      <c r="B500" s="80"/>
      <c r="C500" s="80"/>
      <c r="D500" s="81"/>
      <c r="E500" s="82"/>
      <c r="F500" s="82"/>
      <c r="G500" s="82"/>
      <c r="H500" s="82"/>
      <c r="I500" s="82"/>
      <c r="J500" s="82"/>
      <c r="K500" s="83"/>
      <c r="L500" s="84"/>
      <c r="M500" s="85"/>
      <c r="N500" s="38"/>
      <c r="O500" s="39"/>
      <c r="P500" s="39"/>
      <c r="Q500" s="39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5.75" customHeight="1">
      <c r="A501" s="79"/>
      <c r="B501" s="80"/>
      <c r="C501" s="80"/>
      <c r="D501" s="81"/>
      <c r="E501" s="82"/>
      <c r="F501" s="82"/>
      <c r="G501" s="82"/>
      <c r="H501" s="82"/>
      <c r="I501" s="82"/>
      <c r="J501" s="82"/>
      <c r="K501" s="83"/>
      <c r="L501" s="84"/>
      <c r="M501" s="85"/>
      <c r="N501" s="38"/>
      <c r="O501" s="39"/>
      <c r="P501" s="39"/>
      <c r="Q501" s="39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5.75" customHeight="1">
      <c r="A502" s="79"/>
      <c r="B502" s="80"/>
      <c r="C502" s="80"/>
      <c r="D502" s="81"/>
      <c r="E502" s="82"/>
      <c r="F502" s="82"/>
      <c r="G502" s="82"/>
      <c r="H502" s="82"/>
      <c r="I502" s="82"/>
      <c r="J502" s="82"/>
      <c r="K502" s="83"/>
      <c r="L502" s="84"/>
      <c r="M502" s="85"/>
      <c r="N502" s="38"/>
      <c r="O502" s="39"/>
      <c r="P502" s="39"/>
      <c r="Q502" s="39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5.75" customHeight="1">
      <c r="A503" s="79"/>
      <c r="B503" s="80"/>
      <c r="C503" s="80"/>
      <c r="D503" s="81"/>
      <c r="E503" s="82"/>
      <c r="F503" s="82"/>
      <c r="G503" s="82"/>
      <c r="H503" s="82"/>
      <c r="I503" s="82"/>
      <c r="J503" s="82"/>
      <c r="K503" s="83"/>
      <c r="L503" s="84"/>
      <c r="M503" s="85"/>
      <c r="N503" s="38"/>
      <c r="O503" s="39"/>
      <c r="P503" s="39"/>
      <c r="Q503" s="39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5.75" customHeight="1">
      <c r="A504" s="79"/>
      <c r="B504" s="80"/>
      <c r="C504" s="80"/>
      <c r="D504" s="81"/>
      <c r="E504" s="82"/>
      <c r="F504" s="82"/>
      <c r="G504" s="82"/>
      <c r="H504" s="82"/>
      <c r="I504" s="82"/>
      <c r="J504" s="82"/>
      <c r="K504" s="83"/>
      <c r="L504" s="84"/>
      <c r="M504" s="85"/>
      <c r="N504" s="38"/>
      <c r="O504" s="39"/>
      <c r="P504" s="39"/>
      <c r="Q504" s="39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5.75" customHeight="1">
      <c r="A505" s="79"/>
      <c r="B505" s="80"/>
      <c r="C505" s="80"/>
      <c r="D505" s="81"/>
      <c r="E505" s="82"/>
      <c r="F505" s="82"/>
      <c r="G505" s="82"/>
      <c r="H505" s="82"/>
      <c r="I505" s="82"/>
      <c r="J505" s="82"/>
      <c r="K505" s="83"/>
      <c r="L505" s="84"/>
      <c r="M505" s="85"/>
      <c r="N505" s="38"/>
      <c r="O505" s="39"/>
      <c r="P505" s="39"/>
      <c r="Q505" s="39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5.75" customHeight="1">
      <c r="A506" s="79"/>
      <c r="B506" s="80"/>
      <c r="C506" s="80"/>
      <c r="D506" s="81"/>
      <c r="E506" s="82"/>
      <c r="F506" s="82"/>
      <c r="G506" s="82"/>
      <c r="H506" s="82"/>
      <c r="I506" s="82"/>
      <c r="J506" s="82"/>
      <c r="K506" s="83"/>
      <c r="L506" s="84"/>
      <c r="M506" s="85"/>
      <c r="N506" s="38"/>
      <c r="O506" s="39"/>
      <c r="P506" s="39"/>
      <c r="Q506" s="39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5.75" customHeight="1">
      <c r="A507" s="79"/>
      <c r="B507" s="80"/>
      <c r="C507" s="80"/>
      <c r="D507" s="81"/>
      <c r="E507" s="82"/>
      <c r="F507" s="82"/>
      <c r="G507" s="82"/>
      <c r="H507" s="82"/>
      <c r="I507" s="82"/>
      <c r="J507" s="82"/>
      <c r="K507" s="83"/>
      <c r="L507" s="84"/>
      <c r="M507" s="85"/>
      <c r="N507" s="38"/>
      <c r="O507" s="39"/>
      <c r="P507" s="39"/>
      <c r="Q507" s="39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5.75" customHeight="1">
      <c r="A508" s="79"/>
      <c r="B508" s="80"/>
      <c r="C508" s="80"/>
      <c r="D508" s="81"/>
      <c r="E508" s="82"/>
      <c r="F508" s="82"/>
      <c r="G508" s="82"/>
      <c r="H508" s="82"/>
      <c r="I508" s="82"/>
      <c r="J508" s="82"/>
      <c r="K508" s="83"/>
      <c r="L508" s="84"/>
      <c r="M508" s="85"/>
      <c r="N508" s="38"/>
      <c r="O508" s="39"/>
      <c r="P508" s="39"/>
      <c r="Q508" s="39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5.75" customHeight="1">
      <c r="A509" s="79"/>
      <c r="B509" s="80"/>
      <c r="C509" s="80"/>
      <c r="D509" s="81"/>
      <c r="E509" s="82"/>
      <c r="F509" s="82"/>
      <c r="G509" s="82"/>
      <c r="H509" s="82"/>
      <c r="I509" s="82"/>
      <c r="J509" s="82"/>
      <c r="K509" s="83"/>
      <c r="L509" s="84"/>
      <c r="M509" s="85"/>
      <c r="N509" s="38"/>
      <c r="O509" s="39"/>
      <c r="P509" s="39"/>
      <c r="Q509" s="39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5.75" customHeight="1">
      <c r="A510" s="79"/>
      <c r="B510" s="80"/>
      <c r="C510" s="80"/>
      <c r="D510" s="81"/>
      <c r="E510" s="82"/>
      <c r="F510" s="82"/>
      <c r="G510" s="82"/>
      <c r="H510" s="82"/>
      <c r="I510" s="82"/>
      <c r="J510" s="82"/>
      <c r="K510" s="83"/>
      <c r="L510" s="84"/>
      <c r="M510" s="85"/>
      <c r="N510" s="38"/>
      <c r="O510" s="39"/>
      <c r="P510" s="39"/>
      <c r="Q510" s="39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5.75" customHeight="1">
      <c r="A511" s="79"/>
      <c r="B511" s="80"/>
      <c r="C511" s="80"/>
      <c r="D511" s="81"/>
      <c r="E511" s="82"/>
      <c r="F511" s="82"/>
      <c r="G511" s="82"/>
      <c r="H511" s="82"/>
      <c r="I511" s="82"/>
      <c r="J511" s="82"/>
      <c r="K511" s="83"/>
      <c r="L511" s="84"/>
      <c r="M511" s="85"/>
      <c r="N511" s="38"/>
      <c r="O511" s="39"/>
      <c r="P511" s="39"/>
      <c r="Q511" s="39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5.75" customHeight="1">
      <c r="A512" s="79"/>
      <c r="B512" s="80"/>
      <c r="C512" s="80"/>
      <c r="D512" s="81"/>
      <c r="E512" s="82"/>
      <c r="F512" s="82"/>
      <c r="G512" s="82"/>
      <c r="H512" s="82"/>
      <c r="I512" s="82"/>
      <c r="J512" s="82"/>
      <c r="K512" s="83"/>
      <c r="L512" s="84"/>
      <c r="M512" s="85"/>
      <c r="N512" s="38"/>
      <c r="O512" s="39"/>
      <c r="P512" s="39"/>
      <c r="Q512" s="39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5.75" customHeight="1">
      <c r="A513" s="79"/>
      <c r="B513" s="80"/>
      <c r="C513" s="80"/>
      <c r="D513" s="81"/>
      <c r="E513" s="82"/>
      <c r="F513" s="82"/>
      <c r="G513" s="82"/>
      <c r="H513" s="82"/>
      <c r="I513" s="82"/>
      <c r="J513" s="82"/>
      <c r="K513" s="83"/>
      <c r="L513" s="84"/>
      <c r="M513" s="85"/>
      <c r="N513" s="38"/>
      <c r="O513" s="39"/>
      <c r="P513" s="39"/>
      <c r="Q513" s="39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5.75" customHeight="1">
      <c r="A514" s="79"/>
      <c r="B514" s="80"/>
      <c r="C514" s="80"/>
      <c r="D514" s="81"/>
      <c r="E514" s="82"/>
      <c r="F514" s="82"/>
      <c r="G514" s="82"/>
      <c r="H514" s="82"/>
      <c r="I514" s="82"/>
      <c r="J514" s="82"/>
      <c r="K514" s="83"/>
      <c r="L514" s="84"/>
      <c r="M514" s="85"/>
      <c r="N514" s="38"/>
      <c r="O514" s="39"/>
      <c r="P514" s="39"/>
      <c r="Q514" s="39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5.75" customHeight="1">
      <c r="A515" s="79"/>
      <c r="B515" s="80"/>
      <c r="C515" s="80"/>
      <c r="D515" s="81"/>
      <c r="E515" s="82"/>
      <c r="F515" s="82"/>
      <c r="G515" s="82"/>
      <c r="H515" s="82"/>
      <c r="I515" s="82"/>
      <c r="J515" s="82"/>
      <c r="K515" s="83"/>
      <c r="L515" s="84"/>
      <c r="M515" s="85"/>
      <c r="N515" s="38"/>
      <c r="O515" s="39"/>
      <c r="P515" s="39"/>
      <c r="Q515" s="39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5.75" customHeight="1">
      <c r="A516" s="79"/>
      <c r="B516" s="80"/>
      <c r="C516" s="80"/>
      <c r="D516" s="81"/>
      <c r="E516" s="82"/>
      <c r="F516" s="82"/>
      <c r="G516" s="82"/>
      <c r="H516" s="82"/>
      <c r="I516" s="82"/>
      <c r="J516" s="82"/>
      <c r="K516" s="83"/>
      <c r="L516" s="84"/>
      <c r="M516" s="85"/>
      <c r="N516" s="38"/>
      <c r="O516" s="39"/>
      <c r="P516" s="39"/>
      <c r="Q516" s="39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5.75" customHeight="1">
      <c r="A517" s="79"/>
      <c r="B517" s="80"/>
      <c r="C517" s="80"/>
      <c r="D517" s="81"/>
      <c r="E517" s="82"/>
      <c r="F517" s="82"/>
      <c r="G517" s="82"/>
      <c r="H517" s="82"/>
      <c r="I517" s="82"/>
      <c r="J517" s="82"/>
      <c r="K517" s="83"/>
      <c r="L517" s="84"/>
      <c r="M517" s="85"/>
      <c r="N517" s="38"/>
      <c r="O517" s="39"/>
      <c r="P517" s="39"/>
      <c r="Q517" s="39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5.75" customHeight="1">
      <c r="A518" s="79"/>
      <c r="B518" s="80"/>
      <c r="C518" s="80"/>
      <c r="D518" s="81"/>
      <c r="E518" s="82"/>
      <c r="F518" s="82"/>
      <c r="G518" s="82"/>
      <c r="H518" s="82"/>
      <c r="I518" s="82"/>
      <c r="J518" s="82"/>
      <c r="K518" s="83"/>
      <c r="L518" s="84"/>
      <c r="M518" s="85"/>
      <c r="N518" s="38"/>
      <c r="O518" s="39"/>
      <c r="P518" s="39"/>
      <c r="Q518" s="39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5.75" customHeight="1">
      <c r="A519" s="79"/>
      <c r="B519" s="80"/>
      <c r="C519" s="80"/>
      <c r="D519" s="81"/>
      <c r="E519" s="82"/>
      <c r="F519" s="82"/>
      <c r="G519" s="82"/>
      <c r="H519" s="82"/>
      <c r="I519" s="82"/>
      <c r="J519" s="82"/>
      <c r="K519" s="83"/>
      <c r="L519" s="84"/>
      <c r="M519" s="85"/>
      <c r="N519" s="38"/>
      <c r="O519" s="39"/>
      <c r="P519" s="39"/>
      <c r="Q519" s="39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5.75" customHeight="1">
      <c r="A520" s="79"/>
      <c r="B520" s="80"/>
      <c r="C520" s="80"/>
      <c r="D520" s="81"/>
      <c r="E520" s="82"/>
      <c r="F520" s="82"/>
      <c r="G520" s="82"/>
      <c r="H520" s="82"/>
      <c r="I520" s="82"/>
      <c r="J520" s="82"/>
      <c r="K520" s="83"/>
      <c r="L520" s="84"/>
      <c r="M520" s="85"/>
      <c r="N520" s="38"/>
      <c r="O520" s="39"/>
      <c r="P520" s="39"/>
      <c r="Q520" s="39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5.75" customHeight="1">
      <c r="A521" s="79"/>
      <c r="B521" s="80"/>
      <c r="C521" s="80"/>
      <c r="D521" s="81"/>
      <c r="E521" s="82"/>
      <c r="F521" s="82"/>
      <c r="G521" s="82"/>
      <c r="H521" s="82"/>
      <c r="I521" s="82"/>
      <c r="J521" s="82"/>
      <c r="K521" s="83"/>
      <c r="L521" s="84"/>
      <c r="M521" s="85"/>
      <c r="N521" s="38"/>
      <c r="O521" s="39"/>
      <c r="P521" s="39"/>
      <c r="Q521" s="39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5.75" customHeight="1">
      <c r="A522" s="79"/>
      <c r="B522" s="80"/>
      <c r="C522" s="80"/>
      <c r="D522" s="81"/>
      <c r="E522" s="82"/>
      <c r="F522" s="82"/>
      <c r="G522" s="82"/>
      <c r="H522" s="82"/>
      <c r="I522" s="82"/>
      <c r="J522" s="82"/>
      <c r="K522" s="83"/>
      <c r="L522" s="84"/>
      <c r="M522" s="85"/>
      <c r="N522" s="38"/>
      <c r="O522" s="39"/>
      <c r="P522" s="39"/>
      <c r="Q522" s="39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5.75" customHeight="1">
      <c r="A523" s="79"/>
      <c r="B523" s="80"/>
      <c r="C523" s="80"/>
      <c r="D523" s="81"/>
      <c r="E523" s="82"/>
      <c r="F523" s="82"/>
      <c r="G523" s="82"/>
      <c r="H523" s="82"/>
      <c r="I523" s="82"/>
      <c r="J523" s="82"/>
      <c r="K523" s="83"/>
      <c r="L523" s="84"/>
      <c r="M523" s="85"/>
      <c r="N523" s="38"/>
      <c r="O523" s="39"/>
      <c r="P523" s="39"/>
      <c r="Q523" s="39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5.75" customHeight="1">
      <c r="A524" s="79"/>
      <c r="B524" s="80"/>
      <c r="C524" s="80"/>
      <c r="D524" s="81"/>
      <c r="E524" s="82"/>
      <c r="F524" s="82"/>
      <c r="G524" s="82"/>
      <c r="H524" s="82"/>
      <c r="I524" s="82"/>
      <c r="J524" s="82"/>
      <c r="K524" s="83"/>
      <c r="L524" s="84"/>
      <c r="M524" s="85"/>
      <c r="N524" s="38"/>
      <c r="O524" s="39"/>
      <c r="P524" s="39"/>
      <c r="Q524" s="39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5.75" customHeight="1">
      <c r="A525" s="79"/>
      <c r="B525" s="80"/>
      <c r="C525" s="80"/>
      <c r="D525" s="81"/>
      <c r="E525" s="82"/>
      <c r="F525" s="82"/>
      <c r="G525" s="82"/>
      <c r="H525" s="82"/>
      <c r="I525" s="82"/>
      <c r="J525" s="82"/>
      <c r="K525" s="83"/>
      <c r="L525" s="84"/>
      <c r="M525" s="85"/>
      <c r="N525" s="38"/>
      <c r="O525" s="39"/>
      <c r="P525" s="39"/>
      <c r="Q525" s="39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5.75" customHeight="1">
      <c r="A526" s="79"/>
      <c r="B526" s="80"/>
      <c r="C526" s="80"/>
      <c r="D526" s="81"/>
      <c r="E526" s="82"/>
      <c r="F526" s="82"/>
      <c r="G526" s="82"/>
      <c r="H526" s="82"/>
      <c r="I526" s="82"/>
      <c r="J526" s="82"/>
      <c r="K526" s="83"/>
      <c r="L526" s="84"/>
      <c r="M526" s="85"/>
      <c r="N526" s="38"/>
      <c r="O526" s="39"/>
      <c r="P526" s="39"/>
      <c r="Q526" s="39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5.75" customHeight="1">
      <c r="A527" s="79"/>
      <c r="B527" s="80"/>
      <c r="C527" s="80"/>
      <c r="D527" s="81"/>
      <c r="E527" s="82"/>
      <c r="F527" s="82"/>
      <c r="G527" s="82"/>
      <c r="H527" s="82"/>
      <c r="I527" s="82"/>
      <c r="J527" s="82"/>
      <c r="K527" s="83"/>
      <c r="L527" s="84"/>
      <c r="M527" s="85"/>
      <c r="N527" s="38"/>
      <c r="O527" s="39"/>
      <c r="P527" s="39"/>
      <c r="Q527" s="39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5.75" customHeight="1">
      <c r="A528" s="79"/>
      <c r="B528" s="80"/>
      <c r="C528" s="80"/>
      <c r="D528" s="81"/>
      <c r="E528" s="82"/>
      <c r="F528" s="82"/>
      <c r="G528" s="82"/>
      <c r="H528" s="82"/>
      <c r="I528" s="82"/>
      <c r="J528" s="82"/>
      <c r="K528" s="83"/>
      <c r="L528" s="84"/>
      <c r="M528" s="85"/>
      <c r="N528" s="38"/>
      <c r="O528" s="39"/>
      <c r="P528" s="39"/>
      <c r="Q528" s="39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5.75" customHeight="1">
      <c r="A529" s="79"/>
      <c r="B529" s="80"/>
      <c r="C529" s="80"/>
      <c r="D529" s="81"/>
      <c r="E529" s="82"/>
      <c r="F529" s="82"/>
      <c r="G529" s="82"/>
      <c r="H529" s="82"/>
      <c r="I529" s="82"/>
      <c r="J529" s="82"/>
      <c r="K529" s="83"/>
      <c r="L529" s="84"/>
      <c r="M529" s="85"/>
      <c r="N529" s="38"/>
      <c r="O529" s="39"/>
      <c r="P529" s="39"/>
      <c r="Q529" s="39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5.75" customHeight="1">
      <c r="A530" s="79"/>
      <c r="B530" s="80"/>
      <c r="C530" s="80"/>
      <c r="D530" s="81"/>
      <c r="E530" s="82"/>
      <c r="F530" s="82"/>
      <c r="G530" s="82"/>
      <c r="H530" s="82"/>
      <c r="I530" s="82"/>
      <c r="J530" s="82"/>
      <c r="K530" s="83"/>
      <c r="L530" s="84"/>
      <c r="M530" s="85"/>
      <c r="N530" s="38"/>
      <c r="O530" s="39"/>
      <c r="P530" s="39"/>
      <c r="Q530" s="39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5.75" customHeight="1">
      <c r="A531" s="79"/>
      <c r="B531" s="80"/>
      <c r="C531" s="80"/>
      <c r="D531" s="81"/>
      <c r="E531" s="82"/>
      <c r="F531" s="82"/>
      <c r="G531" s="82"/>
      <c r="H531" s="82"/>
      <c r="I531" s="82"/>
      <c r="J531" s="82"/>
      <c r="K531" s="83"/>
      <c r="L531" s="84"/>
      <c r="M531" s="85"/>
      <c r="N531" s="38"/>
      <c r="O531" s="39"/>
      <c r="P531" s="39"/>
      <c r="Q531" s="39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5.75" customHeight="1">
      <c r="A532" s="79"/>
      <c r="B532" s="80"/>
      <c r="C532" s="80"/>
      <c r="D532" s="81"/>
      <c r="E532" s="82"/>
      <c r="F532" s="82"/>
      <c r="G532" s="82"/>
      <c r="H532" s="82"/>
      <c r="I532" s="82"/>
      <c r="J532" s="82"/>
      <c r="K532" s="83"/>
      <c r="L532" s="84"/>
      <c r="M532" s="85"/>
      <c r="N532" s="38"/>
      <c r="O532" s="39"/>
      <c r="P532" s="39"/>
      <c r="Q532" s="39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5.75" customHeight="1">
      <c r="A533" s="79"/>
      <c r="B533" s="80"/>
      <c r="C533" s="80"/>
      <c r="D533" s="81"/>
      <c r="E533" s="82"/>
      <c r="F533" s="82"/>
      <c r="G533" s="82"/>
      <c r="H533" s="82"/>
      <c r="I533" s="82"/>
      <c r="J533" s="82"/>
      <c r="K533" s="83"/>
      <c r="L533" s="84"/>
      <c r="M533" s="85"/>
      <c r="N533" s="38"/>
      <c r="O533" s="39"/>
      <c r="P533" s="39"/>
      <c r="Q533" s="39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5.75" customHeight="1">
      <c r="A534" s="79"/>
      <c r="B534" s="80"/>
      <c r="C534" s="80"/>
      <c r="D534" s="81"/>
      <c r="E534" s="82"/>
      <c r="F534" s="82"/>
      <c r="G534" s="82"/>
      <c r="H534" s="82"/>
      <c r="I534" s="82"/>
      <c r="J534" s="82"/>
      <c r="K534" s="83"/>
      <c r="L534" s="84"/>
      <c r="M534" s="85"/>
      <c r="N534" s="38"/>
      <c r="O534" s="39"/>
      <c r="P534" s="39"/>
      <c r="Q534" s="39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5.75" customHeight="1">
      <c r="A535" s="79"/>
      <c r="B535" s="80"/>
      <c r="C535" s="80"/>
      <c r="D535" s="81"/>
      <c r="E535" s="82"/>
      <c r="F535" s="82"/>
      <c r="G535" s="82"/>
      <c r="H535" s="82"/>
      <c r="I535" s="82"/>
      <c r="J535" s="82"/>
      <c r="K535" s="83"/>
      <c r="L535" s="84"/>
      <c r="M535" s="85"/>
      <c r="N535" s="38"/>
      <c r="O535" s="39"/>
      <c r="P535" s="39"/>
      <c r="Q535" s="39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5.75" customHeight="1">
      <c r="A536" s="79"/>
      <c r="B536" s="80"/>
      <c r="C536" s="80"/>
      <c r="D536" s="81"/>
      <c r="E536" s="82"/>
      <c r="F536" s="82"/>
      <c r="G536" s="82"/>
      <c r="H536" s="82"/>
      <c r="I536" s="82"/>
      <c r="J536" s="82"/>
      <c r="K536" s="83"/>
      <c r="L536" s="84"/>
      <c r="M536" s="85"/>
      <c r="N536" s="38"/>
      <c r="O536" s="39"/>
      <c r="P536" s="39"/>
      <c r="Q536" s="39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5.75" customHeight="1">
      <c r="A537" s="79"/>
      <c r="B537" s="80"/>
      <c r="C537" s="80"/>
      <c r="D537" s="81"/>
      <c r="E537" s="82"/>
      <c r="F537" s="82"/>
      <c r="G537" s="82"/>
      <c r="H537" s="82"/>
      <c r="I537" s="82"/>
      <c r="J537" s="82"/>
      <c r="K537" s="83"/>
      <c r="L537" s="84"/>
      <c r="M537" s="85"/>
      <c r="N537" s="38"/>
      <c r="O537" s="39"/>
      <c r="P537" s="39"/>
      <c r="Q537" s="39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5.75" customHeight="1">
      <c r="A538" s="79"/>
      <c r="B538" s="80"/>
      <c r="C538" s="80"/>
      <c r="D538" s="81"/>
      <c r="E538" s="82"/>
      <c r="F538" s="82"/>
      <c r="G538" s="82"/>
      <c r="H538" s="82"/>
      <c r="I538" s="82"/>
      <c r="J538" s="82"/>
      <c r="K538" s="83"/>
      <c r="L538" s="84"/>
      <c r="M538" s="85"/>
      <c r="N538" s="38"/>
      <c r="O538" s="39"/>
      <c r="P538" s="39"/>
      <c r="Q538" s="39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5.75" customHeight="1">
      <c r="A539" s="79"/>
      <c r="B539" s="80"/>
      <c r="C539" s="80"/>
      <c r="D539" s="81"/>
      <c r="E539" s="82"/>
      <c r="F539" s="82"/>
      <c r="G539" s="82"/>
      <c r="H539" s="82"/>
      <c r="I539" s="82"/>
      <c r="J539" s="82"/>
      <c r="K539" s="83"/>
      <c r="L539" s="84"/>
      <c r="M539" s="85"/>
      <c r="N539" s="38"/>
      <c r="O539" s="39"/>
      <c r="P539" s="39"/>
      <c r="Q539" s="39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5.75" customHeight="1">
      <c r="A540" s="79"/>
      <c r="B540" s="80"/>
      <c r="C540" s="80"/>
      <c r="D540" s="81"/>
      <c r="E540" s="82"/>
      <c r="F540" s="82"/>
      <c r="G540" s="82"/>
      <c r="H540" s="82"/>
      <c r="I540" s="82"/>
      <c r="J540" s="82"/>
      <c r="K540" s="83"/>
      <c r="L540" s="84"/>
      <c r="M540" s="85"/>
      <c r="N540" s="38"/>
      <c r="O540" s="39"/>
      <c r="P540" s="39"/>
      <c r="Q540" s="39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5.75" customHeight="1">
      <c r="A541" s="79"/>
      <c r="B541" s="80"/>
      <c r="C541" s="80"/>
      <c r="D541" s="81"/>
      <c r="E541" s="82"/>
      <c r="F541" s="82"/>
      <c r="G541" s="82"/>
      <c r="H541" s="82"/>
      <c r="I541" s="82"/>
      <c r="J541" s="82"/>
      <c r="K541" s="83"/>
      <c r="L541" s="84"/>
      <c r="M541" s="85"/>
      <c r="N541" s="38"/>
      <c r="O541" s="39"/>
      <c r="P541" s="39"/>
      <c r="Q541" s="39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5.75" customHeight="1">
      <c r="A542" s="79"/>
      <c r="B542" s="80"/>
      <c r="C542" s="80"/>
      <c r="D542" s="81"/>
      <c r="E542" s="82"/>
      <c r="F542" s="82"/>
      <c r="G542" s="82"/>
      <c r="H542" s="82"/>
      <c r="I542" s="82"/>
      <c r="J542" s="82"/>
      <c r="K542" s="83"/>
      <c r="L542" s="84"/>
      <c r="M542" s="85"/>
      <c r="N542" s="38"/>
      <c r="O542" s="39"/>
      <c r="P542" s="39"/>
      <c r="Q542" s="39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5.75" customHeight="1">
      <c r="A543" s="79"/>
      <c r="B543" s="80"/>
      <c r="C543" s="80"/>
      <c r="D543" s="81"/>
      <c r="E543" s="82"/>
      <c r="F543" s="82"/>
      <c r="G543" s="82"/>
      <c r="H543" s="82"/>
      <c r="I543" s="82"/>
      <c r="J543" s="82"/>
      <c r="K543" s="83"/>
      <c r="L543" s="84"/>
      <c r="M543" s="85"/>
      <c r="N543" s="38"/>
      <c r="O543" s="39"/>
      <c r="P543" s="39"/>
      <c r="Q543" s="39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5.75" customHeight="1">
      <c r="A544" s="79"/>
      <c r="B544" s="80"/>
      <c r="C544" s="80"/>
      <c r="D544" s="81"/>
      <c r="E544" s="82"/>
      <c r="F544" s="82"/>
      <c r="G544" s="82"/>
      <c r="H544" s="82"/>
      <c r="I544" s="82"/>
      <c r="J544" s="82"/>
      <c r="K544" s="83"/>
      <c r="L544" s="84"/>
      <c r="M544" s="85"/>
      <c r="N544" s="38"/>
      <c r="O544" s="39"/>
      <c r="P544" s="39"/>
      <c r="Q544" s="39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5.75" customHeight="1">
      <c r="A545" s="79"/>
      <c r="B545" s="80"/>
      <c r="C545" s="80"/>
      <c r="D545" s="81"/>
      <c r="E545" s="82"/>
      <c r="F545" s="82"/>
      <c r="G545" s="82"/>
      <c r="H545" s="82"/>
      <c r="I545" s="82"/>
      <c r="J545" s="82"/>
      <c r="K545" s="83"/>
      <c r="L545" s="84"/>
      <c r="M545" s="85"/>
      <c r="N545" s="38"/>
      <c r="O545" s="39"/>
      <c r="P545" s="39"/>
      <c r="Q545" s="39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5.75" customHeight="1">
      <c r="A546" s="79"/>
      <c r="B546" s="80"/>
      <c r="C546" s="80"/>
      <c r="D546" s="81"/>
      <c r="E546" s="82"/>
      <c r="F546" s="82"/>
      <c r="G546" s="82"/>
      <c r="H546" s="82"/>
      <c r="I546" s="82"/>
      <c r="J546" s="82"/>
      <c r="K546" s="83"/>
      <c r="L546" s="84"/>
      <c r="M546" s="85"/>
      <c r="N546" s="38"/>
      <c r="O546" s="39"/>
      <c r="P546" s="39"/>
      <c r="Q546" s="39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5.75" customHeight="1">
      <c r="A547" s="79"/>
      <c r="B547" s="80"/>
      <c r="C547" s="80"/>
      <c r="D547" s="81"/>
      <c r="E547" s="82"/>
      <c r="F547" s="82"/>
      <c r="G547" s="82"/>
      <c r="H547" s="82"/>
      <c r="I547" s="82"/>
      <c r="J547" s="82"/>
      <c r="K547" s="83"/>
      <c r="L547" s="84"/>
      <c r="M547" s="85"/>
      <c r="N547" s="38"/>
      <c r="O547" s="39"/>
      <c r="P547" s="39"/>
      <c r="Q547" s="39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5.75" customHeight="1">
      <c r="A548" s="79"/>
      <c r="B548" s="80"/>
      <c r="C548" s="80"/>
      <c r="D548" s="81"/>
      <c r="E548" s="82"/>
      <c r="F548" s="82"/>
      <c r="G548" s="82"/>
      <c r="H548" s="82"/>
      <c r="I548" s="82"/>
      <c r="J548" s="82"/>
      <c r="K548" s="83"/>
      <c r="L548" s="84"/>
      <c r="M548" s="85"/>
      <c r="N548" s="38"/>
      <c r="O548" s="39"/>
      <c r="P548" s="39"/>
      <c r="Q548" s="39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5.75" customHeight="1">
      <c r="A549" s="79"/>
      <c r="B549" s="80"/>
      <c r="C549" s="80"/>
      <c r="D549" s="81"/>
      <c r="E549" s="82"/>
      <c r="F549" s="82"/>
      <c r="G549" s="82"/>
      <c r="H549" s="82"/>
      <c r="I549" s="82"/>
      <c r="J549" s="82"/>
      <c r="K549" s="83"/>
      <c r="L549" s="84"/>
      <c r="M549" s="85"/>
      <c r="N549" s="38"/>
      <c r="O549" s="39"/>
      <c r="P549" s="39"/>
      <c r="Q549" s="39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5.75" customHeight="1">
      <c r="A550" s="79"/>
      <c r="B550" s="80"/>
      <c r="C550" s="80"/>
      <c r="D550" s="81"/>
      <c r="E550" s="82"/>
      <c r="F550" s="82"/>
      <c r="G550" s="82"/>
      <c r="H550" s="82"/>
      <c r="I550" s="82"/>
      <c r="J550" s="82"/>
      <c r="K550" s="83"/>
      <c r="L550" s="84"/>
      <c r="M550" s="85"/>
      <c r="N550" s="38"/>
      <c r="O550" s="39"/>
      <c r="P550" s="39"/>
      <c r="Q550" s="39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5.75" customHeight="1">
      <c r="A551" s="79"/>
      <c r="B551" s="80"/>
      <c r="C551" s="80"/>
      <c r="D551" s="81"/>
      <c r="E551" s="82"/>
      <c r="F551" s="82"/>
      <c r="G551" s="82"/>
      <c r="H551" s="82"/>
      <c r="I551" s="82"/>
      <c r="J551" s="82"/>
      <c r="K551" s="83"/>
      <c r="L551" s="84"/>
      <c r="M551" s="85"/>
      <c r="N551" s="38"/>
      <c r="O551" s="39"/>
      <c r="P551" s="39"/>
      <c r="Q551" s="39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5.75" customHeight="1">
      <c r="A552" s="79"/>
      <c r="B552" s="80"/>
      <c r="C552" s="80"/>
      <c r="D552" s="81"/>
      <c r="E552" s="82"/>
      <c r="F552" s="82"/>
      <c r="G552" s="82"/>
      <c r="H552" s="82"/>
      <c r="I552" s="82"/>
      <c r="J552" s="82"/>
      <c r="K552" s="83"/>
      <c r="L552" s="84"/>
      <c r="M552" s="85"/>
      <c r="N552" s="38"/>
      <c r="O552" s="39"/>
      <c r="P552" s="39"/>
      <c r="Q552" s="39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5.75" customHeight="1">
      <c r="A553" s="79"/>
      <c r="B553" s="80"/>
      <c r="C553" s="80"/>
      <c r="D553" s="81"/>
      <c r="E553" s="82"/>
      <c r="F553" s="82"/>
      <c r="G553" s="82"/>
      <c r="H553" s="82"/>
      <c r="I553" s="82"/>
      <c r="J553" s="82"/>
      <c r="K553" s="83"/>
      <c r="L553" s="84"/>
      <c r="M553" s="85"/>
      <c r="N553" s="38"/>
      <c r="O553" s="39"/>
      <c r="P553" s="39"/>
      <c r="Q553" s="39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5.75" customHeight="1">
      <c r="A554" s="79"/>
      <c r="B554" s="80"/>
      <c r="C554" s="80"/>
      <c r="D554" s="81"/>
      <c r="E554" s="82"/>
      <c r="F554" s="82"/>
      <c r="G554" s="82"/>
      <c r="H554" s="82"/>
      <c r="I554" s="82"/>
      <c r="J554" s="82"/>
      <c r="K554" s="83"/>
      <c r="L554" s="84"/>
      <c r="M554" s="85"/>
      <c r="N554" s="38"/>
      <c r="O554" s="39"/>
      <c r="P554" s="39"/>
      <c r="Q554" s="39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5.75" customHeight="1">
      <c r="A555" s="79"/>
      <c r="B555" s="80"/>
      <c r="C555" s="80"/>
      <c r="D555" s="81"/>
      <c r="E555" s="82"/>
      <c r="F555" s="82"/>
      <c r="G555" s="82"/>
      <c r="H555" s="82"/>
      <c r="I555" s="82"/>
      <c r="J555" s="82"/>
      <c r="K555" s="83"/>
      <c r="L555" s="84"/>
      <c r="M555" s="85"/>
      <c r="N555" s="38"/>
      <c r="O555" s="39"/>
      <c r="P555" s="39"/>
      <c r="Q555" s="39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5.75" customHeight="1">
      <c r="A556" s="79"/>
      <c r="B556" s="80"/>
      <c r="C556" s="80"/>
      <c r="D556" s="81"/>
      <c r="E556" s="82"/>
      <c r="F556" s="82"/>
      <c r="G556" s="82"/>
      <c r="H556" s="82"/>
      <c r="I556" s="82"/>
      <c r="J556" s="82"/>
      <c r="K556" s="83"/>
      <c r="L556" s="84"/>
      <c r="M556" s="85"/>
      <c r="N556" s="38"/>
      <c r="O556" s="39"/>
      <c r="P556" s="39"/>
      <c r="Q556" s="39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5.75" customHeight="1">
      <c r="A557" s="79"/>
      <c r="B557" s="80"/>
      <c r="C557" s="80"/>
      <c r="D557" s="81"/>
      <c r="E557" s="82"/>
      <c r="F557" s="82"/>
      <c r="G557" s="82"/>
      <c r="H557" s="82"/>
      <c r="I557" s="82"/>
      <c r="J557" s="82"/>
      <c r="K557" s="83"/>
      <c r="L557" s="84"/>
      <c r="M557" s="85"/>
      <c r="N557" s="38"/>
      <c r="O557" s="39"/>
      <c r="P557" s="39"/>
      <c r="Q557" s="39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5.75" customHeight="1">
      <c r="A558" s="79"/>
      <c r="B558" s="80"/>
      <c r="C558" s="80"/>
      <c r="D558" s="81"/>
      <c r="E558" s="82"/>
      <c r="F558" s="82"/>
      <c r="G558" s="82"/>
      <c r="H558" s="82"/>
      <c r="I558" s="82"/>
      <c r="J558" s="82"/>
      <c r="K558" s="83"/>
      <c r="L558" s="84"/>
      <c r="M558" s="85"/>
      <c r="N558" s="38"/>
      <c r="O558" s="39"/>
      <c r="P558" s="39"/>
      <c r="Q558" s="39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5.75" customHeight="1">
      <c r="A559" s="79"/>
      <c r="B559" s="80"/>
      <c r="C559" s="80"/>
      <c r="D559" s="81"/>
      <c r="E559" s="82"/>
      <c r="F559" s="82"/>
      <c r="G559" s="82"/>
      <c r="H559" s="82"/>
      <c r="I559" s="82"/>
      <c r="J559" s="82"/>
      <c r="K559" s="83"/>
      <c r="L559" s="84"/>
      <c r="M559" s="85"/>
      <c r="N559" s="38"/>
      <c r="O559" s="39"/>
      <c r="P559" s="39"/>
      <c r="Q559" s="39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5.75" customHeight="1">
      <c r="A560" s="79"/>
      <c r="B560" s="80"/>
      <c r="C560" s="80"/>
      <c r="D560" s="81"/>
      <c r="E560" s="82"/>
      <c r="F560" s="82"/>
      <c r="G560" s="82"/>
      <c r="H560" s="82"/>
      <c r="I560" s="82"/>
      <c r="J560" s="82"/>
      <c r="K560" s="83"/>
      <c r="L560" s="84"/>
      <c r="M560" s="85"/>
      <c r="N560" s="38"/>
      <c r="O560" s="39"/>
      <c r="P560" s="39"/>
      <c r="Q560" s="39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5.75" customHeight="1">
      <c r="A561" s="79"/>
      <c r="B561" s="80"/>
      <c r="C561" s="80"/>
      <c r="D561" s="81"/>
      <c r="E561" s="82"/>
      <c r="F561" s="82"/>
      <c r="G561" s="82"/>
      <c r="H561" s="82"/>
      <c r="I561" s="82"/>
      <c r="J561" s="82"/>
      <c r="K561" s="83"/>
      <c r="L561" s="84"/>
      <c r="M561" s="85"/>
      <c r="N561" s="38"/>
      <c r="O561" s="39"/>
      <c r="P561" s="39"/>
      <c r="Q561" s="39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5.75" customHeight="1">
      <c r="A562" s="79"/>
      <c r="B562" s="80"/>
      <c r="C562" s="80"/>
      <c r="D562" s="81"/>
      <c r="E562" s="82"/>
      <c r="F562" s="82"/>
      <c r="G562" s="82"/>
      <c r="H562" s="82"/>
      <c r="I562" s="82"/>
      <c r="J562" s="82"/>
      <c r="K562" s="83"/>
      <c r="L562" s="84"/>
      <c r="M562" s="85"/>
      <c r="N562" s="38"/>
      <c r="O562" s="39"/>
      <c r="P562" s="39"/>
      <c r="Q562" s="39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5.75" customHeight="1">
      <c r="A563" s="79"/>
      <c r="B563" s="80"/>
      <c r="C563" s="80"/>
      <c r="D563" s="81"/>
      <c r="E563" s="82"/>
      <c r="F563" s="82"/>
      <c r="G563" s="82"/>
      <c r="H563" s="82"/>
      <c r="I563" s="82"/>
      <c r="J563" s="82"/>
      <c r="K563" s="83"/>
      <c r="L563" s="84"/>
      <c r="M563" s="85"/>
      <c r="N563" s="38"/>
      <c r="O563" s="39"/>
      <c r="P563" s="39"/>
      <c r="Q563" s="39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5.75" customHeight="1">
      <c r="A564" s="79"/>
      <c r="B564" s="80"/>
      <c r="C564" s="80"/>
      <c r="D564" s="81"/>
      <c r="E564" s="82"/>
      <c r="F564" s="82"/>
      <c r="G564" s="82"/>
      <c r="H564" s="82"/>
      <c r="I564" s="82"/>
      <c r="J564" s="82"/>
      <c r="K564" s="83"/>
      <c r="L564" s="84"/>
      <c r="M564" s="85"/>
      <c r="N564" s="38"/>
      <c r="O564" s="39"/>
      <c r="P564" s="39"/>
      <c r="Q564" s="39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5.75" customHeight="1">
      <c r="A565" s="79"/>
      <c r="B565" s="80"/>
      <c r="C565" s="80"/>
      <c r="D565" s="81"/>
      <c r="E565" s="82"/>
      <c r="F565" s="82"/>
      <c r="G565" s="82"/>
      <c r="H565" s="82"/>
      <c r="I565" s="82"/>
      <c r="J565" s="82"/>
      <c r="K565" s="83"/>
      <c r="L565" s="84"/>
      <c r="M565" s="85"/>
      <c r="N565" s="38"/>
      <c r="O565" s="39"/>
      <c r="P565" s="39"/>
      <c r="Q565" s="39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5.75" customHeight="1">
      <c r="A566" s="79"/>
      <c r="B566" s="80"/>
      <c r="C566" s="80"/>
      <c r="D566" s="81"/>
      <c r="E566" s="82"/>
      <c r="F566" s="82"/>
      <c r="G566" s="82"/>
      <c r="H566" s="82"/>
      <c r="I566" s="82"/>
      <c r="J566" s="82"/>
      <c r="K566" s="83"/>
      <c r="L566" s="84"/>
      <c r="M566" s="85"/>
      <c r="N566" s="38"/>
      <c r="O566" s="39"/>
      <c r="P566" s="39"/>
      <c r="Q566" s="39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5.75" customHeight="1">
      <c r="A567" s="79"/>
      <c r="B567" s="80"/>
      <c r="C567" s="80"/>
      <c r="D567" s="81"/>
      <c r="E567" s="82"/>
      <c r="F567" s="82"/>
      <c r="G567" s="82"/>
      <c r="H567" s="82"/>
      <c r="I567" s="82"/>
      <c r="J567" s="82"/>
      <c r="K567" s="83"/>
      <c r="L567" s="84"/>
      <c r="M567" s="85"/>
      <c r="N567" s="38"/>
      <c r="O567" s="39"/>
      <c r="P567" s="39"/>
      <c r="Q567" s="39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5.75" customHeight="1">
      <c r="A568" s="79"/>
      <c r="B568" s="80"/>
      <c r="C568" s="80"/>
      <c r="D568" s="81"/>
      <c r="E568" s="82"/>
      <c r="F568" s="82"/>
      <c r="G568" s="82"/>
      <c r="H568" s="82"/>
      <c r="I568" s="82"/>
      <c r="J568" s="82"/>
      <c r="K568" s="83"/>
      <c r="L568" s="84"/>
      <c r="M568" s="85"/>
      <c r="N568" s="38"/>
      <c r="O568" s="39"/>
      <c r="P568" s="39"/>
      <c r="Q568" s="39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5.75" customHeight="1">
      <c r="A569" s="79"/>
      <c r="B569" s="80"/>
      <c r="C569" s="80"/>
      <c r="D569" s="81"/>
      <c r="E569" s="82"/>
      <c r="F569" s="82"/>
      <c r="G569" s="82"/>
      <c r="H569" s="82"/>
      <c r="I569" s="82"/>
      <c r="J569" s="82"/>
      <c r="K569" s="83"/>
      <c r="L569" s="84"/>
      <c r="M569" s="85"/>
      <c r="N569" s="38"/>
      <c r="O569" s="39"/>
      <c r="P569" s="39"/>
      <c r="Q569" s="39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5.75" customHeight="1">
      <c r="A570" s="79"/>
      <c r="B570" s="80"/>
      <c r="C570" s="80"/>
      <c r="D570" s="81"/>
      <c r="E570" s="82"/>
      <c r="F570" s="82"/>
      <c r="G570" s="82"/>
      <c r="H570" s="82"/>
      <c r="I570" s="82"/>
      <c r="J570" s="82"/>
      <c r="K570" s="83"/>
      <c r="L570" s="84"/>
      <c r="M570" s="85"/>
      <c r="N570" s="38"/>
      <c r="O570" s="39"/>
      <c r="P570" s="39"/>
      <c r="Q570" s="39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5.75" customHeight="1">
      <c r="A571" s="79"/>
      <c r="B571" s="80"/>
      <c r="C571" s="80"/>
      <c r="D571" s="81"/>
      <c r="E571" s="82"/>
      <c r="F571" s="82"/>
      <c r="G571" s="82"/>
      <c r="H571" s="82"/>
      <c r="I571" s="82"/>
      <c r="J571" s="82"/>
      <c r="K571" s="83"/>
      <c r="L571" s="84"/>
      <c r="M571" s="85"/>
      <c r="N571" s="38"/>
      <c r="O571" s="39"/>
      <c r="P571" s="39"/>
      <c r="Q571" s="39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5.75" customHeight="1">
      <c r="A572" s="79"/>
      <c r="B572" s="80"/>
      <c r="C572" s="80"/>
      <c r="D572" s="81"/>
      <c r="E572" s="82"/>
      <c r="F572" s="82"/>
      <c r="G572" s="82"/>
      <c r="H572" s="82"/>
      <c r="I572" s="82"/>
      <c r="J572" s="82"/>
      <c r="K572" s="83"/>
      <c r="L572" s="84"/>
      <c r="M572" s="85"/>
      <c r="N572" s="38"/>
      <c r="O572" s="39"/>
      <c r="P572" s="39"/>
      <c r="Q572" s="39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5.75" customHeight="1">
      <c r="A573" s="79"/>
      <c r="B573" s="80"/>
      <c r="C573" s="80"/>
      <c r="D573" s="81"/>
      <c r="E573" s="82"/>
      <c r="F573" s="82"/>
      <c r="G573" s="82"/>
      <c r="H573" s="82"/>
      <c r="I573" s="82"/>
      <c r="J573" s="82"/>
      <c r="K573" s="83"/>
      <c r="L573" s="84"/>
      <c r="M573" s="85"/>
      <c r="N573" s="38"/>
      <c r="O573" s="39"/>
      <c r="P573" s="39"/>
      <c r="Q573" s="39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5.75" customHeight="1">
      <c r="A574" s="79"/>
      <c r="B574" s="80"/>
      <c r="C574" s="80"/>
      <c r="D574" s="81"/>
      <c r="E574" s="82"/>
      <c r="F574" s="82"/>
      <c r="G574" s="82"/>
      <c r="H574" s="82"/>
      <c r="I574" s="82"/>
      <c r="J574" s="82"/>
      <c r="K574" s="83"/>
      <c r="L574" s="84"/>
      <c r="M574" s="85"/>
      <c r="N574" s="38"/>
      <c r="O574" s="39"/>
      <c r="P574" s="39"/>
      <c r="Q574" s="39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5.75" customHeight="1">
      <c r="A575" s="79"/>
      <c r="B575" s="80"/>
      <c r="C575" s="80"/>
      <c r="D575" s="81"/>
      <c r="E575" s="82"/>
      <c r="F575" s="82"/>
      <c r="G575" s="82"/>
      <c r="H575" s="82"/>
      <c r="I575" s="82"/>
      <c r="J575" s="82"/>
      <c r="K575" s="83"/>
      <c r="L575" s="84"/>
      <c r="M575" s="85"/>
      <c r="N575" s="38"/>
      <c r="O575" s="39"/>
      <c r="P575" s="39"/>
      <c r="Q575" s="39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5.75" customHeight="1">
      <c r="A576" s="79"/>
      <c r="B576" s="80"/>
      <c r="C576" s="80"/>
      <c r="D576" s="81"/>
      <c r="E576" s="82"/>
      <c r="F576" s="82"/>
      <c r="G576" s="82"/>
      <c r="H576" s="82"/>
      <c r="I576" s="82"/>
      <c r="J576" s="82"/>
      <c r="K576" s="83"/>
      <c r="L576" s="84"/>
      <c r="M576" s="85"/>
      <c r="N576" s="38"/>
      <c r="O576" s="39"/>
      <c r="P576" s="39"/>
      <c r="Q576" s="39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5.75" customHeight="1">
      <c r="A577" s="79"/>
      <c r="B577" s="80"/>
      <c r="C577" s="80"/>
      <c r="D577" s="81"/>
      <c r="E577" s="82"/>
      <c r="F577" s="82"/>
      <c r="G577" s="82"/>
      <c r="H577" s="82"/>
      <c r="I577" s="82"/>
      <c r="J577" s="82"/>
      <c r="K577" s="83"/>
      <c r="L577" s="84"/>
      <c r="M577" s="85"/>
      <c r="N577" s="38"/>
      <c r="O577" s="39"/>
      <c r="P577" s="39"/>
      <c r="Q577" s="39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5.75" customHeight="1">
      <c r="A578" s="79"/>
      <c r="B578" s="80"/>
      <c r="C578" s="80"/>
      <c r="D578" s="81"/>
      <c r="E578" s="82"/>
      <c r="F578" s="82"/>
      <c r="G578" s="82"/>
      <c r="H578" s="82"/>
      <c r="I578" s="82"/>
      <c r="J578" s="82"/>
      <c r="K578" s="83"/>
      <c r="L578" s="84"/>
      <c r="M578" s="85"/>
      <c r="N578" s="38"/>
      <c r="O578" s="39"/>
      <c r="P578" s="39"/>
      <c r="Q578" s="39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5.75" customHeight="1">
      <c r="A579" s="79"/>
      <c r="B579" s="80"/>
      <c r="C579" s="80"/>
      <c r="D579" s="81"/>
      <c r="E579" s="82"/>
      <c r="F579" s="82"/>
      <c r="G579" s="82"/>
      <c r="H579" s="82"/>
      <c r="I579" s="82"/>
      <c r="J579" s="82"/>
      <c r="K579" s="83"/>
      <c r="L579" s="84"/>
      <c r="M579" s="85"/>
      <c r="N579" s="38"/>
      <c r="O579" s="39"/>
      <c r="P579" s="39"/>
      <c r="Q579" s="39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5.75" customHeight="1">
      <c r="A580" s="79"/>
      <c r="B580" s="80"/>
      <c r="C580" s="80"/>
      <c r="D580" s="81"/>
      <c r="E580" s="82"/>
      <c r="F580" s="82"/>
      <c r="G580" s="82"/>
      <c r="H580" s="82"/>
      <c r="I580" s="82"/>
      <c r="J580" s="82"/>
      <c r="K580" s="83"/>
      <c r="L580" s="84"/>
      <c r="M580" s="85"/>
      <c r="N580" s="38"/>
      <c r="O580" s="39"/>
      <c r="P580" s="39"/>
      <c r="Q580" s="39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5.75" customHeight="1">
      <c r="A581" s="79"/>
      <c r="B581" s="80"/>
      <c r="C581" s="80"/>
      <c r="D581" s="81"/>
      <c r="E581" s="82"/>
      <c r="F581" s="82"/>
      <c r="G581" s="82"/>
      <c r="H581" s="82"/>
      <c r="I581" s="82"/>
      <c r="J581" s="82"/>
      <c r="K581" s="83"/>
      <c r="L581" s="84"/>
      <c r="M581" s="85"/>
      <c r="N581" s="38"/>
      <c r="O581" s="39"/>
      <c r="P581" s="39"/>
      <c r="Q581" s="39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5.75" customHeight="1">
      <c r="A582" s="79"/>
      <c r="B582" s="80"/>
      <c r="C582" s="80"/>
      <c r="D582" s="81"/>
      <c r="E582" s="82"/>
      <c r="F582" s="82"/>
      <c r="G582" s="82"/>
      <c r="H582" s="82"/>
      <c r="I582" s="82"/>
      <c r="J582" s="82"/>
      <c r="K582" s="83"/>
      <c r="L582" s="84"/>
      <c r="M582" s="85"/>
      <c r="N582" s="38"/>
      <c r="O582" s="39"/>
      <c r="P582" s="39"/>
      <c r="Q582" s="39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5.75" customHeight="1">
      <c r="A583" s="79"/>
      <c r="B583" s="80"/>
      <c r="C583" s="80"/>
      <c r="D583" s="81"/>
      <c r="E583" s="82"/>
      <c r="F583" s="82"/>
      <c r="G583" s="82"/>
      <c r="H583" s="82"/>
      <c r="I583" s="82"/>
      <c r="J583" s="82"/>
      <c r="K583" s="83"/>
      <c r="L583" s="84"/>
      <c r="M583" s="85"/>
      <c r="N583" s="38"/>
      <c r="O583" s="39"/>
      <c r="P583" s="39"/>
      <c r="Q583" s="39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5.75" customHeight="1">
      <c r="A584" s="79"/>
      <c r="B584" s="80"/>
      <c r="C584" s="80"/>
      <c r="D584" s="81"/>
      <c r="E584" s="82"/>
      <c r="F584" s="82"/>
      <c r="G584" s="82"/>
      <c r="H584" s="82"/>
      <c r="I584" s="82"/>
      <c r="J584" s="82"/>
      <c r="K584" s="83"/>
      <c r="L584" s="84"/>
      <c r="M584" s="85"/>
      <c r="N584" s="38"/>
      <c r="O584" s="39"/>
      <c r="P584" s="39"/>
      <c r="Q584" s="39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5.75" customHeight="1">
      <c r="A585" s="79"/>
      <c r="B585" s="80"/>
      <c r="C585" s="80"/>
      <c r="D585" s="81"/>
      <c r="E585" s="82"/>
      <c r="F585" s="82"/>
      <c r="G585" s="82"/>
      <c r="H585" s="82"/>
      <c r="I585" s="82"/>
      <c r="J585" s="82"/>
      <c r="K585" s="83"/>
      <c r="L585" s="84"/>
      <c r="M585" s="85"/>
      <c r="N585" s="38"/>
      <c r="O585" s="39"/>
      <c r="P585" s="39"/>
      <c r="Q585" s="39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5.75" customHeight="1">
      <c r="A586" s="79"/>
      <c r="B586" s="80"/>
      <c r="C586" s="80"/>
      <c r="D586" s="81"/>
      <c r="E586" s="82"/>
      <c r="F586" s="82"/>
      <c r="G586" s="82"/>
      <c r="H586" s="82"/>
      <c r="I586" s="82"/>
      <c r="J586" s="82"/>
      <c r="K586" s="83"/>
      <c r="L586" s="84"/>
      <c r="M586" s="85"/>
      <c r="N586" s="38"/>
      <c r="O586" s="39"/>
      <c r="P586" s="39"/>
      <c r="Q586" s="39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5.75" customHeight="1">
      <c r="A587" s="79"/>
      <c r="B587" s="80"/>
      <c r="C587" s="80"/>
      <c r="D587" s="81"/>
      <c r="E587" s="82"/>
      <c r="F587" s="82"/>
      <c r="G587" s="82"/>
      <c r="H587" s="82"/>
      <c r="I587" s="82"/>
      <c r="J587" s="82"/>
      <c r="K587" s="83"/>
      <c r="L587" s="84"/>
      <c r="M587" s="85"/>
      <c r="N587" s="38"/>
      <c r="O587" s="39"/>
      <c r="P587" s="39"/>
      <c r="Q587" s="39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5.75" customHeight="1">
      <c r="A588" s="79"/>
      <c r="B588" s="80"/>
      <c r="C588" s="80"/>
      <c r="D588" s="81"/>
      <c r="E588" s="82"/>
      <c r="F588" s="82"/>
      <c r="G588" s="82"/>
      <c r="H588" s="82"/>
      <c r="I588" s="82"/>
      <c r="J588" s="82"/>
      <c r="K588" s="83"/>
      <c r="L588" s="84"/>
      <c r="M588" s="85"/>
      <c r="N588" s="38"/>
      <c r="O588" s="39"/>
      <c r="P588" s="39"/>
      <c r="Q588" s="39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5.75" customHeight="1">
      <c r="A589" s="79"/>
      <c r="B589" s="80"/>
      <c r="C589" s="80"/>
      <c r="D589" s="81"/>
      <c r="E589" s="82"/>
      <c r="F589" s="82"/>
      <c r="G589" s="82"/>
      <c r="H589" s="82"/>
      <c r="I589" s="82"/>
      <c r="J589" s="82"/>
      <c r="K589" s="83"/>
      <c r="L589" s="84"/>
      <c r="M589" s="85"/>
      <c r="N589" s="38"/>
      <c r="O589" s="39"/>
      <c r="P589" s="39"/>
      <c r="Q589" s="39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5.75" customHeight="1">
      <c r="A590" s="79"/>
      <c r="B590" s="80"/>
      <c r="C590" s="80"/>
      <c r="D590" s="81"/>
      <c r="E590" s="82"/>
      <c r="F590" s="82"/>
      <c r="G590" s="82"/>
      <c r="H590" s="82"/>
      <c r="I590" s="82"/>
      <c r="J590" s="82"/>
      <c r="K590" s="83"/>
      <c r="L590" s="84"/>
      <c r="M590" s="85"/>
      <c r="N590" s="38"/>
      <c r="O590" s="39"/>
      <c r="P590" s="39"/>
      <c r="Q590" s="39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5.75" customHeight="1">
      <c r="A591" s="79"/>
      <c r="B591" s="80"/>
      <c r="C591" s="80"/>
      <c r="D591" s="81"/>
      <c r="E591" s="82"/>
      <c r="F591" s="82"/>
      <c r="G591" s="82"/>
      <c r="H591" s="82"/>
      <c r="I591" s="82"/>
      <c r="J591" s="82"/>
      <c r="K591" s="83"/>
      <c r="L591" s="84"/>
      <c r="M591" s="85"/>
      <c r="N591" s="38"/>
      <c r="O591" s="39"/>
      <c r="P591" s="39"/>
      <c r="Q591" s="39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5.75" customHeight="1">
      <c r="A592" s="79"/>
      <c r="B592" s="80"/>
      <c r="C592" s="80"/>
      <c r="D592" s="81"/>
      <c r="E592" s="82"/>
      <c r="F592" s="82"/>
      <c r="G592" s="82"/>
      <c r="H592" s="82"/>
      <c r="I592" s="82"/>
      <c r="J592" s="82"/>
      <c r="K592" s="83"/>
      <c r="L592" s="84"/>
      <c r="M592" s="85"/>
      <c r="N592" s="38"/>
      <c r="O592" s="39"/>
      <c r="P592" s="39"/>
      <c r="Q592" s="39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5.75" customHeight="1">
      <c r="A593" s="79"/>
      <c r="B593" s="80"/>
      <c r="C593" s="80"/>
      <c r="D593" s="81"/>
      <c r="E593" s="82"/>
      <c r="F593" s="82"/>
      <c r="G593" s="82"/>
      <c r="H593" s="82"/>
      <c r="I593" s="82"/>
      <c r="J593" s="82"/>
      <c r="K593" s="83"/>
      <c r="L593" s="84"/>
      <c r="M593" s="85"/>
      <c r="N593" s="38"/>
      <c r="O593" s="39"/>
      <c r="P593" s="39"/>
      <c r="Q593" s="39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5.75" customHeight="1">
      <c r="A594" s="79"/>
      <c r="B594" s="80"/>
      <c r="C594" s="80"/>
      <c r="D594" s="81"/>
      <c r="E594" s="82"/>
      <c r="F594" s="82"/>
      <c r="G594" s="82"/>
      <c r="H594" s="82"/>
      <c r="I594" s="82"/>
      <c r="J594" s="82"/>
      <c r="K594" s="83"/>
      <c r="L594" s="84"/>
      <c r="M594" s="85"/>
      <c r="N594" s="38"/>
      <c r="O594" s="39"/>
      <c r="P594" s="39"/>
      <c r="Q594" s="39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5.75" customHeight="1">
      <c r="A595" s="79"/>
      <c r="B595" s="80"/>
      <c r="C595" s="80"/>
      <c r="D595" s="81"/>
      <c r="E595" s="82"/>
      <c r="F595" s="82"/>
      <c r="G595" s="82"/>
      <c r="H595" s="82"/>
      <c r="I595" s="82"/>
      <c r="J595" s="82"/>
      <c r="K595" s="83"/>
      <c r="L595" s="84"/>
      <c r="M595" s="85"/>
      <c r="N595" s="38"/>
      <c r="O595" s="39"/>
      <c r="P595" s="39"/>
      <c r="Q595" s="39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5.75" customHeight="1">
      <c r="A596" s="79"/>
      <c r="B596" s="80"/>
      <c r="C596" s="80"/>
      <c r="D596" s="81"/>
      <c r="E596" s="82"/>
      <c r="F596" s="82"/>
      <c r="G596" s="82"/>
      <c r="H596" s="82"/>
      <c r="I596" s="82"/>
      <c r="J596" s="82"/>
      <c r="K596" s="83"/>
      <c r="L596" s="84"/>
      <c r="M596" s="85"/>
      <c r="N596" s="38"/>
      <c r="O596" s="39"/>
      <c r="P596" s="39"/>
      <c r="Q596" s="39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5.75" customHeight="1">
      <c r="A597" s="79"/>
      <c r="B597" s="80"/>
      <c r="C597" s="80"/>
      <c r="D597" s="81"/>
      <c r="E597" s="82"/>
      <c r="F597" s="82"/>
      <c r="G597" s="82"/>
      <c r="H597" s="82"/>
      <c r="I597" s="82"/>
      <c r="J597" s="82"/>
      <c r="K597" s="83"/>
      <c r="L597" s="84"/>
      <c r="M597" s="85"/>
      <c r="N597" s="38"/>
      <c r="O597" s="39"/>
      <c r="P597" s="39"/>
      <c r="Q597" s="39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5.75" customHeight="1">
      <c r="A598" s="79"/>
      <c r="B598" s="80"/>
      <c r="C598" s="80"/>
      <c r="D598" s="81"/>
      <c r="E598" s="82"/>
      <c r="F598" s="82"/>
      <c r="G598" s="82"/>
      <c r="H598" s="82"/>
      <c r="I598" s="82"/>
      <c r="J598" s="82"/>
      <c r="K598" s="83"/>
      <c r="L598" s="84"/>
      <c r="M598" s="85"/>
      <c r="N598" s="38"/>
      <c r="O598" s="39"/>
      <c r="P598" s="39"/>
      <c r="Q598" s="39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5.75" customHeight="1">
      <c r="A599" s="79"/>
      <c r="B599" s="80"/>
      <c r="C599" s="80"/>
      <c r="D599" s="81"/>
      <c r="E599" s="82"/>
      <c r="F599" s="82"/>
      <c r="G599" s="82"/>
      <c r="H599" s="82"/>
      <c r="I599" s="82"/>
      <c r="J599" s="82"/>
      <c r="K599" s="83"/>
      <c r="L599" s="84"/>
      <c r="M599" s="85"/>
      <c r="N599" s="38"/>
      <c r="O599" s="39"/>
      <c r="P599" s="39"/>
      <c r="Q599" s="39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5.75" customHeight="1">
      <c r="A600" s="79"/>
      <c r="B600" s="80"/>
      <c r="C600" s="80"/>
      <c r="D600" s="81"/>
      <c r="E600" s="82"/>
      <c r="F600" s="82"/>
      <c r="G600" s="82"/>
      <c r="H600" s="82"/>
      <c r="I600" s="82"/>
      <c r="J600" s="82"/>
      <c r="K600" s="83"/>
      <c r="L600" s="84"/>
      <c r="M600" s="85"/>
      <c r="N600" s="38"/>
      <c r="O600" s="39"/>
      <c r="P600" s="39"/>
      <c r="Q600" s="39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5.75" customHeight="1">
      <c r="A601" s="79"/>
      <c r="B601" s="80"/>
      <c r="C601" s="80"/>
      <c r="D601" s="81"/>
      <c r="E601" s="82"/>
      <c r="F601" s="82"/>
      <c r="G601" s="82"/>
      <c r="H601" s="82"/>
      <c r="I601" s="82"/>
      <c r="J601" s="82"/>
      <c r="K601" s="83"/>
      <c r="L601" s="84"/>
      <c r="M601" s="85"/>
      <c r="N601" s="38"/>
      <c r="O601" s="39"/>
      <c r="P601" s="39"/>
      <c r="Q601" s="39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5.75" customHeight="1">
      <c r="A602" s="79"/>
      <c r="B602" s="80"/>
      <c r="C602" s="80"/>
      <c r="D602" s="81"/>
      <c r="E602" s="82"/>
      <c r="F602" s="82"/>
      <c r="G602" s="82"/>
      <c r="H602" s="82"/>
      <c r="I602" s="82"/>
      <c r="J602" s="82"/>
      <c r="K602" s="83"/>
      <c r="L602" s="84"/>
      <c r="M602" s="85"/>
      <c r="N602" s="38"/>
      <c r="O602" s="39"/>
      <c r="P602" s="39"/>
      <c r="Q602" s="39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5.75" customHeight="1">
      <c r="A603" s="79"/>
      <c r="B603" s="80"/>
      <c r="C603" s="80"/>
      <c r="D603" s="81"/>
      <c r="E603" s="82"/>
      <c r="F603" s="82"/>
      <c r="G603" s="82"/>
      <c r="H603" s="82"/>
      <c r="I603" s="82"/>
      <c r="J603" s="82"/>
      <c r="K603" s="83"/>
      <c r="L603" s="84"/>
      <c r="M603" s="85"/>
      <c r="N603" s="38"/>
      <c r="O603" s="39"/>
      <c r="P603" s="39"/>
      <c r="Q603" s="39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5.75" customHeight="1">
      <c r="A604" s="79"/>
      <c r="B604" s="80"/>
      <c r="C604" s="80"/>
      <c r="D604" s="81"/>
      <c r="E604" s="82"/>
      <c r="F604" s="82"/>
      <c r="G604" s="82"/>
      <c r="H604" s="82"/>
      <c r="I604" s="82"/>
      <c r="J604" s="82"/>
      <c r="K604" s="83"/>
      <c r="L604" s="84"/>
      <c r="M604" s="85"/>
      <c r="N604" s="38"/>
      <c r="O604" s="39"/>
      <c r="P604" s="39"/>
      <c r="Q604" s="39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5.75" customHeight="1">
      <c r="A605" s="79"/>
      <c r="B605" s="80"/>
      <c r="C605" s="80"/>
      <c r="D605" s="81"/>
      <c r="E605" s="82"/>
      <c r="F605" s="82"/>
      <c r="G605" s="82"/>
      <c r="H605" s="82"/>
      <c r="I605" s="82"/>
      <c r="J605" s="82"/>
      <c r="K605" s="83"/>
      <c r="L605" s="84"/>
      <c r="M605" s="85"/>
      <c r="N605" s="38"/>
      <c r="O605" s="39"/>
      <c r="P605" s="39"/>
      <c r="Q605" s="39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5.75" customHeight="1">
      <c r="A606" s="79"/>
      <c r="B606" s="80"/>
      <c r="C606" s="80"/>
      <c r="D606" s="81"/>
      <c r="E606" s="82"/>
      <c r="F606" s="82"/>
      <c r="G606" s="82"/>
      <c r="H606" s="82"/>
      <c r="I606" s="82"/>
      <c r="J606" s="82"/>
      <c r="K606" s="83"/>
      <c r="L606" s="84"/>
      <c r="M606" s="85"/>
      <c r="N606" s="38"/>
      <c r="O606" s="39"/>
      <c r="P606" s="39"/>
      <c r="Q606" s="39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5.75" customHeight="1">
      <c r="A607" s="79"/>
      <c r="B607" s="80"/>
      <c r="C607" s="80"/>
      <c r="D607" s="81"/>
      <c r="E607" s="82"/>
      <c r="F607" s="82"/>
      <c r="G607" s="82"/>
      <c r="H607" s="82"/>
      <c r="I607" s="82"/>
      <c r="J607" s="82"/>
      <c r="K607" s="83"/>
      <c r="L607" s="84"/>
      <c r="M607" s="85"/>
      <c r="N607" s="38"/>
      <c r="O607" s="39"/>
      <c r="P607" s="39"/>
      <c r="Q607" s="39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5.75" customHeight="1">
      <c r="A608" s="79"/>
      <c r="B608" s="80"/>
      <c r="C608" s="80"/>
      <c r="D608" s="81"/>
      <c r="E608" s="82"/>
      <c r="F608" s="82"/>
      <c r="G608" s="82"/>
      <c r="H608" s="82"/>
      <c r="I608" s="82"/>
      <c r="J608" s="82"/>
      <c r="K608" s="83"/>
      <c r="L608" s="84"/>
      <c r="M608" s="85"/>
      <c r="N608" s="38"/>
      <c r="O608" s="39"/>
      <c r="P608" s="39"/>
      <c r="Q608" s="39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5.75" customHeight="1">
      <c r="A609" s="79"/>
      <c r="B609" s="80"/>
      <c r="C609" s="80"/>
      <c r="D609" s="81"/>
      <c r="E609" s="82"/>
      <c r="F609" s="82"/>
      <c r="G609" s="82"/>
      <c r="H609" s="82"/>
      <c r="I609" s="82"/>
      <c r="J609" s="82"/>
      <c r="K609" s="83"/>
      <c r="L609" s="84"/>
      <c r="M609" s="85"/>
      <c r="N609" s="38"/>
      <c r="O609" s="39"/>
      <c r="P609" s="39"/>
      <c r="Q609" s="39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5.75" customHeight="1">
      <c r="A610" s="79"/>
      <c r="B610" s="80"/>
      <c r="C610" s="80"/>
      <c r="D610" s="81"/>
      <c r="E610" s="82"/>
      <c r="F610" s="82"/>
      <c r="G610" s="82"/>
      <c r="H610" s="82"/>
      <c r="I610" s="82"/>
      <c r="J610" s="82"/>
      <c r="K610" s="83"/>
      <c r="L610" s="84"/>
      <c r="M610" s="85"/>
      <c r="N610" s="38"/>
      <c r="O610" s="39"/>
      <c r="P610" s="39"/>
      <c r="Q610" s="39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5.75" customHeight="1">
      <c r="A611" s="79"/>
      <c r="B611" s="80"/>
      <c r="C611" s="80"/>
      <c r="D611" s="81"/>
      <c r="E611" s="82"/>
      <c r="F611" s="82"/>
      <c r="G611" s="82"/>
      <c r="H611" s="82"/>
      <c r="I611" s="82"/>
      <c r="J611" s="82"/>
      <c r="K611" s="83"/>
      <c r="L611" s="84"/>
      <c r="M611" s="85"/>
      <c r="N611" s="38"/>
      <c r="O611" s="39"/>
      <c r="P611" s="39"/>
      <c r="Q611" s="39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5.75" customHeight="1">
      <c r="A612" s="79"/>
      <c r="B612" s="80"/>
      <c r="C612" s="80"/>
      <c r="D612" s="81"/>
      <c r="E612" s="82"/>
      <c r="F612" s="82"/>
      <c r="G612" s="82"/>
      <c r="H612" s="82"/>
      <c r="I612" s="82"/>
      <c r="J612" s="82"/>
      <c r="K612" s="83"/>
      <c r="L612" s="84"/>
      <c r="M612" s="85"/>
      <c r="N612" s="38"/>
      <c r="O612" s="39"/>
      <c r="P612" s="39"/>
      <c r="Q612" s="39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5.75" customHeight="1">
      <c r="A613" s="79"/>
      <c r="B613" s="80"/>
      <c r="C613" s="80"/>
      <c r="D613" s="81"/>
      <c r="E613" s="82"/>
      <c r="F613" s="82"/>
      <c r="G613" s="82"/>
      <c r="H613" s="82"/>
      <c r="I613" s="82"/>
      <c r="J613" s="82"/>
      <c r="K613" s="83"/>
      <c r="L613" s="84"/>
      <c r="M613" s="85"/>
      <c r="N613" s="38"/>
      <c r="O613" s="39"/>
      <c r="P613" s="39"/>
      <c r="Q613" s="39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5.75" customHeight="1">
      <c r="A614" s="79"/>
      <c r="B614" s="80"/>
      <c r="C614" s="80"/>
      <c r="D614" s="81"/>
      <c r="E614" s="82"/>
      <c r="F614" s="82"/>
      <c r="G614" s="82"/>
      <c r="H614" s="82"/>
      <c r="I614" s="82"/>
      <c r="J614" s="82"/>
      <c r="K614" s="83"/>
      <c r="L614" s="84"/>
      <c r="M614" s="85"/>
      <c r="N614" s="38"/>
      <c r="O614" s="39"/>
      <c r="P614" s="39"/>
      <c r="Q614" s="39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5.75" customHeight="1">
      <c r="A615" s="79"/>
      <c r="B615" s="80"/>
      <c r="C615" s="80"/>
      <c r="D615" s="81"/>
      <c r="E615" s="82"/>
      <c r="F615" s="82"/>
      <c r="G615" s="82"/>
      <c r="H615" s="82"/>
      <c r="I615" s="82"/>
      <c r="J615" s="82"/>
      <c r="K615" s="83"/>
      <c r="L615" s="84"/>
      <c r="M615" s="85"/>
      <c r="N615" s="38"/>
      <c r="O615" s="39"/>
      <c r="P615" s="39"/>
      <c r="Q615" s="39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5.75" customHeight="1">
      <c r="A616" s="79"/>
      <c r="B616" s="80"/>
      <c r="C616" s="80"/>
      <c r="D616" s="81"/>
      <c r="E616" s="82"/>
      <c r="F616" s="82"/>
      <c r="G616" s="82"/>
      <c r="H616" s="82"/>
      <c r="I616" s="82"/>
      <c r="J616" s="82"/>
      <c r="K616" s="83"/>
      <c r="L616" s="84"/>
      <c r="M616" s="85"/>
      <c r="N616" s="38"/>
      <c r="O616" s="39"/>
      <c r="P616" s="39"/>
      <c r="Q616" s="39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5.75" customHeight="1">
      <c r="A617" s="79"/>
      <c r="B617" s="80"/>
      <c r="C617" s="80"/>
      <c r="D617" s="81"/>
      <c r="E617" s="82"/>
      <c r="F617" s="82"/>
      <c r="G617" s="82"/>
      <c r="H617" s="82"/>
      <c r="I617" s="82"/>
      <c r="J617" s="82"/>
      <c r="K617" s="83"/>
      <c r="L617" s="84"/>
      <c r="M617" s="85"/>
      <c r="N617" s="38"/>
      <c r="O617" s="39"/>
      <c r="P617" s="39"/>
      <c r="Q617" s="39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5.75" customHeight="1">
      <c r="A618" s="79"/>
      <c r="B618" s="80"/>
      <c r="C618" s="80"/>
      <c r="D618" s="81"/>
      <c r="E618" s="82"/>
      <c r="F618" s="82"/>
      <c r="G618" s="82"/>
      <c r="H618" s="82"/>
      <c r="I618" s="82"/>
      <c r="J618" s="82"/>
      <c r="K618" s="83"/>
      <c r="L618" s="84"/>
      <c r="M618" s="85"/>
      <c r="N618" s="38"/>
      <c r="O618" s="39"/>
      <c r="P618" s="39"/>
      <c r="Q618" s="39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5.75" customHeight="1">
      <c r="A619" s="79"/>
      <c r="B619" s="80"/>
      <c r="C619" s="80"/>
      <c r="D619" s="81"/>
      <c r="E619" s="82"/>
      <c r="F619" s="82"/>
      <c r="G619" s="82"/>
      <c r="H619" s="82"/>
      <c r="I619" s="82"/>
      <c r="J619" s="82"/>
      <c r="K619" s="83"/>
      <c r="L619" s="84"/>
      <c r="M619" s="85"/>
      <c r="N619" s="38"/>
      <c r="O619" s="39"/>
      <c r="P619" s="39"/>
      <c r="Q619" s="39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5.75" customHeight="1">
      <c r="A620" s="79"/>
      <c r="B620" s="80"/>
      <c r="C620" s="80"/>
      <c r="D620" s="81"/>
      <c r="E620" s="82"/>
      <c r="F620" s="82"/>
      <c r="G620" s="82"/>
      <c r="H620" s="82"/>
      <c r="I620" s="82"/>
      <c r="J620" s="82"/>
      <c r="K620" s="83"/>
      <c r="L620" s="84"/>
      <c r="M620" s="85"/>
      <c r="N620" s="38"/>
      <c r="O620" s="39"/>
      <c r="P620" s="39"/>
      <c r="Q620" s="39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5.75" customHeight="1">
      <c r="A621" s="79"/>
      <c r="B621" s="80"/>
      <c r="C621" s="80"/>
      <c r="D621" s="81"/>
      <c r="E621" s="82"/>
      <c r="F621" s="82"/>
      <c r="G621" s="82"/>
      <c r="H621" s="82"/>
      <c r="I621" s="82"/>
      <c r="J621" s="82"/>
      <c r="K621" s="83"/>
      <c r="L621" s="84"/>
      <c r="M621" s="85"/>
      <c r="N621" s="38"/>
      <c r="O621" s="39"/>
      <c r="P621" s="39"/>
      <c r="Q621" s="39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5.75" customHeight="1">
      <c r="A622" s="79"/>
      <c r="B622" s="80"/>
      <c r="C622" s="80"/>
      <c r="D622" s="81"/>
      <c r="E622" s="82"/>
      <c r="F622" s="82"/>
      <c r="G622" s="82"/>
      <c r="H622" s="82"/>
      <c r="I622" s="82"/>
      <c r="J622" s="82"/>
      <c r="K622" s="83"/>
      <c r="L622" s="84"/>
      <c r="M622" s="85"/>
      <c r="N622" s="38"/>
      <c r="O622" s="39"/>
      <c r="P622" s="39"/>
      <c r="Q622" s="39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5.75" customHeight="1">
      <c r="A623" s="79"/>
      <c r="B623" s="80"/>
      <c r="C623" s="80"/>
      <c r="D623" s="81"/>
      <c r="E623" s="82"/>
      <c r="F623" s="82"/>
      <c r="G623" s="82"/>
      <c r="H623" s="82"/>
      <c r="I623" s="82"/>
      <c r="J623" s="82"/>
      <c r="K623" s="83"/>
      <c r="L623" s="84"/>
      <c r="M623" s="85"/>
      <c r="N623" s="38"/>
      <c r="O623" s="39"/>
      <c r="P623" s="39"/>
      <c r="Q623" s="39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5.75" customHeight="1">
      <c r="A624" s="79"/>
      <c r="B624" s="80"/>
      <c r="C624" s="80"/>
      <c r="D624" s="81"/>
      <c r="E624" s="82"/>
      <c r="F624" s="82"/>
      <c r="G624" s="82"/>
      <c r="H624" s="82"/>
      <c r="I624" s="82"/>
      <c r="J624" s="82"/>
      <c r="K624" s="83"/>
      <c r="L624" s="84"/>
      <c r="M624" s="85"/>
      <c r="N624" s="38"/>
      <c r="O624" s="39"/>
      <c r="P624" s="39"/>
      <c r="Q624" s="39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5.75" customHeight="1">
      <c r="A625" s="79"/>
      <c r="B625" s="80"/>
      <c r="C625" s="80"/>
      <c r="D625" s="81"/>
      <c r="E625" s="82"/>
      <c r="F625" s="82"/>
      <c r="G625" s="82"/>
      <c r="H625" s="82"/>
      <c r="I625" s="82"/>
      <c r="J625" s="82"/>
      <c r="K625" s="83"/>
      <c r="L625" s="84"/>
      <c r="M625" s="85"/>
      <c r="N625" s="38"/>
      <c r="O625" s="39"/>
      <c r="P625" s="39"/>
      <c r="Q625" s="39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5.75" customHeight="1">
      <c r="A626" s="79"/>
      <c r="B626" s="80"/>
      <c r="C626" s="80"/>
      <c r="D626" s="81"/>
      <c r="E626" s="82"/>
      <c r="F626" s="82"/>
      <c r="G626" s="82"/>
      <c r="H626" s="82"/>
      <c r="I626" s="82"/>
      <c r="J626" s="82"/>
      <c r="K626" s="83"/>
      <c r="L626" s="84"/>
      <c r="M626" s="85"/>
      <c r="N626" s="38"/>
      <c r="O626" s="39"/>
      <c r="P626" s="39"/>
      <c r="Q626" s="39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5.75" customHeight="1">
      <c r="A627" s="79"/>
      <c r="B627" s="80"/>
      <c r="C627" s="80"/>
      <c r="D627" s="81"/>
      <c r="E627" s="82"/>
      <c r="F627" s="82"/>
      <c r="G627" s="82"/>
      <c r="H627" s="82"/>
      <c r="I627" s="82"/>
      <c r="J627" s="82"/>
      <c r="K627" s="83"/>
      <c r="L627" s="84"/>
      <c r="M627" s="85"/>
      <c r="N627" s="38"/>
      <c r="O627" s="39"/>
      <c r="P627" s="39"/>
      <c r="Q627" s="39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5.75" customHeight="1">
      <c r="A628" s="79"/>
      <c r="B628" s="80"/>
      <c r="C628" s="80"/>
      <c r="D628" s="81"/>
      <c r="E628" s="82"/>
      <c r="F628" s="82"/>
      <c r="G628" s="82"/>
      <c r="H628" s="82"/>
      <c r="I628" s="82"/>
      <c r="J628" s="82"/>
      <c r="K628" s="83"/>
      <c r="L628" s="84"/>
      <c r="M628" s="85"/>
      <c r="N628" s="38"/>
      <c r="O628" s="39"/>
      <c r="P628" s="39"/>
      <c r="Q628" s="39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5.75" customHeight="1">
      <c r="A629" s="79"/>
      <c r="B629" s="80"/>
      <c r="C629" s="80"/>
      <c r="D629" s="81"/>
      <c r="E629" s="82"/>
      <c r="F629" s="82"/>
      <c r="G629" s="82"/>
      <c r="H629" s="82"/>
      <c r="I629" s="82"/>
      <c r="J629" s="82"/>
      <c r="K629" s="83"/>
      <c r="L629" s="84"/>
      <c r="M629" s="85"/>
      <c r="N629" s="38"/>
      <c r="O629" s="39"/>
      <c r="P629" s="39"/>
      <c r="Q629" s="39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5.75" customHeight="1">
      <c r="A630" s="79"/>
      <c r="B630" s="80"/>
      <c r="C630" s="80"/>
      <c r="D630" s="81"/>
      <c r="E630" s="82"/>
      <c r="F630" s="82"/>
      <c r="G630" s="82"/>
      <c r="H630" s="82"/>
      <c r="I630" s="82"/>
      <c r="J630" s="82"/>
      <c r="K630" s="83"/>
      <c r="L630" s="84"/>
      <c r="M630" s="85"/>
      <c r="N630" s="38"/>
      <c r="O630" s="39"/>
      <c r="P630" s="39"/>
      <c r="Q630" s="39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5.75" customHeight="1">
      <c r="A631" s="79"/>
      <c r="B631" s="80"/>
      <c r="C631" s="80"/>
      <c r="D631" s="81"/>
      <c r="E631" s="82"/>
      <c r="F631" s="82"/>
      <c r="G631" s="82"/>
      <c r="H631" s="82"/>
      <c r="I631" s="82"/>
      <c r="J631" s="82"/>
      <c r="K631" s="83"/>
      <c r="L631" s="84"/>
      <c r="M631" s="85"/>
      <c r="N631" s="38"/>
      <c r="O631" s="39"/>
      <c r="P631" s="39"/>
      <c r="Q631" s="39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5.75" customHeight="1">
      <c r="A632" s="79"/>
      <c r="B632" s="80"/>
      <c r="C632" s="80"/>
      <c r="D632" s="81"/>
      <c r="E632" s="82"/>
      <c r="F632" s="82"/>
      <c r="G632" s="82"/>
      <c r="H632" s="82"/>
      <c r="I632" s="82"/>
      <c r="J632" s="82"/>
      <c r="K632" s="83"/>
      <c r="L632" s="84"/>
      <c r="M632" s="85"/>
      <c r="N632" s="38"/>
      <c r="O632" s="39"/>
      <c r="P632" s="39"/>
      <c r="Q632" s="39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5.75" customHeight="1">
      <c r="A633" s="79"/>
      <c r="B633" s="80"/>
      <c r="C633" s="80"/>
      <c r="D633" s="81"/>
      <c r="E633" s="82"/>
      <c r="F633" s="82"/>
      <c r="G633" s="82"/>
      <c r="H633" s="82"/>
      <c r="I633" s="82"/>
      <c r="J633" s="82"/>
      <c r="K633" s="83"/>
      <c r="L633" s="84"/>
      <c r="M633" s="85"/>
      <c r="N633" s="38"/>
      <c r="O633" s="39"/>
      <c r="P633" s="39"/>
      <c r="Q633" s="39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5.75" customHeight="1">
      <c r="A634" s="79"/>
      <c r="B634" s="80"/>
      <c r="C634" s="80"/>
      <c r="D634" s="81"/>
      <c r="E634" s="82"/>
      <c r="F634" s="82"/>
      <c r="G634" s="82"/>
      <c r="H634" s="82"/>
      <c r="I634" s="82"/>
      <c r="J634" s="82"/>
      <c r="K634" s="83"/>
      <c r="L634" s="84"/>
      <c r="M634" s="85"/>
      <c r="N634" s="38"/>
      <c r="O634" s="39"/>
      <c r="P634" s="39"/>
      <c r="Q634" s="39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5.75" customHeight="1">
      <c r="A635" s="79"/>
      <c r="B635" s="80"/>
      <c r="C635" s="80"/>
      <c r="D635" s="81"/>
      <c r="E635" s="82"/>
      <c r="F635" s="82"/>
      <c r="G635" s="82"/>
      <c r="H635" s="82"/>
      <c r="I635" s="82"/>
      <c r="J635" s="82"/>
      <c r="K635" s="83"/>
      <c r="L635" s="84"/>
      <c r="M635" s="85"/>
      <c r="N635" s="38"/>
      <c r="O635" s="39"/>
      <c r="P635" s="39"/>
      <c r="Q635" s="39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5.75" customHeight="1">
      <c r="A636" s="79"/>
      <c r="B636" s="80"/>
      <c r="C636" s="80"/>
      <c r="D636" s="81"/>
      <c r="E636" s="82"/>
      <c r="F636" s="82"/>
      <c r="G636" s="82"/>
      <c r="H636" s="82"/>
      <c r="I636" s="82"/>
      <c r="J636" s="82"/>
      <c r="K636" s="83"/>
      <c r="L636" s="84"/>
      <c r="M636" s="85"/>
      <c r="N636" s="38"/>
      <c r="O636" s="39"/>
      <c r="P636" s="39"/>
      <c r="Q636" s="39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5.75" customHeight="1">
      <c r="A637" s="79"/>
      <c r="B637" s="80"/>
      <c r="C637" s="80"/>
      <c r="D637" s="81"/>
      <c r="E637" s="82"/>
      <c r="F637" s="82"/>
      <c r="G637" s="82"/>
      <c r="H637" s="82"/>
      <c r="I637" s="82"/>
      <c r="J637" s="82"/>
      <c r="K637" s="83"/>
      <c r="L637" s="84"/>
      <c r="M637" s="85"/>
      <c r="N637" s="38"/>
      <c r="O637" s="39"/>
      <c r="P637" s="39"/>
      <c r="Q637" s="39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5.75" customHeight="1">
      <c r="A638" s="79"/>
      <c r="B638" s="80"/>
      <c r="C638" s="80"/>
      <c r="D638" s="81"/>
      <c r="E638" s="82"/>
      <c r="F638" s="82"/>
      <c r="G638" s="82"/>
      <c r="H638" s="82"/>
      <c r="I638" s="82"/>
      <c r="J638" s="82"/>
      <c r="K638" s="83"/>
      <c r="L638" s="84"/>
      <c r="M638" s="85"/>
      <c r="N638" s="38"/>
      <c r="O638" s="39"/>
      <c r="P638" s="39"/>
      <c r="Q638" s="39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5.75" customHeight="1">
      <c r="A639" s="79"/>
      <c r="B639" s="80"/>
      <c r="C639" s="80"/>
      <c r="D639" s="81"/>
      <c r="E639" s="82"/>
      <c r="F639" s="82"/>
      <c r="G639" s="82"/>
      <c r="H639" s="82"/>
      <c r="I639" s="82"/>
      <c r="J639" s="82"/>
      <c r="K639" s="83"/>
      <c r="L639" s="84"/>
      <c r="M639" s="85"/>
      <c r="N639" s="38"/>
      <c r="O639" s="39"/>
      <c r="P639" s="39"/>
      <c r="Q639" s="39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5.75" customHeight="1">
      <c r="A640" s="79"/>
      <c r="B640" s="80"/>
      <c r="C640" s="80"/>
      <c r="D640" s="81"/>
      <c r="E640" s="82"/>
      <c r="F640" s="82"/>
      <c r="G640" s="82"/>
      <c r="H640" s="82"/>
      <c r="I640" s="82"/>
      <c r="J640" s="82"/>
      <c r="K640" s="83"/>
      <c r="L640" s="84"/>
      <c r="M640" s="85"/>
      <c r="N640" s="38"/>
      <c r="O640" s="39"/>
      <c r="P640" s="39"/>
      <c r="Q640" s="39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5.75" customHeight="1">
      <c r="A641" s="79"/>
      <c r="B641" s="80"/>
      <c r="C641" s="80"/>
      <c r="D641" s="81"/>
      <c r="E641" s="82"/>
      <c r="F641" s="82"/>
      <c r="G641" s="82"/>
      <c r="H641" s="82"/>
      <c r="I641" s="82"/>
      <c r="J641" s="82"/>
      <c r="K641" s="83"/>
      <c r="L641" s="84"/>
      <c r="M641" s="85"/>
      <c r="N641" s="38"/>
      <c r="O641" s="39"/>
      <c r="P641" s="39"/>
      <c r="Q641" s="39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5.75" customHeight="1">
      <c r="A642" s="79"/>
      <c r="B642" s="80"/>
      <c r="C642" s="80"/>
      <c r="D642" s="81"/>
      <c r="E642" s="82"/>
      <c r="F642" s="82"/>
      <c r="G642" s="82"/>
      <c r="H642" s="82"/>
      <c r="I642" s="82"/>
      <c r="J642" s="82"/>
      <c r="K642" s="83"/>
      <c r="L642" s="84"/>
      <c r="M642" s="85"/>
      <c r="N642" s="38"/>
      <c r="O642" s="39"/>
      <c r="P642" s="39"/>
      <c r="Q642" s="39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5.75" customHeight="1">
      <c r="A643" s="79"/>
      <c r="B643" s="80"/>
      <c r="C643" s="80"/>
      <c r="D643" s="81"/>
      <c r="E643" s="82"/>
      <c r="F643" s="82"/>
      <c r="G643" s="82"/>
      <c r="H643" s="82"/>
      <c r="I643" s="82"/>
      <c r="J643" s="82"/>
      <c r="K643" s="83"/>
      <c r="L643" s="84"/>
      <c r="M643" s="85"/>
      <c r="N643" s="38"/>
      <c r="O643" s="39"/>
      <c r="P643" s="39"/>
      <c r="Q643" s="39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5.75" customHeight="1">
      <c r="A644" s="79"/>
      <c r="B644" s="80"/>
      <c r="C644" s="80"/>
      <c r="D644" s="81"/>
      <c r="E644" s="82"/>
      <c r="F644" s="82"/>
      <c r="G644" s="82"/>
      <c r="H644" s="82"/>
      <c r="I644" s="82"/>
      <c r="J644" s="82"/>
      <c r="K644" s="83"/>
      <c r="L644" s="84"/>
      <c r="M644" s="85"/>
      <c r="N644" s="38"/>
      <c r="O644" s="39"/>
      <c r="P644" s="39"/>
      <c r="Q644" s="39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5.75" customHeight="1">
      <c r="A645" s="79"/>
      <c r="B645" s="80"/>
      <c r="C645" s="80"/>
      <c r="D645" s="81"/>
      <c r="E645" s="82"/>
      <c r="F645" s="82"/>
      <c r="G645" s="82"/>
      <c r="H645" s="82"/>
      <c r="I645" s="82"/>
      <c r="J645" s="82"/>
      <c r="K645" s="83"/>
      <c r="L645" s="84"/>
      <c r="M645" s="85"/>
      <c r="N645" s="38"/>
      <c r="O645" s="39"/>
      <c r="P645" s="39"/>
      <c r="Q645" s="39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5.75" customHeight="1">
      <c r="A646" s="79"/>
      <c r="B646" s="80"/>
      <c r="C646" s="80"/>
      <c r="D646" s="81"/>
      <c r="E646" s="82"/>
      <c r="F646" s="82"/>
      <c r="G646" s="82"/>
      <c r="H646" s="82"/>
      <c r="I646" s="82"/>
      <c r="J646" s="82"/>
      <c r="K646" s="83"/>
      <c r="L646" s="84"/>
      <c r="M646" s="85"/>
      <c r="N646" s="38"/>
      <c r="O646" s="39"/>
      <c r="P646" s="39"/>
      <c r="Q646" s="39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5.75" customHeight="1">
      <c r="A647" s="79"/>
      <c r="B647" s="80"/>
      <c r="C647" s="80"/>
      <c r="D647" s="81"/>
      <c r="E647" s="82"/>
      <c r="F647" s="82"/>
      <c r="G647" s="82"/>
      <c r="H647" s="82"/>
      <c r="I647" s="82"/>
      <c r="J647" s="82"/>
      <c r="K647" s="83"/>
      <c r="L647" s="84"/>
      <c r="M647" s="85"/>
      <c r="N647" s="38"/>
      <c r="O647" s="39"/>
      <c r="P647" s="39"/>
      <c r="Q647" s="39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5.75" customHeight="1">
      <c r="A648" s="79"/>
      <c r="B648" s="80"/>
      <c r="C648" s="80"/>
      <c r="D648" s="81"/>
      <c r="E648" s="82"/>
      <c r="F648" s="82"/>
      <c r="G648" s="82"/>
      <c r="H648" s="82"/>
      <c r="I648" s="82"/>
      <c r="J648" s="82"/>
      <c r="K648" s="83"/>
      <c r="L648" s="84"/>
      <c r="M648" s="85"/>
      <c r="N648" s="38"/>
      <c r="O648" s="39"/>
      <c r="P648" s="39"/>
      <c r="Q648" s="39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5.75" customHeight="1">
      <c r="A649" s="79"/>
      <c r="B649" s="80"/>
      <c r="C649" s="80"/>
      <c r="D649" s="81"/>
      <c r="E649" s="82"/>
      <c r="F649" s="82"/>
      <c r="G649" s="82"/>
      <c r="H649" s="82"/>
      <c r="I649" s="82"/>
      <c r="J649" s="82"/>
      <c r="K649" s="83"/>
      <c r="L649" s="84"/>
      <c r="M649" s="85"/>
      <c r="N649" s="38"/>
      <c r="O649" s="39"/>
      <c r="P649" s="39"/>
      <c r="Q649" s="39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5.75" customHeight="1">
      <c r="A650" s="79"/>
      <c r="B650" s="80"/>
      <c r="C650" s="80"/>
      <c r="D650" s="81"/>
      <c r="E650" s="82"/>
      <c r="F650" s="82"/>
      <c r="G650" s="82"/>
      <c r="H650" s="82"/>
      <c r="I650" s="82"/>
      <c r="J650" s="82"/>
      <c r="K650" s="83"/>
      <c r="L650" s="84"/>
      <c r="M650" s="85"/>
      <c r="N650" s="38"/>
      <c r="O650" s="39"/>
      <c r="P650" s="39"/>
      <c r="Q650" s="39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5.75" customHeight="1">
      <c r="A651" s="79"/>
      <c r="B651" s="80"/>
      <c r="C651" s="80"/>
      <c r="D651" s="81"/>
      <c r="E651" s="82"/>
      <c r="F651" s="82"/>
      <c r="G651" s="82"/>
      <c r="H651" s="82"/>
      <c r="I651" s="82"/>
      <c r="J651" s="82"/>
      <c r="K651" s="83"/>
      <c r="L651" s="84"/>
      <c r="M651" s="85"/>
      <c r="N651" s="38"/>
      <c r="O651" s="39"/>
      <c r="P651" s="39"/>
      <c r="Q651" s="39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5.75" customHeight="1">
      <c r="A652" s="79"/>
      <c r="B652" s="80"/>
      <c r="C652" s="80"/>
      <c r="D652" s="81"/>
      <c r="E652" s="82"/>
      <c r="F652" s="82"/>
      <c r="G652" s="82"/>
      <c r="H652" s="82"/>
      <c r="I652" s="82"/>
      <c r="J652" s="82"/>
      <c r="K652" s="83"/>
      <c r="L652" s="84"/>
      <c r="M652" s="85"/>
      <c r="N652" s="38"/>
      <c r="O652" s="39"/>
      <c r="P652" s="39"/>
      <c r="Q652" s="39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5.75" customHeight="1">
      <c r="A653" s="79"/>
      <c r="B653" s="80"/>
      <c r="C653" s="80"/>
      <c r="D653" s="81"/>
      <c r="E653" s="82"/>
      <c r="F653" s="82"/>
      <c r="G653" s="82"/>
      <c r="H653" s="82"/>
      <c r="I653" s="82"/>
      <c r="J653" s="82"/>
      <c r="K653" s="83"/>
      <c r="L653" s="84"/>
      <c r="M653" s="85"/>
      <c r="N653" s="38"/>
      <c r="O653" s="39"/>
      <c r="P653" s="39"/>
      <c r="Q653" s="39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5.75" customHeight="1">
      <c r="A654" s="79"/>
      <c r="B654" s="80"/>
      <c r="C654" s="80"/>
      <c r="D654" s="81"/>
      <c r="E654" s="82"/>
      <c r="F654" s="82"/>
      <c r="G654" s="82"/>
      <c r="H654" s="82"/>
      <c r="I654" s="82"/>
      <c r="J654" s="82"/>
      <c r="K654" s="83"/>
      <c r="L654" s="84"/>
      <c r="M654" s="85"/>
      <c r="N654" s="38"/>
      <c r="O654" s="39"/>
      <c r="P654" s="39"/>
      <c r="Q654" s="39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5.75" customHeight="1">
      <c r="A655" s="79"/>
      <c r="B655" s="80"/>
      <c r="C655" s="80"/>
      <c r="D655" s="81"/>
      <c r="E655" s="82"/>
      <c r="F655" s="82"/>
      <c r="G655" s="82"/>
      <c r="H655" s="82"/>
      <c r="I655" s="82"/>
      <c r="J655" s="82"/>
      <c r="K655" s="83"/>
      <c r="L655" s="84"/>
      <c r="M655" s="85"/>
      <c r="N655" s="38"/>
      <c r="O655" s="39"/>
      <c r="P655" s="39"/>
      <c r="Q655" s="39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5.75" customHeight="1">
      <c r="A656" s="79"/>
      <c r="B656" s="80"/>
      <c r="C656" s="80"/>
      <c r="D656" s="81"/>
      <c r="E656" s="82"/>
      <c r="F656" s="82"/>
      <c r="G656" s="82"/>
      <c r="H656" s="82"/>
      <c r="I656" s="82"/>
      <c r="J656" s="82"/>
      <c r="K656" s="83"/>
      <c r="L656" s="84"/>
      <c r="M656" s="85"/>
      <c r="N656" s="38"/>
      <c r="O656" s="39"/>
      <c r="P656" s="39"/>
      <c r="Q656" s="39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5.75" customHeight="1">
      <c r="A657" s="79"/>
      <c r="B657" s="80"/>
      <c r="C657" s="80"/>
      <c r="D657" s="81"/>
      <c r="E657" s="82"/>
      <c r="F657" s="82"/>
      <c r="G657" s="82"/>
      <c r="H657" s="82"/>
      <c r="I657" s="82"/>
      <c r="J657" s="82"/>
      <c r="K657" s="83"/>
      <c r="L657" s="84"/>
      <c r="M657" s="85"/>
      <c r="N657" s="38"/>
      <c r="O657" s="39"/>
      <c r="P657" s="39"/>
      <c r="Q657" s="39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5.75" customHeight="1">
      <c r="A658" s="79"/>
      <c r="B658" s="80"/>
      <c r="C658" s="80"/>
      <c r="D658" s="81"/>
      <c r="E658" s="82"/>
      <c r="F658" s="82"/>
      <c r="G658" s="82"/>
      <c r="H658" s="82"/>
      <c r="I658" s="82"/>
      <c r="J658" s="82"/>
      <c r="K658" s="83"/>
      <c r="L658" s="84"/>
      <c r="M658" s="85"/>
      <c r="N658" s="38"/>
      <c r="O658" s="39"/>
      <c r="P658" s="39"/>
      <c r="Q658" s="39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5.75" customHeight="1">
      <c r="A659" s="79"/>
      <c r="B659" s="80"/>
      <c r="C659" s="80"/>
      <c r="D659" s="81"/>
      <c r="E659" s="82"/>
      <c r="F659" s="82"/>
      <c r="G659" s="82"/>
      <c r="H659" s="82"/>
      <c r="I659" s="82"/>
      <c r="J659" s="82"/>
      <c r="K659" s="83"/>
      <c r="L659" s="84"/>
      <c r="M659" s="85"/>
      <c r="N659" s="38"/>
      <c r="O659" s="39"/>
      <c r="P659" s="39"/>
      <c r="Q659" s="39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5.75" customHeight="1">
      <c r="A660" s="79"/>
      <c r="B660" s="80"/>
      <c r="C660" s="80"/>
      <c r="D660" s="81"/>
      <c r="E660" s="82"/>
      <c r="F660" s="82"/>
      <c r="G660" s="82"/>
      <c r="H660" s="82"/>
      <c r="I660" s="82"/>
      <c r="J660" s="82"/>
      <c r="K660" s="83"/>
      <c r="L660" s="84"/>
      <c r="M660" s="85"/>
      <c r="N660" s="38"/>
      <c r="O660" s="39"/>
      <c r="P660" s="39"/>
      <c r="Q660" s="39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5.75" customHeight="1">
      <c r="A661" s="79"/>
      <c r="B661" s="80"/>
      <c r="C661" s="80"/>
      <c r="D661" s="81"/>
      <c r="E661" s="82"/>
      <c r="F661" s="82"/>
      <c r="G661" s="82"/>
      <c r="H661" s="82"/>
      <c r="I661" s="82"/>
      <c r="J661" s="82"/>
      <c r="K661" s="83"/>
      <c r="L661" s="84"/>
      <c r="M661" s="85"/>
      <c r="N661" s="38"/>
      <c r="O661" s="39"/>
      <c r="P661" s="39"/>
      <c r="Q661" s="39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5.75" customHeight="1">
      <c r="A662" s="79"/>
      <c r="B662" s="80"/>
      <c r="C662" s="80"/>
      <c r="D662" s="81"/>
      <c r="E662" s="82"/>
      <c r="F662" s="82"/>
      <c r="G662" s="82"/>
      <c r="H662" s="82"/>
      <c r="I662" s="82"/>
      <c r="J662" s="82"/>
      <c r="K662" s="83"/>
      <c r="L662" s="84"/>
      <c r="M662" s="85"/>
      <c r="N662" s="38"/>
      <c r="O662" s="39"/>
      <c r="P662" s="39"/>
      <c r="Q662" s="39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5.75" customHeight="1">
      <c r="A663" s="79"/>
      <c r="B663" s="80"/>
      <c r="C663" s="80"/>
      <c r="D663" s="81"/>
      <c r="E663" s="82"/>
      <c r="F663" s="82"/>
      <c r="G663" s="82"/>
      <c r="H663" s="82"/>
      <c r="I663" s="82"/>
      <c r="J663" s="82"/>
      <c r="K663" s="83"/>
      <c r="L663" s="84"/>
      <c r="M663" s="85"/>
      <c r="N663" s="38"/>
      <c r="O663" s="39"/>
      <c r="P663" s="39"/>
      <c r="Q663" s="39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5.75" customHeight="1">
      <c r="A664" s="79"/>
      <c r="B664" s="80"/>
      <c r="C664" s="80"/>
      <c r="D664" s="81"/>
      <c r="E664" s="82"/>
      <c r="F664" s="82"/>
      <c r="G664" s="82"/>
      <c r="H664" s="82"/>
      <c r="I664" s="82"/>
      <c r="J664" s="82"/>
      <c r="K664" s="83"/>
      <c r="L664" s="84"/>
      <c r="M664" s="85"/>
      <c r="N664" s="38"/>
      <c r="O664" s="39"/>
      <c r="P664" s="39"/>
      <c r="Q664" s="39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5.75" customHeight="1">
      <c r="A665" s="79"/>
      <c r="B665" s="80"/>
      <c r="C665" s="80"/>
      <c r="D665" s="81"/>
      <c r="E665" s="82"/>
      <c r="F665" s="82"/>
      <c r="G665" s="82"/>
      <c r="H665" s="82"/>
      <c r="I665" s="82"/>
      <c r="J665" s="82"/>
      <c r="K665" s="83"/>
      <c r="L665" s="84"/>
      <c r="M665" s="85"/>
      <c r="N665" s="38"/>
      <c r="O665" s="39"/>
      <c r="P665" s="39"/>
      <c r="Q665" s="39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5.75" customHeight="1">
      <c r="A666" s="79"/>
      <c r="B666" s="80"/>
      <c r="C666" s="80"/>
      <c r="D666" s="81"/>
      <c r="E666" s="82"/>
      <c r="F666" s="82"/>
      <c r="G666" s="82"/>
      <c r="H666" s="82"/>
      <c r="I666" s="82"/>
      <c r="J666" s="82"/>
      <c r="K666" s="83"/>
      <c r="L666" s="84"/>
      <c r="M666" s="85"/>
      <c r="N666" s="38"/>
      <c r="O666" s="39"/>
      <c r="P666" s="39"/>
      <c r="Q666" s="39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5.75" customHeight="1">
      <c r="A667" s="79"/>
      <c r="B667" s="80"/>
      <c r="C667" s="80"/>
      <c r="D667" s="81"/>
      <c r="E667" s="82"/>
      <c r="F667" s="82"/>
      <c r="G667" s="82"/>
      <c r="H667" s="82"/>
      <c r="I667" s="82"/>
      <c r="J667" s="82"/>
      <c r="K667" s="83"/>
      <c r="L667" s="84"/>
      <c r="M667" s="85"/>
      <c r="N667" s="38"/>
      <c r="O667" s="39"/>
      <c r="P667" s="39"/>
      <c r="Q667" s="39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5.75" customHeight="1">
      <c r="A668" s="79"/>
      <c r="B668" s="80"/>
      <c r="C668" s="80"/>
      <c r="D668" s="81"/>
      <c r="E668" s="82"/>
      <c r="F668" s="82"/>
      <c r="G668" s="82"/>
      <c r="H668" s="82"/>
      <c r="I668" s="82"/>
      <c r="J668" s="82"/>
      <c r="K668" s="83"/>
      <c r="L668" s="84"/>
      <c r="M668" s="85"/>
      <c r="N668" s="38"/>
      <c r="O668" s="39"/>
      <c r="P668" s="39"/>
      <c r="Q668" s="39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5.75" customHeight="1">
      <c r="A669" s="79"/>
      <c r="B669" s="80"/>
      <c r="C669" s="80"/>
      <c r="D669" s="81"/>
      <c r="E669" s="82"/>
      <c r="F669" s="82"/>
      <c r="G669" s="82"/>
      <c r="H669" s="82"/>
      <c r="I669" s="82"/>
      <c r="J669" s="82"/>
      <c r="K669" s="83"/>
      <c r="L669" s="84"/>
      <c r="M669" s="85"/>
      <c r="N669" s="38"/>
      <c r="O669" s="39"/>
      <c r="P669" s="39"/>
      <c r="Q669" s="39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5.75" customHeight="1">
      <c r="A670" s="79"/>
      <c r="B670" s="80"/>
      <c r="C670" s="80"/>
      <c r="D670" s="81"/>
      <c r="E670" s="82"/>
      <c r="F670" s="82"/>
      <c r="G670" s="82"/>
      <c r="H670" s="82"/>
      <c r="I670" s="82"/>
      <c r="J670" s="82"/>
      <c r="K670" s="83"/>
      <c r="L670" s="84"/>
      <c r="M670" s="85"/>
      <c r="N670" s="38"/>
      <c r="O670" s="39"/>
      <c r="P670" s="39"/>
      <c r="Q670" s="39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5.75" customHeight="1">
      <c r="A671" s="79"/>
      <c r="B671" s="80"/>
      <c r="C671" s="80"/>
      <c r="D671" s="81"/>
      <c r="E671" s="82"/>
      <c r="F671" s="82"/>
      <c r="G671" s="82"/>
      <c r="H671" s="82"/>
      <c r="I671" s="82"/>
      <c r="J671" s="82"/>
      <c r="K671" s="83"/>
      <c r="L671" s="84"/>
      <c r="M671" s="85"/>
      <c r="N671" s="38"/>
      <c r="O671" s="39"/>
      <c r="P671" s="39"/>
      <c r="Q671" s="39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5.75" customHeight="1">
      <c r="A672" s="79"/>
      <c r="B672" s="80"/>
      <c r="C672" s="80"/>
      <c r="D672" s="81"/>
      <c r="E672" s="82"/>
      <c r="F672" s="82"/>
      <c r="G672" s="82"/>
      <c r="H672" s="82"/>
      <c r="I672" s="82"/>
      <c r="J672" s="82"/>
      <c r="K672" s="83"/>
      <c r="L672" s="84"/>
      <c r="M672" s="85"/>
      <c r="N672" s="38"/>
      <c r="O672" s="39"/>
      <c r="P672" s="39"/>
      <c r="Q672" s="39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5.75" customHeight="1">
      <c r="A673" s="79"/>
      <c r="B673" s="80"/>
      <c r="C673" s="80"/>
      <c r="D673" s="81"/>
      <c r="E673" s="82"/>
      <c r="F673" s="82"/>
      <c r="G673" s="82"/>
      <c r="H673" s="82"/>
      <c r="I673" s="82"/>
      <c r="J673" s="82"/>
      <c r="K673" s="83"/>
      <c r="L673" s="84"/>
      <c r="M673" s="85"/>
      <c r="N673" s="38"/>
      <c r="O673" s="39"/>
      <c r="P673" s="39"/>
      <c r="Q673" s="39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5.75" customHeight="1">
      <c r="A674" s="79"/>
      <c r="B674" s="80"/>
      <c r="C674" s="80"/>
      <c r="D674" s="81"/>
      <c r="E674" s="82"/>
      <c r="F674" s="82"/>
      <c r="G674" s="82"/>
      <c r="H674" s="82"/>
      <c r="I674" s="82"/>
      <c r="J674" s="82"/>
      <c r="K674" s="83"/>
      <c r="L674" s="84"/>
      <c r="M674" s="85"/>
      <c r="N674" s="38"/>
      <c r="O674" s="39"/>
      <c r="P674" s="39"/>
      <c r="Q674" s="39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5.75" customHeight="1">
      <c r="A675" s="79"/>
      <c r="B675" s="80"/>
      <c r="C675" s="80"/>
      <c r="D675" s="81"/>
      <c r="E675" s="82"/>
      <c r="F675" s="82"/>
      <c r="G675" s="82"/>
      <c r="H675" s="82"/>
      <c r="I675" s="82"/>
      <c r="J675" s="82"/>
      <c r="K675" s="83"/>
      <c r="L675" s="84"/>
      <c r="M675" s="85"/>
      <c r="N675" s="38"/>
      <c r="O675" s="39"/>
      <c r="P675" s="39"/>
      <c r="Q675" s="39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5.75" customHeight="1">
      <c r="A676" s="79"/>
      <c r="B676" s="80"/>
      <c r="C676" s="80"/>
      <c r="D676" s="81"/>
      <c r="E676" s="82"/>
      <c r="F676" s="82"/>
      <c r="G676" s="82"/>
      <c r="H676" s="82"/>
      <c r="I676" s="82"/>
      <c r="J676" s="82"/>
      <c r="K676" s="83"/>
      <c r="L676" s="84"/>
      <c r="M676" s="85"/>
      <c r="N676" s="38"/>
      <c r="O676" s="39"/>
      <c r="P676" s="39"/>
      <c r="Q676" s="39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5.75" customHeight="1">
      <c r="A677" s="79"/>
      <c r="B677" s="80"/>
      <c r="C677" s="80"/>
      <c r="D677" s="81"/>
      <c r="E677" s="82"/>
      <c r="F677" s="82"/>
      <c r="G677" s="82"/>
      <c r="H677" s="82"/>
      <c r="I677" s="82"/>
      <c r="J677" s="82"/>
      <c r="K677" s="83"/>
      <c r="L677" s="84"/>
      <c r="M677" s="85"/>
      <c r="N677" s="38"/>
      <c r="O677" s="39"/>
      <c r="P677" s="39"/>
      <c r="Q677" s="39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5.75" customHeight="1">
      <c r="A678" s="79"/>
      <c r="B678" s="80"/>
      <c r="C678" s="80"/>
      <c r="D678" s="81"/>
      <c r="E678" s="82"/>
      <c r="F678" s="82"/>
      <c r="G678" s="82"/>
      <c r="H678" s="82"/>
      <c r="I678" s="82"/>
      <c r="J678" s="82"/>
      <c r="K678" s="83"/>
      <c r="L678" s="84"/>
      <c r="M678" s="85"/>
      <c r="N678" s="38"/>
      <c r="O678" s="39"/>
      <c r="P678" s="39"/>
      <c r="Q678" s="39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5.75" customHeight="1">
      <c r="A679" s="79"/>
      <c r="B679" s="80"/>
      <c r="C679" s="80"/>
      <c r="D679" s="81"/>
      <c r="E679" s="82"/>
      <c r="F679" s="82"/>
      <c r="G679" s="82"/>
      <c r="H679" s="82"/>
      <c r="I679" s="82"/>
      <c r="J679" s="82"/>
      <c r="K679" s="83"/>
      <c r="L679" s="84"/>
      <c r="M679" s="85"/>
      <c r="N679" s="38"/>
      <c r="O679" s="39"/>
      <c r="P679" s="39"/>
      <c r="Q679" s="39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5.75" customHeight="1">
      <c r="A680" s="79"/>
      <c r="B680" s="80"/>
      <c r="C680" s="80"/>
      <c r="D680" s="81"/>
      <c r="E680" s="82"/>
      <c r="F680" s="82"/>
      <c r="G680" s="82"/>
      <c r="H680" s="82"/>
      <c r="I680" s="82"/>
      <c r="J680" s="82"/>
      <c r="K680" s="83"/>
      <c r="L680" s="84"/>
      <c r="M680" s="85"/>
      <c r="N680" s="38"/>
      <c r="O680" s="39"/>
      <c r="P680" s="39"/>
      <c r="Q680" s="39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5.75" customHeight="1">
      <c r="A681" s="79"/>
      <c r="B681" s="80"/>
      <c r="C681" s="80"/>
      <c r="D681" s="81"/>
      <c r="E681" s="82"/>
      <c r="F681" s="82"/>
      <c r="G681" s="82"/>
      <c r="H681" s="82"/>
      <c r="I681" s="82"/>
      <c r="J681" s="82"/>
      <c r="K681" s="83"/>
      <c r="L681" s="84"/>
      <c r="M681" s="85"/>
      <c r="N681" s="38"/>
      <c r="O681" s="39"/>
      <c r="P681" s="39"/>
      <c r="Q681" s="39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5.75" customHeight="1">
      <c r="A682" s="79"/>
      <c r="B682" s="80"/>
      <c r="C682" s="80"/>
      <c r="D682" s="81"/>
      <c r="E682" s="82"/>
      <c r="F682" s="82"/>
      <c r="G682" s="82"/>
      <c r="H682" s="82"/>
      <c r="I682" s="82"/>
      <c r="J682" s="82"/>
      <c r="K682" s="83"/>
      <c r="L682" s="84"/>
      <c r="M682" s="85"/>
      <c r="N682" s="38"/>
      <c r="O682" s="39"/>
      <c r="P682" s="39"/>
      <c r="Q682" s="39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5.75" customHeight="1">
      <c r="A683" s="79"/>
      <c r="B683" s="80"/>
      <c r="C683" s="80"/>
      <c r="D683" s="81"/>
      <c r="E683" s="82"/>
      <c r="F683" s="82"/>
      <c r="G683" s="82"/>
      <c r="H683" s="82"/>
      <c r="I683" s="82"/>
      <c r="J683" s="82"/>
      <c r="K683" s="83"/>
      <c r="L683" s="84"/>
      <c r="M683" s="85"/>
      <c r="N683" s="38"/>
      <c r="O683" s="39"/>
      <c r="P683" s="39"/>
      <c r="Q683" s="39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5.75" customHeight="1">
      <c r="A684" s="79"/>
      <c r="B684" s="80"/>
      <c r="C684" s="80"/>
      <c r="D684" s="81"/>
      <c r="E684" s="82"/>
      <c r="F684" s="82"/>
      <c r="G684" s="82"/>
      <c r="H684" s="82"/>
      <c r="I684" s="82"/>
      <c r="J684" s="82"/>
      <c r="K684" s="83"/>
      <c r="L684" s="84"/>
      <c r="M684" s="85"/>
      <c r="N684" s="38"/>
      <c r="O684" s="39"/>
      <c r="P684" s="39"/>
      <c r="Q684" s="39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5.75" customHeight="1">
      <c r="A685" s="79"/>
      <c r="B685" s="80"/>
      <c r="C685" s="80"/>
      <c r="D685" s="81"/>
      <c r="E685" s="82"/>
      <c r="F685" s="82"/>
      <c r="G685" s="82"/>
      <c r="H685" s="82"/>
      <c r="I685" s="82"/>
      <c r="J685" s="82"/>
      <c r="K685" s="83"/>
      <c r="L685" s="84"/>
      <c r="M685" s="85"/>
      <c r="N685" s="38"/>
      <c r="O685" s="39"/>
      <c r="P685" s="39"/>
      <c r="Q685" s="39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5.75" customHeight="1">
      <c r="A686" s="79"/>
      <c r="B686" s="80"/>
      <c r="C686" s="80"/>
      <c r="D686" s="81"/>
      <c r="E686" s="82"/>
      <c r="F686" s="82"/>
      <c r="G686" s="82"/>
      <c r="H686" s="82"/>
      <c r="I686" s="82"/>
      <c r="J686" s="82"/>
      <c r="K686" s="83"/>
      <c r="L686" s="84"/>
      <c r="M686" s="85"/>
      <c r="N686" s="38"/>
      <c r="O686" s="39"/>
      <c r="P686" s="39"/>
      <c r="Q686" s="39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5.75" customHeight="1">
      <c r="A687" s="79"/>
      <c r="B687" s="80"/>
      <c r="C687" s="80"/>
      <c r="D687" s="81"/>
      <c r="E687" s="82"/>
      <c r="F687" s="82"/>
      <c r="G687" s="82"/>
      <c r="H687" s="82"/>
      <c r="I687" s="82"/>
      <c r="J687" s="82"/>
      <c r="K687" s="83"/>
      <c r="L687" s="84"/>
      <c r="M687" s="85"/>
      <c r="N687" s="38"/>
      <c r="O687" s="39"/>
      <c r="P687" s="39"/>
      <c r="Q687" s="39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5.75" customHeight="1">
      <c r="A688" s="79"/>
      <c r="B688" s="80"/>
      <c r="C688" s="80"/>
      <c r="D688" s="81"/>
      <c r="E688" s="82"/>
      <c r="F688" s="82"/>
      <c r="G688" s="82"/>
      <c r="H688" s="82"/>
      <c r="I688" s="82"/>
      <c r="J688" s="82"/>
      <c r="K688" s="83"/>
      <c r="L688" s="84"/>
      <c r="M688" s="85"/>
      <c r="N688" s="38"/>
      <c r="O688" s="39"/>
      <c r="P688" s="39"/>
      <c r="Q688" s="39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5.75" customHeight="1">
      <c r="A689" s="79"/>
      <c r="B689" s="80"/>
      <c r="C689" s="80"/>
      <c r="D689" s="81"/>
      <c r="E689" s="82"/>
      <c r="F689" s="82"/>
      <c r="G689" s="82"/>
      <c r="H689" s="82"/>
      <c r="I689" s="82"/>
      <c r="J689" s="82"/>
      <c r="K689" s="83"/>
      <c r="L689" s="84"/>
      <c r="M689" s="85"/>
      <c r="N689" s="38"/>
      <c r="O689" s="39"/>
      <c r="P689" s="39"/>
      <c r="Q689" s="39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5.75" customHeight="1">
      <c r="A690" s="79"/>
      <c r="B690" s="80"/>
      <c r="C690" s="80"/>
      <c r="D690" s="81"/>
      <c r="E690" s="82"/>
      <c r="F690" s="82"/>
      <c r="G690" s="82"/>
      <c r="H690" s="82"/>
      <c r="I690" s="82"/>
      <c r="J690" s="82"/>
      <c r="K690" s="83"/>
      <c r="L690" s="84"/>
      <c r="M690" s="85"/>
      <c r="N690" s="38"/>
      <c r="O690" s="39"/>
      <c r="P690" s="39"/>
      <c r="Q690" s="39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5.75" customHeight="1">
      <c r="A691" s="79"/>
      <c r="B691" s="80"/>
      <c r="C691" s="80"/>
      <c r="D691" s="81"/>
      <c r="E691" s="82"/>
      <c r="F691" s="82"/>
      <c r="G691" s="82"/>
      <c r="H691" s="82"/>
      <c r="I691" s="82"/>
      <c r="J691" s="82"/>
      <c r="K691" s="83"/>
      <c r="L691" s="84"/>
      <c r="M691" s="85"/>
      <c r="N691" s="38"/>
      <c r="O691" s="39"/>
      <c r="P691" s="39"/>
      <c r="Q691" s="39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5.75" customHeight="1">
      <c r="A692" s="79"/>
      <c r="B692" s="80"/>
      <c r="C692" s="80"/>
      <c r="D692" s="81"/>
      <c r="E692" s="82"/>
      <c r="F692" s="82"/>
      <c r="G692" s="82"/>
      <c r="H692" s="82"/>
      <c r="I692" s="82"/>
      <c r="J692" s="82"/>
      <c r="K692" s="83"/>
      <c r="L692" s="84"/>
      <c r="M692" s="85"/>
      <c r="N692" s="38"/>
      <c r="O692" s="39"/>
      <c r="P692" s="39"/>
      <c r="Q692" s="39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5.75" customHeight="1">
      <c r="A693" s="79"/>
      <c r="B693" s="80"/>
      <c r="C693" s="80"/>
      <c r="D693" s="81"/>
      <c r="E693" s="82"/>
      <c r="F693" s="82"/>
      <c r="G693" s="82"/>
      <c r="H693" s="82"/>
      <c r="I693" s="82"/>
      <c r="J693" s="82"/>
      <c r="K693" s="83"/>
      <c r="L693" s="84"/>
      <c r="M693" s="85"/>
      <c r="N693" s="38"/>
      <c r="O693" s="39"/>
      <c r="P693" s="39"/>
      <c r="Q693" s="39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5.75" customHeight="1">
      <c r="A694" s="79"/>
      <c r="B694" s="80"/>
      <c r="C694" s="80"/>
      <c r="D694" s="81"/>
      <c r="E694" s="82"/>
      <c r="F694" s="82"/>
      <c r="G694" s="82"/>
      <c r="H694" s="82"/>
      <c r="I694" s="82"/>
      <c r="J694" s="82"/>
      <c r="K694" s="83"/>
      <c r="L694" s="84"/>
      <c r="M694" s="85"/>
      <c r="N694" s="38"/>
      <c r="O694" s="39"/>
      <c r="P694" s="39"/>
      <c r="Q694" s="39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5.75" customHeight="1">
      <c r="A695" s="79"/>
      <c r="B695" s="80"/>
      <c r="C695" s="80"/>
      <c r="D695" s="81"/>
      <c r="E695" s="82"/>
      <c r="F695" s="82"/>
      <c r="G695" s="82"/>
      <c r="H695" s="82"/>
      <c r="I695" s="82"/>
      <c r="J695" s="82"/>
      <c r="K695" s="83"/>
      <c r="L695" s="84"/>
      <c r="M695" s="85"/>
      <c r="N695" s="38"/>
      <c r="O695" s="39"/>
      <c r="P695" s="39"/>
      <c r="Q695" s="39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5.75" customHeight="1">
      <c r="A696" s="79"/>
      <c r="B696" s="80"/>
      <c r="C696" s="80"/>
      <c r="D696" s="81"/>
      <c r="E696" s="82"/>
      <c r="F696" s="82"/>
      <c r="G696" s="82"/>
      <c r="H696" s="82"/>
      <c r="I696" s="82"/>
      <c r="J696" s="82"/>
      <c r="K696" s="83"/>
      <c r="L696" s="84"/>
      <c r="M696" s="85"/>
      <c r="N696" s="38"/>
      <c r="O696" s="39"/>
      <c r="P696" s="39"/>
      <c r="Q696" s="39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5.75" customHeight="1">
      <c r="A697" s="79"/>
      <c r="B697" s="80"/>
      <c r="C697" s="80"/>
      <c r="D697" s="81"/>
      <c r="E697" s="82"/>
      <c r="F697" s="82"/>
      <c r="G697" s="82"/>
      <c r="H697" s="82"/>
      <c r="I697" s="82"/>
      <c r="J697" s="82"/>
      <c r="K697" s="83"/>
      <c r="L697" s="84"/>
      <c r="M697" s="85"/>
      <c r="N697" s="38"/>
      <c r="O697" s="39"/>
      <c r="P697" s="39"/>
      <c r="Q697" s="39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5.75" customHeight="1">
      <c r="A698" s="79"/>
      <c r="B698" s="80"/>
      <c r="C698" s="80"/>
      <c r="D698" s="81"/>
      <c r="E698" s="82"/>
      <c r="F698" s="82"/>
      <c r="G698" s="82"/>
      <c r="H698" s="82"/>
      <c r="I698" s="82"/>
      <c r="J698" s="82"/>
      <c r="K698" s="83"/>
      <c r="L698" s="84"/>
      <c r="M698" s="85"/>
      <c r="N698" s="38"/>
      <c r="O698" s="39"/>
      <c r="P698" s="39"/>
      <c r="Q698" s="39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5.75" customHeight="1">
      <c r="A699" s="79"/>
      <c r="B699" s="80"/>
      <c r="C699" s="80"/>
      <c r="D699" s="81"/>
      <c r="E699" s="82"/>
      <c r="F699" s="82"/>
      <c r="G699" s="82"/>
      <c r="H699" s="82"/>
      <c r="I699" s="82"/>
      <c r="J699" s="82"/>
      <c r="K699" s="83"/>
      <c r="L699" s="84"/>
      <c r="M699" s="85"/>
      <c r="N699" s="38"/>
      <c r="O699" s="39"/>
      <c r="P699" s="39"/>
      <c r="Q699" s="39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5.75" customHeight="1">
      <c r="A700" s="79"/>
      <c r="B700" s="80"/>
      <c r="C700" s="80"/>
      <c r="D700" s="81"/>
      <c r="E700" s="82"/>
      <c r="F700" s="82"/>
      <c r="G700" s="82"/>
      <c r="H700" s="82"/>
      <c r="I700" s="82"/>
      <c r="J700" s="82"/>
      <c r="K700" s="83"/>
      <c r="L700" s="84"/>
      <c r="M700" s="85"/>
      <c r="N700" s="38"/>
      <c r="O700" s="39"/>
      <c r="P700" s="39"/>
      <c r="Q700" s="39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5.75" customHeight="1">
      <c r="A701" s="79"/>
      <c r="B701" s="80"/>
      <c r="C701" s="80"/>
      <c r="D701" s="81"/>
      <c r="E701" s="82"/>
      <c r="F701" s="82"/>
      <c r="G701" s="82"/>
      <c r="H701" s="82"/>
      <c r="I701" s="82"/>
      <c r="J701" s="82"/>
      <c r="K701" s="83"/>
      <c r="L701" s="84"/>
      <c r="M701" s="85"/>
      <c r="N701" s="38"/>
      <c r="O701" s="39"/>
      <c r="P701" s="39"/>
      <c r="Q701" s="39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5.75" customHeight="1">
      <c r="A702" s="79"/>
      <c r="B702" s="80"/>
      <c r="C702" s="80"/>
      <c r="D702" s="81"/>
      <c r="E702" s="82"/>
      <c r="F702" s="82"/>
      <c r="G702" s="82"/>
      <c r="H702" s="82"/>
      <c r="I702" s="82"/>
      <c r="J702" s="82"/>
      <c r="K702" s="83"/>
      <c r="L702" s="84"/>
      <c r="M702" s="85"/>
      <c r="N702" s="38"/>
      <c r="O702" s="39"/>
      <c r="P702" s="39"/>
      <c r="Q702" s="39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5.75" customHeight="1">
      <c r="A703" s="79"/>
      <c r="B703" s="80"/>
      <c r="C703" s="80"/>
      <c r="D703" s="81"/>
      <c r="E703" s="82"/>
      <c r="F703" s="82"/>
      <c r="G703" s="82"/>
      <c r="H703" s="82"/>
      <c r="I703" s="82"/>
      <c r="J703" s="82"/>
      <c r="K703" s="83"/>
      <c r="L703" s="84"/>
      <c r="M703" s="85"/>
      <c r="N703" s="38"/>
      <c r="O703" s="39"/>
      <c r="P703" s="39"/>
      <c r="Q703" s="39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5.75" customHeight="1">
      <c r="A704" s="79"/>
      <c r="B704" s="80"/>
      <c r="C704" s="80"/>
      <c r="D704" s="81"/>
      <c r="E704" s="82"/>
      <c r="F704" s="82"/>
      <c r="G704" s="82"/>
      <c r="H704" s="82"/>
      <c r="I704" s="82"/>
      <c r="J704" s="82"/>
      <c r="K704" s="83"/>
      <c r="L704" s="84"/>
      <c r="M704" s="85"/>
      <c r="N704" s="38"/>
      <c r="O704" s="39"/>
      <c r="P704" s="39"/>
      <c r="Q704" s="39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5.75" customHeight="1">
      <c r="A705" s="79"/>
      <c r="B705" s="80"/>
      <c r="C705" s="80"/>
      <c r="D705" s="81"/>
      <c r="E705" s="82"/>
      <c r="F705" s="82"/>
      <c r="G705" s="82"/>
      <c r="H705" s="82"/>
      <c r="I705" s="82"/>
      <c r="J705" s="82"/>
      <c r="K705" s="83"/>
      <c r="L705" s="84"/>
      <c r="M705" s="85"/>
      <c r="N705" s="38"/>
      <c r="O705" s="39"/>
      <c r="P705" s="39"/>
      <c r="Q705" s="39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5.75" customHeight="1">
      <c r="A706" s="79"/>
      <c r="B706" s="80"/>
      <c r="C706" s="80"/>
      <c r="D706" s="81"/>
      <c r="E706" s="82"/>
      <c r="F706" s="82"/>
      <c r="G706" s="82"/>
      <c r="H706" s="82"/>
      <c r="I706" s="82"/>
      <c r="J706" s="82"/>
      <c r="K706" s="83"/>
      <c r="L706" s="84"/>
      <c r="M706" s="85"/>
      <c r="N706" s="38"/>
      <c r="O706" s="39"/>
      <c r="P706" s="39"/>
      <c r="Q706" s="39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5.75" customHeight="1">
      <c r="A707" s="79"/>
      <c r="B707" s="80"/>
      <c r="C707" s="80"/>
      <c r="D707" s="81"/>
      <c r="E707" s="82"/>
      <c r="F707" s="82"/>
      <c r="G707" s="82"/>
      <c r="H707" s="82"/>
      <c r="I707" s="82"/>
      <c r="J707" s="82"/>
      <c r="K707" s="83"/>
      <c r="L707" s="84"/>
      <c r="M707" s="85"/>
      <c r="N707" s="38"/>
      <c r="O707" s="39"/>
      <c r="P707" s="39"/>
      <c r="Q707" s="39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5.75" customHeight="1">
      <c r="A708" s="79"/>
      <c r="B708" s="80"/>
      <c r="C708" s="80"/>
      <c r="D708" s="81"/>
      <c r="E708" s="82"/>
      <c r="F708" s="82"/>
      <c r="G708" s="82"/>
      <c r="H708" s="82"/>
      <c r="I708" s="82"/>
      <c r="J708" s="82"/>
      <c r="K708" s="83"/>
      <c r="L708" s="84"/>
      <c r="M708" s="85"/>
      <c r="N708" s="38"/>
      <c r="O708" s="39"/>
      <c r="P708" s="39"/>
      <c r="Q708" s="39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5.75" customHeight="1">
      <c r="A709" s="79"/>
      <c r="B709" s="80"/>
      <c r="C709" s="80"/>
      <c r="D709" s="81"/>
      <c r="E709" s="82"/>
      <c r="F709" s="82"/>
      <c r="G709" s="82"/>
      <c r="H709" s="82"/>
      <c r="I709" s="82"/>
      <c r="J709" s="82"/>
      <c r="K709" s="83"/>
      <c r="L709" s="84"/>
      <c r="M709" s="85"/>
      <c r="N709" s="38"/>
      <c r="O709" s="39"/>
      <c r="P709" s="39"/>
      <c r="Q709" s="39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5.75" customHeight="1">
      <c r="A710" s="79"/>
      <c r="B710" s="80"/>
      <c r="C710" s="80"/>
      <c r="D710" s="81"/>
      <c r="E710" s="82"/>
      <c r="F710" s="82"/>
      <c r="G710" s="82"/>
      <c r="H710" s="82"/>
      <c r="I710" s="82"/>
      <c r="J710" s="82"/>
      <c r="K710" s="83"/>
      <c r="L710" s="84"/>
      <c r="M710" s="85"/>
      <c r="N710" s="38"/>
      <c r="O710" s="39"/>
      <c r="P710" s="39"/>
      <c r="Q710" s="39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5.75" customHeight="1">
      <c r="A711" s="79"/>
      <c r="B711" s="80"/>
      <c r="C711" s="80"/>
      <c r="D711" s="81"/>
      <c r="E711" s="82"/>
      <c r="F711" s="82"/>
      <c r="G711" s="82"/>
      <c r="H711" s="82"/>
      <c r="I711" s="82"/>
      <c r="J711" s="82"/>
      <c r="K711" s="83"/>
      <c r="L711" s="84"/>
      <c r="M711" s="85"/>
      <c r="N711" s="38"/>
      <c r="O711" s="39"/>
      <c r="P711" s="39"/>
      <c r="Q711" s="39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5.75" customHeight="1">
      <c r="A712" s="79"/>
      <c r="B712" s="80"/>
      <c r="C712" s="80"/>
      <c r="D712" s="81"/>
      <c r="E712" s="82"/>
      <c r="F712" s="82"/>
      <c r="G712" s="82"/>
      <c r="H712" s="82"/>
      <c r="I712" s="82"/>
      <c r="J712" s="82"/>
      <c r="K712" s="83"/>
      <c r="L712" s="84"/>
      <c r="M712" s="85"/>
      <c r="N712" s="38"/>
      <c r="O712" s="39"/>
      <c r="P712" s="39"/>
      <c r="Q712" s="39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5.75" customHeight="1">
      <c r="A713" s="79"/>
      <c r="B713" s="80"/>
      <c r="C713" s="80"/>
      <c r="D713" s="81"/>
      <c r="E713" s="82"/>
      <c r="F713" s="82"/>
      <c r="G713" s="82"/>
      <c r="H713" s="82"/>
      <c r="I713" s="82"/>
      <c r="J713" s="82"/>
      <c r="K713" s="83"/>
      <c r="L713" s="84"/>
      <c r="M713" s="85"/>
      <c r="N713" s="38"/>
      <c r="O713" s="39"/>
      <c r="P713" s="39"/>
      <c r="Q713" s="39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5.75" customHeight="1">
      <c r="A714" s="79"/>
      <c r="B714" s="80"/>
      <c r="C714" s="80"/>
      <c r="D714" s="81"/>
      <c r="E714" s="82"/>
      <c r="F714" s="82"/>
      <c r="G714" s="82"/>
      <c r="H714" s="82"/>
      <c r="I714" s="82"/>
      <c r="J714" s="82"/>
      <c r="K714" s="83"/>
      <c r="L714" s="84"/>
      <c r="M714" s="85"/>
      <c r="N714" s="38"/>
      <c r="O714" s="39"/>
      <c r="P714" s="39"/>
      <c r="Q714" s="39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5.75" customHeight="1">
      <c r="A715" s="79"/>
      <c r="B715" s="80"/>
      <c r="C715" s="80"/>
      <c r="D715" s="81"/>
      <c r="E715" s="82"/>
      <c r="F715" s="82"/>
      <c r="G715" s="82"/>
      <c r="H715" s="82"/>
      <c r="I715" s="82"/>
      <c r="J715" s="82"/>
      <c r="K715" s="83"/>
      <c r="L715" s="84"/>
      <c r="M715" s="85"/>
      <c r="N715" s="38"/>
      <c r="O715" s="39"/>
      <c r="P715" s="39"/>
      <c r="Q715" s="39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5.75" customHeight="1">
      <c r="A716" s="79"/>
      <c r="B716" s="80"/>
      <c r="C716" s="80"/>
      <c r="D716" s="81"/>
      <c r="E716" s="82"/>
      <c r="F716" s="82"/>
      <c r="G716" s="82"/>
      <c r="H716" s="82"/>
      <c r="I716" s="82"/>
      <c r="J716" s="82"/>
      <c r="K716" s="83"/>
      <c r="L716" s="84"/>
      <c r="M716" s="85"/>
      <c r="N716" s="38"/>
      <c r="O716" s="39"/>
      <c r="P716" s="39"/>
      <c r="Q716" s="39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5.75" customHeight="1">
      <c r="A717" s="79"/>
      <c r="B717" s="80"/>
      <c r="C717" s="80"/>
      <c r="D717" s="81"/>
      <c r="E717" s="82"/>
      <c r="F717" s="82"/>
      <c r="G717" s="82"/>
      <c r="H717" s="82"/>
      <c r="I717" s="82"/>
      <c r="J717" s="82"/>
      <c r="K717" s="83"/>
      <c r="L717" s="84"/>
      <c r="M717" s="85"/>
      <c r="N717" s="38"/>
      <c r="O717" s="39"/>
      <c r="P717" s="39"/>
      <c r="Q717" s="39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5.75" customHeight="1">
      <c r="A718" s="79"/>
      <c r="B718" s="80"/>
      <c r="C718" s="80"/>
      <c r="D718" s="81"/>
      <c r="E718" s="82"/>
      <c r="F718" s="82"/>
      <c r="G718" s="82"/>
      <c r="H718" s="82"/>
      <c r="I718" s="82"/>
      <c r="J718" s="82"/>
      <c r="K718" s="83"/>
      <c r="L718" s="84"/>
      <c r="M718" s="85"/>
      <c r="N718" s="38"/>
      <c r="O718" s="39"/>
      <c r="P718" s="39"/>
      <c r="Q718" s="39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5.75" customHeight="1">
      <c r="A719" s="79"/>
      <c r="B719" s="80"/>
      <c r="C719" s="80"/>
      <c r="D719" s="81"/>
      <c r="E719" s="82"/>
      <c r="F719" s="82"/>
      <c r="G719" s="82"/>
      <c r="H719" s="82"/>
      <c r="I719" s="82"/>
      <c r="J719" s="82"/>
      <c r="K719" s="83"/>
      <c r="L719" s="84"/>
      <c r="M719" s="85"/>
      <c r="N719" s="38"/>
      <c r="O719" s="39"/>
      <c r="P719" s="39"/>
      <c r="Q719" s="39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5.75" customHeight="1">
      <c r="A720" s="79"/>
      <c r="B720" s="80"/>
      <c r="C720" s="80"/>
      <c r="D720" s="81"/>
      <c r="E720" s="82"/>
      <c r="F720" s="82"/>
      <c r="G720" s="82"/>
      <c r="H720" s="82"/>
      <c r="I720" s="82"/>
      <c r="J720" s="82"/>
      <c r="K720" s="83"/>
      <c r="L720" s="84"/>
      <c r="M720" s="85"/>
      <c r="N720" s="38"/>
      <c r="O720" s="39"/>
      <c r="P720" s="39"/>
      <c r="Q720" s="39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5.75" customHeight="1">
      <c r="A721" s="79"/>
      <c r="B721" s="80"/>
      <c r="C721" s="80"/>
      <c r="D721" s="81"/>
      <c r="E721" s="82"/>
      <c r="F721" s="82"/>
      <c r="G721" s="82"/>
      <c r="H721" s="82"/>
      <c r="I721" s="82"/>
      <c r="J721" s="82"/>
      <c r="K721" s="83"/>
      <c r="L721" s="84"/>
      <c r="M721" s="85"/>
      <c r="N721" s="38"/>
      <c r="O721" s="39"/>
      <c r="P721" s="39"/>
      <c r="Q721" s="39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5.75" customHeight="1">
      <c r="A722" s="79"/>
      <c r="B722" s="80"/>
      <c r="C722" s="80"/>
      <c r="D722" s="81"/>
      <c r="E722" s="82"/>
      <c r="F722" s="82"/>
      <c r="G722" s="82"/>
      <c r="H722" s="82"/>
      <c r="I722" s="82"/>
      <c r="J722" s="82"/>
      <c r="K722" s="83"/>
      <c r="L722" s="84"/>
      <c r="M722" s="85"/>
      <c r="N722" s="38"/>
      <c r="O722" s="39"/>
      <c r="P722" s="39"/>
      <c r="Q722" s="39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5.75" customHeight="1">
      <c r="A723" s="79"/>
      <c r="B723" s="80"/>
      <c r="C723" s="80"/>
      <c r="D723" s="81"/>
      <c r="E723" s="82"/>
      <c r="F723" s="82"/>
      <c r="G723" s="82"/>
      <c r="H723" s="82"/>
      <c r="I723" s="82"/>
      <c r="J723" s="82"/>
      <c r="K723" s="83"/>
      <c r="L723" s="84"/>
      <c r="M723" s="85"/>
      <c r="N723" s="38"/>
      <c r="O723" s="39"/>
      <c r="P723" s="39"/>
      <c r="Q723" s="39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5.75" customHeight="1">
      <c r="A724" s="79"/>
      <c r="B724" s="80"/>
      <c r="C724" s="80"/>
      <c r="D724" s="81"/>
      <c r="E724" s="82"/>
      <c r="F724" s="82"/>
      <c r="G724" s="82"/>
      <c r="H724" s="82"/>
      <c r="I724" s="82"/>
      <c r="J724" s="82"/>
      <c r="K724" s="83"/>
      <c r="L724" s="84"/>
      <c r="M724" s="85"/>
      <c r="N724" s="38"/>
      <c r="O724" s="39"/>
      <c r="P724" s="39"/>
      <c r="Q724" s="39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5.75" customHeight="1">
      <c r="A725" s="79"/>
      <c r="B725" s="80"/>
      <c r="C725" s="80"/>
      <c r="D725" s="81"/>
      <c r="E725" s="82"/>
      <c r="F725" s="82"/>
      <c r="G725" s="82"/>
      <c r="H725" s="82"/>
      <c r="I725" s="82"/>
      <c r="J725" s="82"/>
      <c r="K725" s="83"/>
      <c r="L725" s="84"/>
      <c r="M725" s="85"/>
      <c r="N725" s="38"/>
      <c r="O725" s="39"/>
      <c r="P725" s="39"/>
      <c r="Q725" s="39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5.75" customHeight="1">
      <c r="A726" s="79"/>
      <c r="B726" s="80"/>
      <c r="C726" s="80"/>
      <c r="D726" s="81"/>
      <c r="E726" s="82"/>
      <c r="F726" s="82"/>
      <c r="G726" s="82"/>
      <c r="H726" s="82"/>
      <c r="I726" s="82"/>
      <c r="J726" s="82"/>
      <c r="K726" s="83"/>
      <c r="L726" s="84"/>
      <c r="M726" s="85"/>
      <c r="N726" s="38"/>
      <c r="O726" s="39"/>
      <c r="P726" s="39"/>
      <c r="Q726" s="39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5.75" customHeight="1">
      <c r="A727" s="79"/>
      <c r="B727" s="80"/>
      <c r="C727" s="80"/>
      <c r="D727" s="81"/>
      <c r="E727" s="82"/>
      <c r="F727" s="82"/>
      <c r="G727" s="82"/>
      <c r="H727" s="82"/>
      <c r="I727" s="82"/>
      <c r="J727" s="82"/>
      <c r="K727" s="83"/>
      <c r="L727" s="84"/>
      <c r="M727" s="85"/>
      <c r="N727" s="38"/>
      <c r="O727" s="39"/>
      <c r="P727" s="39"/>
      <c r="Q727" s="39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5.75" customHeight="1">
      <c r="A728" s="79"/>
      <c r="B728" s="80"/>
      <c r="C728" s="80"/>
      <c r="D728" s="81"/>
      <c r="E728" s="82"/>
      <c r="F728" s="82"/>
      <c r="G728" s="82"/>
      <c r="H728" s="82"/>
      <c r="I728" s="82"/>
      <c r="J728" s="82"/>
      <c r="K728" s="83"/>
      <c r="L728" s="84"/>
      <c r="M728" s="85"/>
      <c r="N728" s="38"/>
      <c r="O728" s="39"/>
      <c r="P728" s="39"/>
      <c r="Q728" s="39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5.75" customHeight="1">
      <c r="A729" s="79"/>
      <c r="B729" s="80"/>
      <c r="C729" s="80"/>
      <c r="D729" s="81"/>
      <c r="E729" s="82"/>
      <c r="F729" s="82"/>
      <c r="G729" s="82"/>
      <c r="H729" s="82"/>
      <c r="I729" s="82"/>
      <c r="J729" s="82"/>
      <c r="K729" s="83"/>
      <c r="L729" s="84"/>
      <c r="M729" s="85"/>
      <c r="N729" s="38"/>
      <c r="O729" s="39"/>
      <c r="P729" s="39"/>
      <c r="Q729" s="39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5.75" customHeight="1">
      <c r="A730" s="79"/>
      <c r="B730" s="80"/>
      <c r="C730" s="80"/>
      <c r="D730" s="81"/>
      <c r="E730" s="82"/>
      <c r="F730" s="82"/>
      <c r="G730" s="82"/>
      <c r="H730" s="82"/>
      <c r="I730" s="82"/>
      <c r="J730" s="82"/>
      <c r="K730" s="83"/>
      <c r="L730" s="84"/>
      <c r="M730" s="85"/>
      <c r="N730" s="38"/>
      <c r="O730" s="39"/>
      <c r="P730" s="39"/>
      <c r="Q730" s="39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5.75" customHeight="1">
      <c r="A731" s="79"/>
      <c r="B731" s="80"/>
      <c r="C731" s="80"/>
      <c r="D731" s="81"/>
      <c r="E731" s="82"/>
      <c r="F731" s="82"/>
      <c r="G731" s="82"/>
      <c r="H731" s="82"/>
      <c r="I731" s="82"/>
      <c r="J731" s="82"/>
      <c r="K731" s="83"/>
      <c r="L731" s="84"/>
      <c r="M731" s="85"/>
      <c r="N731" s="38"/>
      <c r="O731" s="39"/>
      <c r="P731" s="39"/>
      <c r="Q731" s="39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5.75" customHeight="1">
      <c r="A732" s="79"/>
      <c r="B732" s="80"/>
      <c r="C732" s="80"/>
      <c r="D732" s="81"/>
      <c r="E732" s="82"/>
      <c r="F732" s="82"/>
      <c r="G732" s="82"/>
      <c r="H732" s="82"/>
      <c r="I732" s="82"/>
      <c r="J732" s="82"/>
      <c r="K732" s="83"/>
      <c r="L732" s="84"/>
      <c r="M732" s="85"/>
      <c r="N732" s="38"/>
      <c r="O732" s="39"/>
      <c r="P732" s="39"/>
      <c r="Q732" s="39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5.75" customHeight="1">
      <c r="A733" s="79"/>
      <c r="B733" s="80"/>
      <c r="C733" s="80"/>
      <c r="D733" s="81"/>
      <c r="E733" s="82"/>
      <c r="F733" s="82"/>
      <c r="G733" s="82"/>
      <c r="H733" s="82"/>
      <c r="I733" s="82"/>
      <c r="J733" s="82"/>
      <c r="K733" s="83"/>
      <c r="L733" s="84"/>
      <c r="M733" s="85"/>
      <c r="N733" s="38"/>
      <c r="O733" s="39"/>
      <c r="P733" s="39"/>
      <c r="Q733" s="39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5.75" customHeight="1">
      <c r="A734" s="79"/>
      <c r="B734" s="80"/>
      <c r="C734" s="80"/>
      <c r="D734" s="81"/>
      <c r="E734" s="82"/>
      <c r="F734" s="82"/>
      <c r="G734" s="82"/>
      <c r="H734" s="82"/>
      <c r="I734" s="82"/>
      <c r="J734" s="82"/>
      <c r="K734" s="83"/>
      <c r="L734" s="84"/>
      <c r="M734" s="85"/>
      <c r="N734" s="38"/>
      <c r="O734" s="39"/>
      <c r="P734" s="39"/>
      <c r="Q734" s="39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5.75" customHeight="1">
      <c r="A735" s="79"/>
      <c r="B735" s="80"/>
      <c r="C735" s="80"/>
      <c r="D735" s="81"/>
      <c r="E735" s="82"/>
      <c r="F735" s="82"/>
      <c r="G735" s="82"/>
      <c r="H735" s="82"/>
      <c r="I735" s="82"/>
      <c r="J735" s="82"/>
      <c r="K735" s="83"/>
      <c r="L735" s="84"/>
      <c r="M735" s="85"/>
      <c r="N735" s="38"/>
      <c r="O735" s="39"/>
      <c r="P735" s="39"/>
      <c r="Q735" s="39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5.75" customHeight="1">
      <c r="A736" s="79"/>
      <c r="B736" s="80"/>
      <c r="C736" s="80"/>
      <c r="D736" s="81"/>
      <c r="E736" s="82"/>
      <c r="F736" s="82"/>
      <c r="G736" s="82"/>
      <c r="H736" s="82"/>
      <c r="I736" s="82"/>
      <c r="J736" s="82"/>
      <c r="K736" s="83"/>
      <c r="L736" s="84"/>
      <c r="M736" s="85"/>
      <c r="N736" s="38"/>
      <c r="O736" s="39"/>
      <c r="P736" s="39"/>
      <c r="Q736" s="39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5.75" customHeight="1">
      <c r="A737" s="79"/>
      <c r="B737" s="80"/>
      <c r="C737" s="80"/>
      <c r="D737" s="81"/>
      <c r="E737" s="82"/>
      <c r="F737" s="82"/>
      <c r="G737" s="82"/>
      <c r="H737" s="82"/>
      <c r="I737" s="82"/>
      <c r="J737" s="82"/>
      <c r="K737" s="83"/>
      <c r="L737" s="84"/>
      <c r="M737" s="85"/>
      <c r="N737" s="38"/>
      <c r="O737" s="39"/>
      <c r="P737" s="39"/>
      <c r="Q737" s="39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5.75" customHeight="1">
      <c r="A738" s="79"/>
      <c r="B738" s="80"/>
      <c r="C738" s="80"/>
      <c r="D738" s="81"/>
      <c r="E738" s="82"/>
      <c r="F738" s="82"/>
      <c r="G738" s="82"/>
      <c r="H738" s="82"/>
      <c r="I738" s="82"/>
      <c r="J738" s="82"/>
      <c r="K738" s="83"/>
      <c r="L738" s="84"/>
      <c r="M738" s="85"/>
      <c r="N738" s="38"/>
      <c r="O738" s="39"/>
      <c r="P738" s="39"/>
      <c r="Q738" s="39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5.75" customHeight="1">
      <c r="A739" s="79"/>
      <c r="B739" s="80"/>
      <c r="C739" s="80"/>
      <c r="D739" s="81"/>
      <c r="E739" s="82"/>
      <c r="F739" s="82"/>
      <c r="G739" s="82"/>
      <c r="H739" s="82"/>
      <c r="I739" s="82"/>
      <c r="J739" s="82"/>
      <c r="K739" s="83"/>
      <c r="L739" s="84"/>
      <c r="M739" s="85"/>
      <c r="N739" s="38"/>
      <c r="O739" s="39"/>
      <c r="P739" s="39"/>
      <c r="Q739" s="39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5.75" customHeight="1">
      <c r="A740" s="79"/>
      <c r="B740" s="80"/>
      <c r="C740" s="80"/>
      <c r="D740" s="81"/>
      <c r="E740" s="82"/>
      <c r="F740" s="82"/>
      <c r="G740" s="82"/>
      <c r="H740" s="82"/>
      <c r="I740" s="82"/>
      <c r="J740" s="82"/>
      <c r="K740" s="83"/>
      <c r="L740" s="84"/>
      <c r="M740" s="85"/>
      <c r="N740" s="38"/>
      <c r="O740" s="39"/>
      <c r="P740" s="39"/>
      <c r="Q740" s="39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5.75" customHeight="1">
      <c r="A741" s="79"/>
      <c r="B741" s="80"/>
      <c r="C741" s="80"/>
      <c r="D741" s="81"/>
      <c r="E741" s="82"/>
      <c r="F741" s="82"/>
      <c r="G741" s="82"/>
      <c r="H741" s="82"/>
      <c r="I741" s="82"/>
      <c r="J741" s="82"/>
      <c r="K741" s="83"/>
      <c r="L741" s="84"/>
      <c r="M741" s="85"/>
      <c r="N741" s="38"/>
      <c r="O741" s="39"/>
      <c r="P741" s="39"/>
      <c r="Q741" s="39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5.75" customHeight="1">
      <c r="A742" s="79"/>
      <c r="B742" s="80"/>
      <c r="C742" s="80"/>
      <c r="D742" s="81"/>
      <c r="E742" s="82"/>
      <c r="F742" s="82"/>
      <c r="G742" s="82"/>
      <c r="H742" s="82"/>
      <c r="I742" s="82"/>
      <c r="J742" s="82"/>
      <c r="K742" s="83"/>
      <c r="L742" s="84"/>
      <c r="M742" s="85"/>
      <c r="N742" s="38"/>
      <c r="O742" s="39"/>
      <c r="P742" s="39"/>
      <c r="Q742" s="39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5.75" customHeight="1">
      <c r="A743" s="79"/>
      <c r="B743" s="80"/>
      <c r="C743" s="80"/>
      <c r="D743" s="81"/>
      <c r="E743" s="82"/>
      <c r="F743" s="82"/>
      <c r="G743" s="82"/>
      <c r="H743" s="82"/>
      <c r="I743" s="82"/>
      <c r="J743" s="82"/>
      <c r="K743" s="83"/>
      <c r="L743" s="84"/>
      <c r="M743" s="85"/>
      <c r="N743" s="38"/>
      <c r="O743" s="39"/>
      <c r="P743" s="39"/>
      <c r="Q743" s="39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5.75" customHeight="1">
      <c r="A744" s="79"/>
      <c r="B744" s="80"/>
      <c r="C744" s="80"/>
      <c r="D744" s="81"/>
      <c r="E744" s="82"/>
      <c r="F744" s="82"/>
      <c r="G744" s="82"/>
      <c r="H744" s="82"/>
      <c r="I744" s="82"/>
      <c r="J744" s="82"/>
      <c r="K744" s="83"/>
      <c r="L744" s="84"/>
      <c r="M744" s="85"/>
      <c r="N744" s="38"/>
      <c r="O744" s="39"/>
      <c r="P744" s="39"/>
      <c r="Q744" s="39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5.75" customHeight="1">
      <c r="A745" s="79"/>
      <c r="B745" s="80"/>
      <c r="C745" s="80"/>
      <c r="D745" s="81"/>
      <c r="E745" s="82"/>
      <c r="F745" s="82"/>
      <c r="G745" s="82"/>
      <c r="H745" s="82"/>
      <c r="I745" s="82"/>
      <c r="J745" s="82"/>
      <c r="K745" s="83"/>
      <c r="L745" s="84"/>
      <c r="M745" s="85"/>
      <c r="N745" s="38"/>
      <c r="O745" s="39"/>
      <c r="P745" s="39"/>
      <c r="Q745" s="39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5.75" customHeight="1">
      <c r="A746" s="79"/>
      <c r="B746" s="80"/>
      <c r="C746" s="80"/>
      <c r="D746" s="81"/>
      <c r="E746" s="82"/>
      <c r="F746" s="82"/>
      <c r="G746" s="82"/>
      <c r="H746" s="82"/>
      <c r="I746" s="82"/>
      <c r="J746" s="82"/>
      <c r="K746" s="83"/>
      <c r="L746" s="84"/>
      <c r="M746" s="85"/>
      <c r="N746" s="38"/>
      <c r="O746" s="39"/>
      <c r="P746" s="39"/>
      <c r="Q746" s="39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5.75" customHeight="1">
      <c r="A747" s="79"/>
      <c r="B747" s="80"/>
      <c r="C747" s="80"/>
      <c r="D747" s="81"/>
      <c r="E747" s="82"/>
      <c r="F747" s="82"/>
      <c r="G747" s="82"/>
      <c r="H747" s="82"/>
      <c r="I747" s="82"/>
      <c r="J747" s="82"/>
      <c r="K747" s="83"/>
      <c r="L747" s="84"/>
      <c r="M747" s="85"/>
      <c r="N747" s="38"/>
      <c r="O747" s="39"/>
      <c r="P747" s="39"/>
      <c r="Q747" s="39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5.75" customHeight="1">
      <c r="A748" s="79"/>
      <c r="B748" s="80"/>
      <c r="C748" s="80"/>
      <c r="D748" s="81"/>
      <c r="E748" s="82"/>
      <c r="F748" s="82"/>
      <c r="G748" s="82"/>
      <c r="H748" s="82"/>
      <c r="I748" s="82"/>
      <c r="J748" s="82"/>
      <c r="K748" s="83"/>
      <c r="L748" s="84"/>
      <c r="M748" s="85"/>
      <c r="N748" s="38"/>
      <c r="O748" s="39"/>
      <c r="P748" s="39"/>
      <c r="Q748" s="39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5.75" customHeight="1">
      <c r="A749" s="79"/>
      <c r="B749" s="80"/>
      <c r="C749" s="80"/>
      <c r="D749" s="81"/>
      <c r="E749" s="82"/>
      <c r="F749" s="82"/>
      <c r="G749" s="82"/>
      <c r="H749" s="82"/>
      <c r="I749" s="82"/>
      <c r="J749" s="82"/>
      <c r="K749" s="83"/>
      <c r="L749" s="84"/>
      <c r="M749" s="85"/>
      <c r="N749" s="38"/>
      <c r="O749" s="39"/>
      <c r="P749" s="39"/>
      <c r="Q749" s="39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5.75" customHeight="1">
      <c r="A750" s="79"/>
      <c r="B750" s="80"/>
      <c r="C750" s="80"/>
      <c r="D750" s="81"/>
      <c r="E750" s="82"/>
      <c r="F750" s="82"/>
      <c r="G750" s="82"/>
      <c r="H750" s="82"/>
      <c r="I750" s="82"/>
      <c r="J750" s="82"/>
      <c r="K750" s="83"/>
      <c r="L750" s="84"/>
      <c r="M750" s="85"/>
      <c r="N750" s="38"/>
      <c r="O750" s="39"/>
      <c r="P750" s="39"/>
      <c r="Q750" s="39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5.75" customHeight="1">
      <c r="A751" s="79"/>
      <c r="B751" s="80"/>
      <c r="C751" s="80"/>
      <c r="D751" s="81"/>
      <c r="E751" s="82"/>
      <c r="F751" s="82"/>
      <c r="G751" s="82"/>
      <c r="H751" s="82"/>
      <c r="I751" s="82"/>
      <c r="J751" s="82"/>
      <c r="K751" s="83"/>
      <c r="L751" s="84"/>
      <c r="M751" s="85"/>
      <c r="N751" s="38"/>
      <c r="O751" s="39"/>
      <c r="P751" s="39"/>
      <c r="Q751" s="39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5.75" customHeight="1">
      <c r="A752" s="79"/>
      <c r="B752" s="80"/>
      <c r="C752" s="80"/>
      <c r="D752" s="81"/>
      <c r="E752" s="82"/>
      <c r="F752" s="82"/>
      <c r="G752" s="82"/>
      <c r="H752" s="82"/>
      <c r="I752" s="82"/>
      <c r="J752" s="82"/>
      <c r="K752" s="83"/>
      <c r="L752" s="84"/>
      <c r="M752" s="85"/>
      <c r="N752" s="38"/>
      <c r="O752" s="39"/>
      <c r="P752" s="39"/>
      <c r="Q752" s="39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5.75" customHeight="1">
      <c r="A753" s="79"/>
      <c r="B753" s="80"/>
      <c r="C753" s="80"/>
      <c r="D753" s="81"/>
      <c r="E753" s="82"/>
      <c r="F753" s="82"/>
      <c r="G753" s="82"/>
      <c r="H753" s="82"/>
      <c r="I753" s="82"/>
      <c r="J753" s="82"/>
      <c r="K753" s="83"/>
      <c r="L753" s="84"/>
      <c r="M753" s="85"/>
      <c r="N753" s="38"/>
      <c r="O753" s="39"/>
      <c r="P753" s="39"/>
      <c r="Q753" s="39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5.75" customHeight="1">
      <c r="A754" s="79"/>
      <c r="B754" s="80"/>
      <c r="C754" s="80"/>
      <c r="D754" s="81"/>
      <c r="E754" s="82"/>
      <c r="F754" s="82"/>
      <c r="G754" s="82"/>
      <c r="H754" s="82"/>
      <c r="I754" s="82"/>
      <c r="J754" s="82"/>
      <c r="K754" s="83"/>
      <c r="L754" s="84"/>
      <c r="M754" s="85"/>
      <c r="N754" s="38"/>
      <c r="O754" s="39"/>
      <c r="P754" s="39"/>
      <c r="Q754" s="39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5.75" customHeight="1">
      <c r="A755" s="79"/>
      <c r="B755" s="80"/>
      <c r="C755" s="80"/>
      <c r="D755" s="81"/>
      <c r="E755" s="82"/>
      <c r="F755" s="82"/>
      <c r="G755" s="82"/>
      <c r="H755" s="82"/>
      <c r="I755" s="82"/>
      <c r="J755" s="82"/>
      <c r="K755" s="83"/>
      <c r="L755" s="84"/>
      <c r="M755" s="85"/>
      <c r="N755" s="38"/>
      <c r="O755" s="39"/>
      <c r="P755" s="39"/>
      <c r="Q755" s="39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5.75" customHeight="1">
      <c r="A756" s="79"/>
      <c r="B756" s="80"/>
      <c r="C756" s="80"/>
      <c r="D756" s="81"/>
      <c r="E756" s="82"/>
      <c r="F756" s="82"/>
      <c r="G756" s="82"/>
      <c r="H756" s="82"/>
      <c r="I756" s="82"/>
      <c r="J756" s="82"/>
      <c r="K756" s="83"/>
      <c r="L756" s="84"/>
      <c r="M756" s="85"/>
      <c r="N756" s="38"/>
      <c r="O756" s="39"/>
      <c r="P756" s="39"/>
      <c r="Q756" s="39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5.75" customHeight="1">
      <c r="A757" s="79"/>
      <c r="B757" s="80"/>
      <c r="C757" s="80"/>
      <c r="D757" s="81"/>
      <c r="E757" s="82"/>
      <c r="F757" s="82"/>
      <c r="G757" s="82"/>
      <c r="H757" s="82"/>
      <c r="I757" s="82"/>
      <c r="J757" s="82"/>
      <c r="K757" s="83"/>
      <c r="L757" s="84"/>
      <c r="M757" s="85"/>
      <c r="N757" s="38"/>
      <c r="O757" s="39"/>
      <c r="P757" s="39"/>
      <c r="Q757" s="39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5.75" customHeight="1">
      <c r="A758" s="79"/>
      <c r="B758" s="80"/>
      <c r="C758" s="80"/>
      <c r="D758" s="81"/>
      <c r="E758" s="82"/>
      <c r="F758" s="82"/>
      <c r="G758" s="82"/>
      <c r="H758" s="82"/>
      <c r="I758" s="82"/>
      <c r="J758" s="82"/>
      <c r="K758" s="83"/>
      <c r="L758" s="84"/>
      <c r="M758" s="85"/>
      <c r="N758" s="38"/>
      <c r="O758" s="39"/>
      <c r="P758" s="39"/>
      <c r="Q758" s="39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5.75" customHeight="1">
      <c r="A759" s="79"/>
      <c r="B759" s="80"/>
      <c r="C759" s="80"/>
      <c r="D759" s="81"/>
      <c r="E759" s="82"/>
      <c r="F759" s="82"/>
      <c r="G759" s="82"/>
      <c r="H759" s="82"/>
      <c r="I759" s="82"/>
      <c r="J759" s="82"/>
      <c r="K759" s="83"/>
      <c r="L759" s="84"/>
      <c r="M759" s="85"/>
      <c r="N759" s="38"/>
      <c r="O759" s="39"/>
      <c r="P759" s="39"/>
      <c r="Q759" s="39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5.75" customHeight="1">
      <c r="A760" s="79"/>
      <c r="B760" s="80"/>
      <c r="C760" s="80"/>
      <c r="D760" s="81"/>
      <c r="E760" s="82"/>
      <c r="F760" s="82"/>
      <c r="G760" s="82"/>
      <c r="H760" s="82"/>
      <c r="I760" s="82"/>
      <c r="J760" s="82"/>
      <c r="K760" s="83"/>
      <c r="L760" s="84"/>
      <c r="M760" s="85"/>
      <c r="N760" s="38"/>
      <c r="O760" s="39"/>
      <c r="P760" s="39"/>
      <c r="Q760" s="39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5.75" customHeight="1">
      <c r="A761" s="79"/>
      <c r="B761" s="80"/>
      <c r="C761" s="80"/>
      <c r="D761" s="81"/>
      <c r="E761" s="82"/>
      <c r="F761" s="82"/>
      <c r="G761" s="82"/>
      <c r="H761" s="82"/>
      <c r="I761" s="82"/>
      <c r="J761" s="82"/>
      <c r="K761" s="83"/>
      <c r="L761" s="84"/>
      <c r="M761" s="85"/>
      <c r="N761" s="38"/>
      <c r="O761" s="39"/>
      <c r="P761" s="39"/>
      <c r="Q761" s="39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5.75" customHeight="1">
      <c r="A762" s="79"/>
      <c r="B762" s="80"/>
      <c r="C762" s="80"/>
      <c r="D762" s="81"/>
      <c r="E762" s="82"/>
      <c r="F762" s="82"/>
      <c r="G762" s="82"/>
      <c r="H762" s="82"/>
      <c r="I762" s="82"/>
      <c r="J762" s="82"/>
      <c r="K762" s="83"/>
      <c r="L762" s="84"/>
      <c r="M762" s="85"/>
      <c r="N762" s="38"/>
      <c r="O762" s="39"/>
      <c r="P762" s="39"/>
      <c r="Q762" s="39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5.75" customHeight="1">
      <c r="A763" s="79"/>
      <c r="B763" s="80"/>
      <c r="C763" s="80"/>
      <c r="D763" s="81"/>
      <c r="E763" s="82"/>
      <c r="F763" s="82"/>
      <c r="G763" s="82"/>
      <c r="H763" s="82"/>
      <c r="I763" s="82"/>
      <c r="J763" s="82"/>
      <c r="K763" s="83"/>
      <c r="L763" s="84"/>
      <c r="M763" s="85"/>
      <c r="N763" s="38"/>
      <c r="O763" s="39"/>
      <c r="P763" s="39"/>
      <c r="Q763" s="39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5.75" customHeight="1">
      <c r="A764" s="79"/>
      <c r="B764" s="80"/>
      <c r="C764" s="80"/>
      <c r="D764" s="81"/>
      <c r="E764" s="82"/>
      <c r="F764" s="82"/>
      <c r="G764" s="82"/>
      <c r="H764" s="82"/>
      <c r="I764" s="82"/>
      <c r="J764" s="82"/>
      <c r="K764" s="83"/>
      <c r="L764" s="84"/>
      <c r="M764" s="85"/>
      <c r="N764" s="38"/>
      <c r="O764" s="39"/>
      <c r="P764" s="39"/>
      <c r="Q764" s="39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5.75" customHeight="1">
      <c r="A765" s="79"/>
      <c r="B765" s="80"/>
      <c r="C765" s="80"/>
      <c r="D765" s="81"/>
      <c r="E765" s="82"/>
      <c r="F765" s="82"/>
      <c r="G765" s="82"/>
      <c r="H765" s="82"/>
      <c r="I765" s="82"/>
      <c r="J765" s="82"/>
      <c r="K765" s="83"/>
      <c r="L765" s="84"/>
      <c r="M765" s="85"/>
      <c r="N765" s="38"/>
      <c r="O765" s="39"/>
      <c r="P765" s="39"/>
      <c r="Q765" s="39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5.75" customHeight="1">
      <c r="A766" s="79"/>
      <c r="B766" s="80"/>
      <c r="C766" s="80"/>
      <c r="D766" s="81"/>
      <c r="E766" s="82"/>
      <c r="F766" s="82"/>
      <c r="G766" s="82"/>
      <c r="H766" s="82"/>
      <c r="I766" s="82"/>
      <c r="J766" s="82"/>
      <c r="K766" s="83"/>
      <c r="L766" s="84"/>
      <c r="M766" s="85"/>
      <c r="N766" s="38"/>
      <c r="O766" s="39"/>
      <c r="P766" s="39"/>
      <c r="Q766" s="39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5.75" customHeight="1">
      <c r="A767" s="79"/>
      <c r="B767" s="80"/>
      <c r="C767" s="80"/>
      <c r="D767" s="81"/>
      <c r="E767" s="82"/>
      <c r="F767" s="82"/>
      <c r="G767" s="82"/>
      <c r="H767" s="82"/>
      <c r="I767" s="82"/>
      <c r="J767" s="82"/>
      <c r="K767" s="83"/>
      <c r="L767" s="84"/>
      <c r="M767" s="85"/>
      <c r="N767" s="38"/>
      <c r="O767" s="39"/>
      <c r="P767" s="39"/>
      <c r="Q767" s="39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5.75" customHeight="1">
      <c r="A768" s="79"/>
      <c r="B768" s="80"/>
      <c r="C768" s="80"/>
      <c r="D768" s="81"/>
      <c r="E768" s="82"/>
      <c r="F768" s="82"/>
      <c r="G768" s="82"/>
      <c r="H768" s="82"/>
      <c r="I768" s="82"/>
      <c r="J768" s="82"/>
      <c r="K768" s="83"/>
      <c r="L768" s="84"/>
      <c r="M768" s="85"/>
      <c r="N768" s="38"/>
      <c r="O768" s="39"/>
      <c r="P768" s="39"/>
      <c r="Q768" s="39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5.75" customHeight="1">
      <c r="A769" s="79"/>
      <c r="B769" s="80"/>
      <c r="C769" s="80"/>
      <c r="D769" s="81"/>
      <c r="E769" s="82"/>
      <c r="F769" s="82"/>
      <c r="G769" s="82"/>
      <c r="H769" s="82"/>
      <c r="I769" s="82"/>
      <c r="J769" s="82"/>
      <c r="K769" s="83"/>
      <c r="L769" s="84"/>
      <c r="M769" s="85"/>
      <c r="N769" s="38"/>
      <c r="O769" s="39"/>
      <c r="P769" s="39"/>
      <c r="Q769" s="39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5.75" customHeight="1">
      <c r="A770" s="79"/>
      <c r="B770" s="80"/>
      <c r="C770" s="80"/>
      <c r="D770" s="81"/>
      <c r="E770" s="82"/>
      <c r="F770" s="82"/>
      <c r="G770" s="82"/>
      <c r="H770" s="82"/>
      <c r="I770" s="82"/>
      <c r="J770" s="82"/>
      <c r="K770" s="83"/>
      <c r="L770" s="84"/>
      <c r="M770" s="85"/>
      <c r="N770" s="38"/>
      <c r="O770" s="39"/>
      <c r="P770" s="39"/>
      <c r="Q770" s="39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5.75" customHeight="1">
      <c r="A771" s="79"/>
      <c r="B771" s="80"/>
      <c r="C771" s="80"/>
      <c r="D771" s="81"/>
      <c r="E771" s="82"/>
      <c r="F771" s="82"/>
      <c r="G771" s="82"/>
      <c r="H771" s="82"/>
      <c r="I771" s="82"/>
      <c r="J771" s="82"/>
      <c r="K771" s="83"/>
      <c r="L771" s="84"/>
      <c r="M771" s="85"/>
      <c r="N771" s="38"/>
      <c r="O771" s="39"/>
      <c r="P771" s="39"/>
      <c r="Q771" s="39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5.75" customHeight="1">
      <c r="A772" s="79"/>
      <c r="B772" s="80"/>
      <c r="C772" s="80"/>
      <c r="D772" s="81"/>
      <c r="E772" s="82"/>
      <c r="F772" s="82"/>
      <c r="G772" s="82"/>
      <c r="H772" s="82"/>
      <c r="I772" s="82"/>
      <c r="J772" s="82"/>
      <c r="K772" s="83"/>
      <c r="L772" s="84"/>
      <c r="M772" s="85"/>
      <c r="N772" s="38"/>
      <c r="O772" s="39"/>
      <c r="P772" s="39"/>
      <c r="Q772" s="39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5.75" customHeight="1">
      <c r="A773" s="79"/>
      <c r="B773" s="80"/>
      <c r="C773" s="80"/>
      <c r="D773" s="81"/>
      <c r="E773" s="82"/>
      <c r="F773" s="82"/>
      <c r="G773" s="82"/>
      <c r="H773" s="82"/>
      <c r="I773" s="82"/>
      <c r="J773" s="82"/>
      <c r="K773" s="83"/>
      <c r="L773" s="84"/>
      <c r="M773" s="85"/>
      <c r="N773" s="38"/>
      <c r="O773" s="39"/>
      <c r="P773" s="39"/>
      <c r="Q773" s="39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5.75" customHeight="1">
      <c r="A774" s="79"/>
      <c r="B774" s="80"/>
      <c r="C774" s="80"/>
      <c r="D774" s="81"/>
      <c r="E774" s="82"/>
      <c r="F774" s="82"/>
      <c r="G774" s="82"/>
      <c r="H774" s="82"/>
      <c r="I774" s="82"/>
      <c r="J774" s="82"/>
      <c r="K774" s="83"/>
      <c r="L774" s="84"/>
      <c r="M774" s="85"/>
      <c r="N774" s="38"/>
      <c r="O774" s="39"/>
      <c r="P774" s="39"/>
      <c r="Q774" s="39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5.75" customHeight="1">
      <c r="A775" s="79"/>
      <c r="B775" s="80"/>
      <c r="C775" s="80"/>
      <c r="D775" s="81"/>
      <c r="E775" s="82"/>
      <c r="F775" s="82"/>
      <c r="G775" s="82"/>
      <c r="H775" s="82"/>
      <c r="I775" s="82"/>
      <c r="J775" s="82"/>
      <c r="K775" s="83"/>
      <c r="L775" s="84"/>
      <c r="M775" s="85"/>
      <c r="N775" s="38"/>
      <c r="O775" s="39"/>
      <c r="P775" s="39"/>
      <c r="Q775" s="39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5.75" customHeight="1">
      <c r="A776" s="79"/>
      <c r="B776" s="80"/>
      <c r="C776" s="80"/>
      <c r="D776" s="81"/>
      <c r="E776" s="82"/>
      <c r="F776" s="82"/>
      <c r="G776" s="82"/>
      <c r="H776" s="82"/>
      <c r="I776" s="82"/>
      <c r="J776" s="82"/>
      <c r="K776" s="83"/>
      <c r="L776" s="84"/>
      <c r="M776" s="85"/>
      <c r="N776" s="38"/>
      <c r="O776" s="39"/>
      <c r="P776" s="39"/>
      <c r="Q776" s="39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5.75" customHeight="1">
      <c r="A777" s="79"/>
      <c r="B777" s="80"/>
      <c r="C777" s="80"/>
      <c r="D777" s="81"/>
      <c r="E777" s="82"/>
      <c r="F777" s="82"/>
      <c r="G777" s="82"/>
      <c r="H777" s="82"/>
      <c r="I777" s="82"/>
      <c r="J777" s="82"/>
      <c r="K777" s="83"/>
      <c r="L777" s="84"/>
      <c r="M777" s="85"/>
      <c r="N777" s="38"/>
      <c r="O777" s="39"/>
      <c r="P777" s="39"/>
      <c r="Q777" s="39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5.75" customHeight="1">
      <c r="A778" s="79"/>
      <c r="B778" s="80"/>
      <c r="C778" s="80"/>
      <c r="D778" s="81"/>
      <c r="E778" s="82"/>
      <c r="F778" s="82"/>
      <c r="G778" s="82"/>
      <c r="H778" s="82"/>
      <c r="I778" s="82"/>
      <c r="J778" s="82"/>
      <c r="K778" s="83"/>
      <c r="L778" s="84"/>
      <c r="M778" s="85"/>
      <c r="N778" s="38"/>
      <c r="O778" s="39"/>
      <c r="P778" s="39"/>
      <c r="Q778" s="39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5.75" customHeight="1">
      <c r="A779" s="79"/>
      <c r="B779" s="80"/>
      <c r="C779" s="80"/>
      <c r="D779" s="81"/>
      <c r="E779" s="82"/>
      <c r="F779" s="82"/>
      <c r="G779" s="82"/>
      <c r="H779" s="82"/>
      <c r="I779" s="82"/>
      <c r="J779" s="82"/>
      <c r="K779" s="83"/>
      <c r="L779" s="84"/>
      <c r="M779" s="85"/>
      <c r="N779" s="38"/>
      <c r="O779" s="39"/>
      <c r="P779" s="39"/>
      <c r="Q779" s="39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5.75" customHeight="1">
      <c r="A780" s="79"/>
      <c r="B780" s="80"/>
      <c r="C780" s="80"/>
      <c r="D780" s="81"/>
      <c r="E780" s="82"/>
      <c r="F780" s="82"/>
      <c r="G780" s="82"/>
      <c r="H780" s="82"/>
      <c r="I780" s="82"/>
      <c r="J780" s="82"/>
      <c r="K780" s="83"/>
      <c r="L780" s="84"/>
      <c r="M780" s="85"/>
      <c r="N780" s="38"/>
      <c r="O780" s="39"/>
      <c r="P780" s="39"/>
      <c r="Q780" s="39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5.75" customHeight="1">
      <c r="A781" s="79"/>
      <c r="B781" s="80"/>
      <c r="C781" s="80"/>
      <c r="D781" s="81"/>
      <c r="E781" s="82"/>
      <c r="F781" s="82"/>
      <c r="G781" s="82"/>
      <c r="H781" s="82"/>
      <c r="I781" s="82"/>
      <c r="J781" s="82"/>
      <c r="K781" s="83"/>
      <c r="L781" s="84"/>
      <c r="M781" s="85"/>
      <c r="N781" s="38"/>
      <c r="O781" s="39"/>
      <c r="P781" s="39"/>
      <c r="Q781" s="39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5.75" customHeight="1">
      <c r="A782" s="79"/>
      <c r="B782" s="80"/>
      <c r="C782" s="80"/>
      <c r="D782" s="81"/>
      <c r="E782" s="82"/>
      <c r="F782" s="82"/>
      <c r="G782" s="82"/>
      <c r="H782" s="82"/>
      <c r="I782" s="82"/>
      <c r="J782" s="82"/>
      <c r="K782" s="83"/>
      <c r="L782" s="84"/>
      <c r="M782" s="85"/>
      <c r="N782" s="38"/>
      <c r="O782" s="39"/>
      <c r="P782" s="39"/>
      <c r="Q782" s="39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5.75" customHeight="1">
      <c r="A783" s="79"/>
      <c r="B783" s="80"/>
      <c r="C783" s="80"/>
      <c r="D783" s="81"/>
      <c r="E783" s="82"/>
      <c r="F783" s="82"/>
      <c r="G783" s="82"/>
      <c r="H783" s="82"/>
      <c r="I783" s="82"/>
      <c r="J783" s="82"/>
      <c r="K783" s="83"/>
      <c r="L783" s="84"/>
      <c r="M783" s="85"/>
      <c r="N783" s="38"/>
      <c r="O783" s="39"/>
      <c r="P783" s="39"/>
      <c r="Q783" s="39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5.75" customHeight="1">
      <c r="A784" s="79"/>
      <c r="B784" s="80"/>
      <c r="C784" s="80"/>
      <c r="D784" s="81"/>
      <c r="E784" s="82"/>
      <c r="F784" s="82"/>
      <c r="G784" s="82"/>
      <c r="H784" s="82"/>
      <c r="I784" s="82"/>
      <c r="J784" s="82"/>
      <c r="K784" s="83"/>
      <c r="L784" s="84"/>
      <c r="M784" s="85"/>
      <c r="N784" s="38"/>
      <c r="O784" s="39"/>
      <c r="P784" s="39"/>
      <c r="Q784" s="39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5.75" customHeight="1">
      <c r="A785" s="79"/>
      <c r="B785" s="80"/>
      <c r="C785" s="80"/>
      <c r="D785" s="81"/>
      <c r="E785" s="82"/>
      <c r="F785" s="82"/>
      <c r="G785" s="82"/>
      <c r="H785" s="82"/>
      <c r="I785" s="82"/>
      <c r="J785" s="82"/>
      <c r="K785" s="83"/>
      <c r="L785" s="84"/>
      <c r="M785" s="85"/>
      <c r="N785" s="38"/>
      <c r="O785" s="39"/>
      <c r="P785" s="39"/>
      <c r="Q785" s="39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5.75" customHeight="1">
      <c r="A786" s="79"/>
      <c r="B786" s="80"/>
      <c r="C786" s="80"/>
      <c r="D786" s="81"/>
      <c r="E786" s="82"/>
      <c r="F786" s="82"/>
      <c r="G786" s="82"/>
      <c r="H786" s="82"/>
      <c r="I786" s="82"/>
      <c r="J786" s="82"/>
      <c r="K786" s="83"/>
      <c r="L786" s="84"/>
      <c r="M786" s="85"/>
      <c r="N786" s="38"/>
      <c r="O786" s="39"/>
      <c r="P786" s="39"/>
      <c r="Q786" s="39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5.75" customHeight="1">
      <c r="A787" s="79"/>
      <c r="B787" s="80"/>
      <c r="C787" s="80"/>
      <c r="D787" s="81"/>
      <c r="E787" s="82"/>
      <c r="F787" s="82"/>
      <c r="G787" s="82"/>
      <c r="H787" s="82"/>
      <c r="I787" s="82"/>
      <c r="J787" s="82"/>
      <c r="K787" s="83"/>
      <c r="L787" s="84"/>
      <c r="M787" s="85"/>
      <c r="N787" s="38"/>
      <c r="O787" s="39"/>
      <c r="P787" s="39"/>
      <c r="Q787" s="39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5.75" customHeight="1">
      <c r="A788" s="79"/>
      <c r="B788" s="80"/>
      <c r="C788" s="80"/>
      <c r="D788" s="81"/>
      <c r="E788" s="82"/>
      <c r="F788" s="82"/>
      <c r="G788" s="82"/>
      <c r="H788" s="82"/>
      <c r="I788" s="82"/>
      <c r="J788" s="82"/>
      <c r="K788" s="83"/>
      <c r="L788" s="84"/>
      <c r="M788" s="85"/>
      <c r="N788" s="38"/>
      <c r="O788" s="39"/>
      <c r="P788" s="39"/>
      <c r="Q788" s="39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5.75" customHeight="1">
      <c r="A789" s="79"/>
      <c r="B789" s="80"/>
      <c r="C789" s="80"/>
      <c r="D789" s="81"/>
      <c r="E789" s="82"/>
      <c r="F789" s="82"/>
      <c r="G789" s="82"/>
      <c r="H789" s="82"/>
      <c r="I789" s="82"/>
      <c r="J789" s="82"/>
      <c r="K789" s="83"/>
      <c r="L789" s="84"/>
      <c r="M789" s="85"/>
      <c r="N789" s="38"/>
      <c r="O789" s="39"/>
      <c r="P789" s="39"/>
      <c r="Q789" s="39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5.75" customHeight="1">
      <c r="A790" s="79"/>
      <c r="B790" s="80"/>
      <c r="C790" s="80"/>
      <c r="D790" s="81"/>
      <c r="E790" s="82"/>
      <c r="F790" s="82"/>
      <c r="G790" s="82"/>
      <c r="H790" s="82"/>
      <c r="I790" s="82"/>
      <c r="J790" s="82"/>
      <c r="K790" s="83"/>
      <c r="L790" s="84"/>
      <c r="M790" s="85"/>
      <c r="N790" s="38"/>
      <c r="O790" s="39"/>
      <c r="P790" s="39"/>
      <c r="Q790" s="39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5.75" customHeight="1">
      <c r="A791" s="79"/>
      <c r="B791" s="80"/>
      <c r="C791" s="80"/>
      <c r="D791" s="81"/>
      <c r="E791" s="82"/>
      <c r="F791" s="82"/>
      <c r="G791" s="82"/>
      <c r="H791" s="82"/>
      <c r="I791" s="82"/>
      <c r="J791" s="82"/>
      <c r="K791" s="83"/>
      <c r="L791" s="84"/>
      <c r="M791" s="85"/>
      <c r="N791" s="38"/>
      <c r="O791" s="39"/>
      <c r="P791" s="39"/>
      <c r="Q791" s="39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5.75" customHeight="1">
      <c r="A792" s="79"/>
      <c r="B792" s="80"/>
      <c r="C792" s="80"/>
      <c r="D792" s="81"/>
      <c r="E792" s="82"/>
      <c r="F792" s="82"/>
      <c r="G792" s="82"/>
      <c r="H792" s="82"/>
      <c r="I792" s="82"/>
      <c r="J792" s="82"/>
      <c r="K792" s="83"/>
      <c r="L792" s="84"/>
      <c r="M792" s="85"/>
      <c r="N792" s="38"/>
      <c r="O792" s="39"/>
      <c r="P792" s="39"/>
      <c r="Q792" s="39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5.75" customHeight="1">
      <c r="A793" s="79"/>
      <c r="B793" s="80"/>
      <c r="C793" s="80"/>
      <c r="D793" s="81"/>
      <c r="E793" s="82"/>
      <c r="F793" s="82"/>
      <c r="G793" s="82"/>
      <c r="H793" s="82"/>
      <c r="I793" s="82"/>
      <c r="J793" s="82"/>
      <c r="K793" s="83"/>
      <c r="L793" s="84"/>
      <c r="M793" s="85"/>
      <c r="N793" s="38"/>
      <c r="O793" s="39"/>
      <c r="P793" s="39"/>
      <c r="Q793" s="39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5.75" customHeight="1">
      <c r="A794" s="79"/>
      <c r="B794" s="80"/>
      <c r="C794" s="80"/>
      <c r="D794" s="81"/>
      <c r="E794" s="82"/>
      <c r="F794" s="82"/>
      <c r="G794" s="82"/>
      <c r="H794" s="82"/>
      <c r="I794" s="82"/>
      <c r="J794" s="82"/>
      <c r="K794" s="83"/>
      <c r="L794" s="84"/>
      <c r="M794" s="85"/>
      <c r="N794" s="38"/>
      <c r="O794" s="39"/>
      <c r="P794" s="39"/>
      <c r="Q794" s="39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5.75" customHeight="1">
      <c r="A795" s="79"/>
      <c r="B795" s="80"/>
      <c r="C795" s="80"/>
      <c r="D795" s="81"/>
      <c r="E795" s="82"/>
      <c r="F795" s="82"/>
      <c r="G795" s="82"/>
      <c r="H795" s="82"/>
      <c r="I795" s="82"/>
      <c r="J795" s="82"/>
      <c r="K795" s="83"/>
      <c r="L795" s="84"/>
      <c r="M795" s="85"/>
      <c r="N795" s="38"/>
      <c r="O795" s="39"/>
      <c r="P795" s="39"/>
      <c r="Q795" s="39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5.75" customHeight="1">
      <c r="A796" s="79"/>
      <c r="B796" s="80"/>
      <c r="C796" s="80"/>
      <c r="D796" s="81"/>
      <c r="E796" s="82"/>
      <c r="F796" s="82"/>
      <c r="G796" s="82"/>
      <c r="H796" s="82"/>
      <c r="I796" s="82"/>
      <c r="J796" s="82"/>
      <c r="K796" s="83"/>
      <c r="L796" s="84"/>
      <c r="M796" s="85"/>
      <c r="N796" s="38"/>
      <c r="O796" s="39"/>
      <c r="P796" s="39"/>
      <c r="Q796" s="39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5.75" customHeight="1">
      <c r="A797" s="79"/>
      <c r="B797" s="80"/>
      <c r="C797" s="80"/>
      <c r="D797" s="81"/>
      <c r="E797" s="82"/>
      <c r="F797" s="82"/>
      <c r="G797" s="82"/>
      <c r="H797" s="82"/>
      <c r="I797" s="82"/>
      <c r="J797" s="82"/>
      <c r="K797" s="83"/>
      <c r="L797" s="84"/>
      <c r="M797" s="85"/>
      <c r="N797" s="38"/>
      <c r="O797" s="39"/>
      <c r="P797" s="39"/>
      <c r="Q797" s="39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5.75" customHeight="1">
      <c r="A798" s="79"/>
      <c r="B798" s="80"/>
      <c r="C798" s="80"/>
      <c r="D798" s="81"/>
      <c r="E798" s="82"/>
      <c r="F798" s="82"/>
      <c r="G798" s="82"/>
      <c r="H798" s="82"/>
      <c r="I798" s="82"/>
      <c r="J798" s="82"/>
      <c r="K798" s="83"/>
      <c r="L798" s="84"/>
      <c r="M798" s="85"/>
      <c r="N798" s="38"/>
      <c r="O798" s="39"/>
      <c r="P798" s="39"/>
      <c r="Q798" s="39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5.75" customHeight="1">
      <c r="A799" s="79"/>
      <c r="B799" s="80"/>
      <c r="C799" s="80"/>
      <c r="D799" s="81"/>
      <c r="E799" s="82"/>
      <c r="F799" s="82"/>
      <c r="G799" s="82"/>
      <c r="H799" s="82"/>
      <c r="I799" s="82"/>
      <c r="J799" s="82"/>
      <c r="K799" s="83"/>
      <c r="L799" s="84"/>
      <c r="M799" s="85"/>
      <c r="N799" s="38"/>
      <c r="O799" s="39"/>
      <c r="P799" s="39"/>
      <c r="Q799" s="39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5.75" customHeight="1">
      <c r="A800" s="79"/>
      <c r="B800" s="80"/>
      <c r="C800" s="80"/>
      <c r="D800" s="81"/>
      <c r="E800" s="82"/>
      <c r="F800" s="82"/>
      <c r="G800" s="82"/>
      <c r="H800" s="82"/>
      <c r="I800" s="82"/>
      <c r="J800" s="82"/>
      <c r="K800" s="83"/>
      <c r="L800" s="84"/>
      <c r="M800" s="85"/>
      <c r="N800" s="38"/>
      <c r="O800" s="39"/>
      <c r="P800" s="39"/>
      <c r="Q800" s="39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5.75" customHeight="1">
      <c r="A801" s="79"/>
      <c r="B801" s="80"/>
      <c r="C801" s="80"/>
      <c r="D801" s="81"/>
      <c r="E801" s="82"/>
      <c r="F801" s="82"/>
      <c r="G801" s="82"/>
      <c r="H801" s="82"/>
      <c r="I801" s="82"/>
      <c r="J801" s="82"/>
      <c r="K801" s="83"/>
      <c r="L801" s="84"/>
      <c r="M801" s="85"/>
      <c r="N801" s="38"/>
      <c r="O801" s="39"/>
      <c r="P801" s="39"/>
      <c r="Q801" s="39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5.75" customHeight="1">
      <c r="A802" s="79"/>
      <c r="B802" s="80"/>
      <c r="C802" s="80"/>
      <c r="D802" s="81"/>
      <c r="E802" s="82"/>
      <c r="F802" s="82"/>
      <c r="G802" s="82"/>
      <c r="H802" s="82"/>
      <c r="I802" s="82"/>
      <c r="J802" s="82"/>
      <c r="K802" s="83"/>
      <c r="L802" s="84"/>
      <c r="M802" s="85"/>
      <c r="N802" s="38"/>
      <c r="O802" s="39"/>
      <c r="P802" s="39"/>
      <c r="Q802" s="39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5.75" customHeight="1">
      <c r="A803" s="79"/>
      <c r="B803" s="80"/>
      <c r="C803" s="80"/>
      <c r="D803" s="81"/>
      <c r="E803" s="82"/>
      <c r="F803" s="82"/>
      <c r="G803" s="82"/>
      <c r="H803" s="82"/>
      <c r="I803" s="82"/>
      <c r="J803" s="82"/>
      <c r="K803" s="83"/>
      <c r="L803" s="84"/>
      <c r="M803" s="85"/>
      <c r="N803" s="38"/>
      <c r="O803" s="39"/>
      <c r="P803" s="39"/>
      <c r="Q803" s="39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5.75" customHeight="1">
      <c r="A804" s="79"/>
      <c r="B804" s="80"/>
      <c r="C804" s="80"/>
      <c r="D804" s="81"/>
      <c r="E804" s="82"/>
      <c r="F804" s="82"/>
      <c r="G804" s="82"/>
      <c r="H804" s="82"/>
      <c r="I804" s="82"/>
      <c r="J804" s="82"/>
      <c r="K804" s="83"/>
      <c r="L804" s="84"/>
      <c r="M804" s="85"/>
      <c r="N804" s="38"/>
      <c r="O804" s="39"/>
      <c r="P804" s="39"/>
      <c r="Q804" s="39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5.75" customHeight="1">
      <c r="A805" s="79"/>
      <c r="B805" s="80"/>
      <c r="C805" s="80"/>
      <c r="D805" s="81"/>
      <c r="E805" s="82"/>
      <c r="F805" s="82"/>
      <c r="G805" s="82"/>
      <c r="H805" s="82"/>
      <c r="I805" s="82"/>
      <c r="J805" s="82"/>
      <c r="K805" s="83"/>
      <c r="L805" s="84"/>
      <c r="M805" s="85"/>
      <c r="N805" s="38"/>
      <c r="O805" s="39"/>
      <c r="P805" s="39"/>
      <c r="Q805" s="39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5.75" customHeight="1">
      <c r="A806" s="79"/>
      <c r="B806" s="80"/>
      <c r="C806" s="80"/>
      <c r="D806" s="81"/>
      <c r="E806" s="82"/>
      <c r="F806" s="82"/>
      <c r="G806" s="82"/>
      <c r="H806" s="82"/>
      <c r="I806" s="82"/>
      <c r="J806" s="82"/>
      <c r="K806" s="83"/>
      <c r="L806" s="84"/>
      <c r="M806" s="85"/>
      <c r="N806" s="38"/>
      <c r="O806" s="39"/>
      <c r="P806" s="39"/>
      <c r="Q806" s="39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5.75" customHeight="1">
      <c r="A807" s="79"/>
      <c r="B807" s="80"/>
      <c r="C807" s="80"/>
      <c r="D807" s="81"/>
      <c r="E807" s="82"/>
      <c r="F807" s="82"/>
      <c r="G807" s="82"/>
      <c r="H807" s="82"/>
      <c r="I807" s="82"/>
      <c r="J807" s="82"/>
      <c r="K807" s="83"/>
      <c r="L807" s="84"/>
      <c r="M807" s="85"/>
      <c r="N807" s="38"/>
      <c r="O807" s="39"/>
      <c r="P807" s="39"/>
      <c r="Q807" s="39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5.75" customHeight="1">
      <c r="A808" s="79"/>
      <c r="B808" s="80"/>
      <c r="C808" s="80"/>
      <c r="D808" s="81"/>
      <c r="E808" s="82"/>
      <c r="F808" s="82"/>
      <c r="G808" s="82"/>
      <c r="H808" s="82"/>
      <c r="I808" s="82"/>
      <c r="J808" s="82"/>
      <c r="K808" s="83"/>
      <c r="L808" s="84"/>
      <c r="M808" s="85"/>
      <c r="N808" s="38"/>
      <c r="O808" s="39"/>
      <c r="P808" s="39"/>
      <c r="Q808" s="39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5.75" customHeight="1">
      <c r="A809" s="79"/>
      <c r="B809" s="80"/>
      <c r="C809" s="80"/>
      <c r="D809" s="81"/>
      <c r="E809" s="82"/>
      <c r="F809" s="82"/>
      <c r="G809" s="82"/>
      <c r="H809" s="82"/>
      <c r="I809" s="82"/>
      <c r="J809" s="82"/>
      <c r="K809" s="83"/>
      <c r="L809" s="84"/>
      <c r="M809" s="85"/>
      <c r="N809" s="38"/>
      <c r="O809" s="39"/>
      <c r="P809" s="39"/>
      <c r="Q809" s="39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5.75" customHeight="1">
      <c r="A810" s="79"/>
      <c r="B810" s="80"/>
      <c r="C810" s="80"/>
      <c r="D810" s="81"/>
      <c r="E810" s="82"/>
      <c r="F810" s="82"/>
      <c r="G810" s="82"/>
      <c r="H810" s="82"/>
      <c r="I810" s="82"/>
      <c r="J810" s="82"/>
      <c r="K810" s="83"/>
      <c r="L810" s="84"/>
      <c r="M810" s="85"/>
      <c r="N810" s="38"/>
      <c r="O810" s="39"/>
      <c r="P810" s="39"/>
      <c r="Q810" s="39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5.75" customHeight="1">
      <c r="A811" s="79"/>
      <c r="B811" s="80"/>
      <c r="C811" s="80"/>
      <c r="D811" s="81"/>
      <c r="E811" s="82"/>
      <c r="F811" s="82"/>
      <c r="G811" s="82"/>
      <c r="H811" s="82"/>
      <c r="I811" s="82"/>
      <c r="J811" s="82"/>
      <c r="K811" s="83"/>
      <c r="L811" s="84"/>
      <c r="M811" s="85"/>
      <c r="N811" s="38"/>
      <c r="O811" s="39"/>
      <c r="P811" s="39"/>
      <c r="Q811" s="39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5.75" customHeight="1">
      <c r="A812" s="79"/>
      <c r="B812" s="80"/>
      <c r="C812" s="80"/>
      <c r="D812" s="81"/>
      <c r="E812" s="82"/>
      <c r="F812" s="82"/>
      <c r="G812" s="82"/>
      <c r="H812" s="82"/>
      <c r="I812" s="82"/>
      <c r="J812" s="82"/>
      <c r="K812" s="83"/>
      <c r="L812" s="84"/>
      <c r="M812" s="85"/>
      <c r="N812" s="38"/>
      <c r="O812" s="39"/>
      <c r="P812" s="39"/>
      <c r="Q812" s="39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5.75" customHeight="1">
      <c r="A813" s="79"/>
      <c r="B813" s="80"/>
      <c r="C813" s="80"/>
      <c r="D813" s="81"/>
      <c r="E813" s="82"/>
      <c r="F813" s="82"/>
      <c r="G813" s="82"/>
      <c r="H813" s="82"/>
      <c r="I813" s="82"/>
      <c r="J813" s="82"/>
      <c r="K813" s="83"/>
      <c r="L813" s="84"/>
      <c r="M813" s="85"/>
      <c r="N813" s="38"/>
      <c r="O813" s="39"/>
      <c r="P813" s="39"/>
      <c r="Q813" s="39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5.75" customHeight="1">
      <c r="A814" s="79"/>
      <c r="B814" s="80"/>
      <c r="C814" s="80"/>
      <c r="D814" s="81"/>
      <c r="E814" s="82"/>
      <c r="F814" s="82"/>
      <c r="G814" s="82"/>
      <c r="H814" s="82"/>
      <c r="I814" s="82"/>
      <c r="J814" s="82"/>
      <c r="K814" s="83"/>
      <c r="L814" s="84"/>
      <c r="M814" s="85"/>
      <c r="N814" s="38"/>
      <c r="O814" s="39"/>
      <c r="P814" s="39"/>
      <c r="Q814" s="39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5.75" customHeight="1">
      <c r="A815" s="79"/>
      <c r="B815" s="80"/>
      <c r="C815" s="80"/>
      <c r="D815" s="81"/>
      <c r="E815" s="82"/>
      <c r="F815" s="82"/>
      <c r="G815" s="82"/>
      <c r="H815" s="82"/>
      <c r="I815" s="82"/>
      <c r="J815" s="82"/>
      <c r="K815" s="83"/>
      <c r="L815" s="84"/>
      <c r="M815" s="85"/>
      <c r="N815" s="38"/>
      <c r="O815" s="39"/>
      <c r="P815" s="39"/>
      <c r="Q815" s="39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5.75" customHeight="1">
      <c r="A816" s="79"/>
      <c r="B816" s="80"/>
      <c r="C816" s="80"/>
      <c r="D816" s="81"/>
      <c r="E816" s="82"/>
      <c r="F816" s="82"/>
      <c r="G816" s="82"/>
      <c r="H816" s="82"/>
      <c r="I816" s="82"/>
      <c r="J816" s="82"/>
      <c r="K816" s="83"/>
      <c r="L816" s="84"/>
      <c r="M816" s="85"/>
      <c r="N816" s="38"/>
      <c r="O816" s="39"/>
      <c r="P816" s="39"/>
      <c r="Q816" s="39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5.75" customHeight="1">
      <c r="A817" s="79"/>
      <c r="B817" s="80"/>
      <c r="C817" s="80"/>
      <c r="D817" s="81"/>
      <c r="E817" s="82"/>
      <c r="F817" s="82"/>
      <c r="G817" s="82"/>
      <c r="H817" s="82"/>
      <c r="I817" s="82"/>
      <c r="J817" s="82"/>
      <c r="K817" s="83"/>
      <c r="L817" s="84"/>
      <c r="M817" s="85"/>
      <c r="N817" s="38"/>
      <c r="O817" s="39"/>
      <c r="P817" s="39"/>
      <c r="Q817" s="39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5.75" customHeight="1">
      <c r="A818" s="79"/>
      <c r="B818" s="80"/>
      <c r="C818" s="80"/>
      <c r="D818" s="81"/>
      <c r="E818" s="82"/>
      <c r="F818" s="82"/>
      <c r="G818" s="82"/>
      <c r="H818" s="82"/>
      <c r="I818" s="82"/>
      <c r="J818" s="82"/>
      <c r="K818" s="83"/>
      <c r="L818" s="84"/>
      <c r="M818" s="85"/>
      <c r="N818" s="38"/>
      <c r="O818" s="39"/>
      <c r="P818" s="39"/>
      <c r="Q818" s="39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5.75" customHeight="1">
      <c r="A819" s="79"/>
      <c r="B819" s="80"/>
      <c r="C819" s="80"/>
      <c r="D819" s="81"/>
      <c r="E819" s="82"/>
      <c r="F819" s="82"/>
      <c r="G819" s="82"/>
      <c r="H819" s="82"/>
      <c r="I819" s="82"/>
      <c r="J819" s="82"/>
      <c r="K819" s="83"/>
      <c r="L819" s="84"/>
      <c r="M819" s="85"/>
      <c r="N819" s="38"/>
      <c r="O819" s="39"/>
      <c r="P819" s="39"/>
      <c r="Q819" s="39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5.75" customHeight="1">
      <c r="A820" s="79"/>
      <c r="B820" s="80"/>
      <c r="C820" s="80"/>
      <c r="D820" s="81"/>
      <c r="E820" s="82"/>
      <c r="F820" s="82"/>
      <c r="G820" s="82"/>
      <c r="H820" s="82"/>
      <c r="I820" s="82"/>
      <c r="J820" s="82"/>
      <c r="K820" s="83"/>
      <c r="L820" s="84"/>
      <c r="M820" s="85"/>
      <c r="N820" s="38"/>
      <c r="O820" s="39"/>
      <c r="P820" s="39"/>
      <c r="Q820" s="39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5.75" customHeight="1">
      <c r="A821" s="79"/>
      <c r="B821" s="80"/>
      <c r="C821" s="80"/>
      <c r="D821" s="81"/>
      <c r="E821" s="82"/>
      <c r="F821" s="82"/>
      <c r="G821" s="82"/>
      <c r="H821" s="82"/>
      <c r="I821" s="82"/>
      <c r="J821" s="82"/>
      <c r="K821" s="83"/>
      <c r="L821" s="84"/>
      <c r="M821" s="85"/>
      <c r="N821" s="38"/>
      <c r="O821" s="39"/>
      <c r="P821" s="39"/>
      <c r="Q821" s="39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5.75" customHeight="1">
      <c r="A822" s="79"/>
      <c r="B822" s="80"/>
      <c r="C822" s="80"/>
      <c r="D822" s="81"/>
      <c r="E822" s="82"/>
      <c r="F822" s="82"/>
      <c r="G822" s="82"/>
      <c r="H822" s="82"/>
      <c r="I822" s="82"/>
      <c r="J822" s="82"/>
      <c r="K822" s="83"/>
      <c r="L822" s="84"/>
      <c r="M822" s="85"/>
      <c r="N822" s="38"/>
      <c r="O822" s="39"/>
      <c r="P822" s="39"/>
      <c r="Q822" s="39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5.75" customHeight="1">
      <c r="A823" s="79"/>
      <c r="B823" s="80"/>
      <c r="C823" s="80"/>
      <c r="D823" s="81"/>
      <c r="E823" s="82"/>
      <c r="F823" s="82"/>
      <c r="G823" s="82"/>
      <c r="H823" s="82"/>
      <c r="I823" s="82"/>
      <c r="J823" s="82"/>
      <c r="K823" s="83"/>
      <c r="L823" s="84"/>
      <c r="M823" s="85"/>
      <c r="N823" s="38"/>
      <c r="O823" s="39"/>
      <c r="P823" s="39"/>
      <c r="Q823" s="39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5.75" customHeight="1">
      <c r="A824" s="79"/>
      <c r="B824" s="80"/>
      <c r="C824" s="80"/>
      <c r="D824" s="81"/>
      <c r="E824" s="82"/>
      <c r="F824" s="82"/>
      <c r="G824" s="82"/>
      <c r="H824" s="82"/>
      <c r="I824" s="82"/>
      <c r="J824" s="82"/>
      <c r="K824" s="83"/>
      <c r="L824" s="84"/>
      <c r="M824" s="85"/>
      <c r="N824" s="38"/>
      <c r="O824" s="39"/>
      <c r="P824" s="39"/>
      <c r="Q824" s="39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5.75" customHeight="1">
      <c r="A825" s="79"/>
      <c r="B825" s="80"/>
      <c r="C825" s="80"/>
      <c r="D825" s="81"/>
      <c r="E825" s="82"/>
      <c r="F825" s="82"/>
      <c r="G825" s="82"/>
      <c r="H825" s="82"/>
      <c r="I825" s="82"/>
      <c r="J825" s="82"/>
      <c r="K825" s="83"/>
      <c r="L825" s="84"/>
      <c r="M825" s="85"/>
      <c r="N825" s="38"/>
      <c r="O825" s="39"/>
      <c r="P825" s="39"/>
      <c r="Q825" s="39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5.75" customHeight="1">
      <c r="A826" s="79"/>
      <c r="B826" s="80"/>
      <c r="C826" s="80"/>
      <c r="D826" s="81"/>
      <c r="E826" s="82"/>
      <c r="F826" s="82"/>
      <c r="G826" s="82"/>
      <c r="H826" s="82"/>
      <c r="I826" s="82"/>
      <c r="J826" s="82"/>
      <c r="K826" s="83"/>
      <c r="L826" s="84"/>
      <c r="M826" s="85"/>
      <c r="N826" s="38"/>
      <c r="O826" s="39"/>
      <c r="P826" s="39"/>
      <c r="Q826" s="39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5.75" customHeight="1">
      <c r="A827" s="79"/>
      <c r="B827" s="80"/>
      <c r="C827" s="80"/>
      <c r="D827" s="81"/>
      <c r="E827" s="82"/>
      <c r="F827" s="82"/>
      <c r="G827" s="82"/>
      <c r="H827" s="82"/>
      <c r="I827" s="82"/>
      <c r="J827" s="82"/>
      <c r="K827" s="83"/>
      <c r="L827" s="84"/>
      <c r="M827" s="85"/>
      <c r="N827" s="38"/>
      <c r="O827" s="39"/>
      <c r="P827" s="39"/>
      <c r="Q827" s="39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5.75" customHeight="1">
      <c r="A828" s="79"/>
      <c r="B828" s="80"/>
      <c r="C828" s="80"/>
      <c r="D828" s="81"/>
      <c r="E828" s="82"/>
      <c r="F828" s="82"/>
      <c r="G828" s="82"/>
      <c r="H828" s="82"/>
      <c r="I828" s="82"/>
      <c r="J828" s="82"/>
      <c r="K828" s="83"/>
      <c r="L828" s="84"/>
      <c r="M828" s="85"/>
      <c r="N828" s="38"/>
      <c r="O828" s="39"/>
      <c r="P828" s="39"/>
      <c r="Q828" s="39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5.75" customHeight="1">
      <c r="A829" s="79"/>
      <c r="B829" s="80"/>
      <c r="C829" s="80"/>
      <c r="D829" s="81"/>
      <c r="E829" s="82"/>
      <c r="F829" s="82"/>
      <c r="G829" s="82"/>
      <c r="H829" s="82"/>
      <c r="I829" s="82"/>
      <c r="J829" s="82"/>
      <c r="K829" s="83"/>
      <c r="L829" s="84"/>
      <c r="M829" s="85"/>
      <c r="N829" s="38"/>
      <c r="O829" s="39"/>
      <c r="P829" s="39"/>
      <c r="Q829" s="39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5.75" customHeight="1">
      <c r="A830" s="79"/>
      <c r="B830" s="80"/>
      <c r="C830" s="80"/>
      <c r="D830" s="81"/>
      <c r="E830" s="82"/>
      <c r="F830" s="82"/>
      <c r="G830" s="82"/>
      <c r="H830" s="82"/>
      <c r="I830" s="82"/>
      <c r="J830" s="82"/>
      <c r="K830" s="83"/>
      <c r="L830" s="84"/>
      <c r="M830" s="85"/>
      <c r="N830" s="38"/>
      <c r="O830" s="39"/>
      <c r="P830" s="39"/>
      <c r="Q830" s="39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5.75" customHeight="1">
      <c r="A831" s="79"/>
      <c r="B831" s="80"/>
      <c r="C831" s="80"/>
      <c r="D831" s="81"/>
      <c r="E831" s="82"/>
      <c r="F831" s="82"/>
      <c r="G831" s="82"/>
      <c r="H831" s="82"/>
      <c r="I831" s="82"/>
      <c r="J831" s="82"/>
      <c r="K831" s="83"/>
      <c r="L831" s="84"/>
      <c r="M831" s="85"/>
      <c r="N831" s="38"/>
      <c r="O831" s="39"/>
      <c r="P831" s="39"/>
      <c r="Q831" s="39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5.75" customHeight="1">
      <c r="A832" s="79"/>
      <c r="B832" s="80"/>
      <c r="C832" s="80"/>
      <c r="D832" s="81"/>
      <c r="E832" s="82"/>
      <c r="F832" s="82"/>
      <c r="G832" s="82"/>
      <c r="H832" s="82"/>
      <c r="I832" s="82"/>
      <c r="J832" s="82"/>
      <c r="K832" s="83"/>
      <c r="L832" s="84"/>
      <c r="M832" s="85"/>
      <c r="N832" s="38"/>
      <c r="O832" s="39"/>
      <c r="P832" s="39"/>
      <c r="Q832" s="39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5.75" customHeight="1">
      <c r="A833" s="79"/>
      <c r="B833" s="80"/>
      <c r="C833" s="80"/>
      <c r="D833" s="81"/>
      <c r="E833" s="82"/>
      <c r="F833" s="82"/>
      <c r="G833" s="82"/>
      <c r="H833" s="82"/>
      <c r="I833" s="82"/>
      <c r="J833" s="82"/>
      <c r="K833" s="83"/>
      <c r="L833" s="84"/>
      <c r="M833" s="85"/>
      <c r="N833" s="38"/>
      <c r="O833" s="39"/>
      <c r="P833" s="39"/>
      <c r="Q833" s="39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5.75" customHeight="1">
      <c r="A834" s="79"/>
      <c r="B834" s="80"/>
      <c r="C834" s="80"/>
      <c r="D834" s="81"/>
      <c r="E834" s="82"/>
      <c r="F834" s="82"/>
      <c r="G834" s="82"/>
      <c r="H834" s="82"/>
      <c r="I834" s="82"/>
      <c r="J834" s="82"/>
      <c r="K834" s="83"/>
      <c r="L834" s="84"/>
      <c r="M834" s="85"/>
      <c r="N834" s="38"/>
      <c r="O834" s="39"/>
      <c r="P834" s="39"/>
      <c r="Q834" s="39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5.75" customHeight="1">
      <c r="A835" s="79"/>
      <c r="B835" s="80"/>
      <c r="C835" s="80"/>
      <c r="D835" s="81"/>
      <c r="E835" s="82"/>
      <c r="F835" s="82"/>
      <c r="G835" s="82"/>
      <c r="H835" s="82"/>
      <c r="I835" s="82"/>
      <c r="J835" s="82"/>
      <c r="K835" s="83"/>
      <c r="L835" s="84"/>
      <c r="M835" s="85"/>
      <c r="N835" s="38"/>
      <c r="O835" s="39"/>
      <c r="P835" s="39"/>
      <c r="Q835" s="39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5.75" customHeight="1">
      <c r="A836" s="79"/>
      <c r="B836" s="80"/>
      <c r="C836" s="80"/>
      <c r="D836" s="81"/>
      <c r="E836" s="82"/>
      <c r="F836" s="82"/>
      <c r="G836" s="82"/>
      <c r="H836" s="82"/>
      <c r="I836" s="82"/>
      <c r="J836" s="82"/>
      <c r="K836" s="83"/>
      <c r="L836" s="84"/>
      <c r="M836" s="85"/>
      <c r="N836" s="38"/>
      <c r="O836" s="39"/>
      <c r="P836" s="39"/>
      <c r="Q836" s="39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5.75" customHeight="1">
      <c r="A837" s="79"/>
      <c r="B837" s="80"/>
      <c r="C837" s="80"/>
      <c r="D837" s="81"/>
      <c r="E837" s="82"/>
      <c r="F837" s="82"/>
      <c r="G837" s="82"/>
      <c r="H837" s="82"/>
      <c r="I837" s="82"/>
      <c r="J837" s="82"/>
      <c r="K837" s="83"/>
      <c r="L837" s="84"/>
      <c r="M837" s="85"/>
      <c r="N837" s="38"/>
      <c r="O837" s="39"/>
      <c r="P837" s="39"/>
      <c r="Q837" s="39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5.75" customHeight="1">
      <c r="A838" s="79"/>
      <c r="B838" s="80"/>
      <c r="C838" s="80"/>
      <c r="D838" s="81"/>
      <c r="E838" s="82"/>
      <c r="F838" s="82"/>
      <c r="G838" s="82"/>
      <c r="H838" s="82"/>
      <c r="I838" s="82"/>
      <c r="J838" s="82"/>
      <c r="K838" s="83"/>
      <c r="L838" s="84"/>
      <c r="M838" s="85"/>
      <c r="N838" s="38"/>
      <c r="O838" s="39"/>
      <c r="P838" s="39"/>
      <c r="Q838" s="39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5.75" customHeight="1">
      <c r="A839" s="79"/>
      <c r="B839" s="80"/>
      <c r="C839" s="80"/>
      <c r="D839" s="81"/>
      <c r="E839" s="82"/>
      <c r="F839" s="82"/>
      <c r="G839" s="82"/>
      <c r="H839" s="82"/>
      <c r="I839" s="82"/>
      <c r="J839" s="82"/>
      <c r="K839" s="83"/>
      <c r="L839" s="84"/>
      <c r="M839" s="85"/>
      <c r="N839" s="38"/>
      <c r="O839" s="39"/>
      <c r="P839" s="39"/>
      <c r="Q839" s="39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5.75" customHeight="1">
      <c r="A840" s="79"/>
      <c r="B840" s="80"/>
      <c r="C840" s="80"/>
      <c r="D840" s="81"/>
      <c r="E840" s="82"/>
      <c r="F840" s="82"/>
      <c r="G840" s="82"/>
      <c r="H840" s="82"/>
      <c r="I840" s="82"/>
      <c r="J840" s="82"/>
      <c r="K840" s="83"/>
      <c r="L840" s="84"/>
      <c r="M840" s="85"/>
      <c r="N840" s="38"/>
      <c r="O840" s="39"/>
      <c r="P840" s="39"/>
      <c r="Q840" s="39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5.75" customHeight="1">
      <c r="A841" s="79"/>
      <c r="B841" s="80"/>
      <c r="C841" s="80"/>
      <c r="D841" s="81"/>
      <c r="E841" s="82"/>
      <c r="F841" s="82"/>
      <c r="G841" s="82"/>
      <c r="H841" s="82"/>
      <c r="I841" s="82"/>
      <c r="J841" s="82"/>
      <c r="K841" s="83"/>
      <c r="L841" s="84"/>
      <c r="M841" s="85"/>
      <c r="N841" s="38"/>
      <c r="O841" s="39"/>
      <c r="P841" s="39"/>
      <c r="Q841" s="39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5.75" customHeight="1">
      <c r="A842" s="79"/>
      <c r="B842" s="80"/>
      <c r="C842" s="80"/>
      <c r="D842" s="81"/>
      <c r="E842" s="82"/>
      <c r="F842" s="82"/>
      <c r="G842" s="82"/>
      <c r="H842" s="82"/>
      <c r="I842" s="82"/>
      <c r="J842" s="82"/>
      <c r="K842" s="83"/>
      <c r="L842" s="84"/>
      <c r="M842" s="85"/>
      <c r="N842" s="38"/>
      <c r="O842" s="39"/>
      <c r="P842" s="39"/>
      <c r="Q842" s="39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5.75" customHeight="1">
      <c r="A843" s="79"/>
      <c r="B843" s="80"/>
      <c r="C843" s="80"/>
      <c r="D843" s="81"/>
      <c r="E843" s="82"/>
      <c r="F843" s="82"/>
      <c r="G843" s="82"/>
      <c r="H843" s="82"/>
      <c r="I843" s="82"/>
      <c r="J843" s="82"/>
      <c r="K843" s="83"/>
      <c r="L843" s="84"/>
      <c r="M843" s="85"/>
      <c r="N843" s="38"/>
      <c r="O843" s="39"/>
      <c r="P843" s="39"/>
      <c r="Q843" s="39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5.75" customHeight="1">
      <c r="A844" s="79"/>
      <c r="B844" s="80"/>
      <c r="C844" s="80"/>
      <c r="D844" s="81"/>
      <c r="E844" s="82"/>
      <c r="F844" s="82"/>
      <c r="G844" s="82"/>
      <c r="H844" s="82"/>
      <c r="I844" s="82"/>
      <c r="J844" s="82"/>
      <c r="K844" s="83"/>
      <c r="L844" s="84"/>
      <c r="M844" s="85"/>
      <c r="N844" s="38"/>
      <c r="O844" s="39"/>
      <c r="P844" s="39"/>
      <c r="Q844" s="39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5.75" customHeight="1">
      <c r="A845" s="79"/>
      <c r="B845" s="80"/>
      <c r="C845" s="80"/>
      <c r="D845" s="81"/>
      <c r="E845" s="82"/>
      <c r="F845" s="82"/>
      <c r="G845" s="82"/>
      <c r="H845" s="82"/>
      <c r="I845" s="82"/>
      <c r="J845" s="82"/>
      <c r="K845" s="83"/>
      <c r="L845" s="84"/>
      <c r="M845" s="85"/>
      <c r="N845" s="38"/>
      <c r="O845" s="39"/>
      <c r="P845" s="39"/>
      <c r="Q845" s="39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5.75" customHeight="1">
      <c r="A846" s="79"/>
      <c r="B846" s="80"/>
      <c r="C846" s="80"/>
      <c r="D846" s="81"/>
      <c r="E846" s="82"/>
      <c r="F846" s="82"/>
      <c r="G846" s="82"/>
      <c r="H846" s="82"/>
      <c r="I846" s="82"/>
      <c r="J846" s="82"/>
      <c r="K846" s="83"/>
      <c r="L846" s="84"/>
      <c r="M846" s="85"/>
      <c r="N846" s="38"/>
      <c r="O846" s="39"/>
      <c r="P846" s="39"/>
      <c r="Q846" s="39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5.75" customHeight="1">
      <c r="A847" s="79"/>
      <c r="B847" s="80"/>
      <c r="C847" s="80"/>
      <c r="D847" s="81"/>
      <c r="E847" s="82"/>
      <c r="F847" s="82"/>
      <c r="G847" s="82"/>
      <c r="H847" s="82"/>
      <c r="I847" s="82"/>
      <c r="J847" s="82"/>
      <c r="K847" s="83"/>
      <c r="L847" s="84"/>
      <c r="M847" s="85"/>
      <c r="N847" s="38"/>
      <c r="O847" s="39"/>
      <c r="P847" s="39"/>
      <c r="Q847" s="39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5.75" customHeight="1">
      <c r="A848" s="79"/>
      <c r="B848" s="80"/>
      <c r="C848" s="80"/>
      <c r="D848" s="81"/>
      <c r="E848" s="82"/>
      <c r="F848" s="82"/>
      <c r="G848" s="82"/>
      <c r="H848" s="82"/>
      <c r="I848" s="82"/>
      <c r="J848" s="82"/>
      <c r="K848" s="83"/>
      <c r="L848" s="84"/>
      <c r="M848" s="85"/>
      <c r="N848" s="38"/>
      <c r="O848" s="39"/>
      <c r="P848" s="39"/>
      <c r="Q848" s="39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5.75" customHeight="1">
      <c r="A849" s="79"/>
      <c r="B849" s="80"/>
      <c r="C849" s="80"/>
      <c r="D849" s="81"/>
      <c r="E849" s="82"/>
      <c r="F849" s="82"/>
      <c r="G849" s="82"/>
      <c r="H849" s="82"/>
      <c r="I849" s="82"/>
      <c r="J849" s="82"/>
      <c r="K849" s="83"/>
      <c r="L849" s="84"/>
      <c r="M849" s="85"/>
      <c r="N849" s="38"/>
      <c r="O849" s="39"/>
      <c r="P849" s="39"/>
      <c r="Q849" s="39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5.75" customHeight="1">
      <c r="A850" s="79"/>
      <c r="B850" s="80"/>
      <c r="C850" s="80"/>
      <c r="D850" s="81"/>
      <c r="E850" s="82"/>
      <c r="F850" s="82"/>
      <c r="G850" s="82"/>
      <c r="H850" s="82"/>
      <c r="I850" s="82"/>
      <c r="J850" s="82"/>
      <c r="K850" s="83"/>
      <c r="L850" s="84"/>
      <c r="M850" s="85"/>
      <c r="N850" s="38"/>
      <c r="O850" s="39"/>
      <c r="P850" s="39"/>
      <c r="Q850" s="39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5.75" customHeight="1">
      <c r="A851" s="79"/>
      <c r="B851" s="80"/>
      <c r="C851" s="80"/>
      <c r="D851" s="81"/>
      <c r="E851" s="82"/>
      <c r="F851" s="82"/>
      <c r="G851" s="82"/>
      <c r="H851" s="82"/>
      <c r="I851" s="82"/>
      <c r="J851" s="82"/>
      <c r="K851" s="83"/>
      <c r="L851" s="84"/>
      <c r="M851" s="85"/>
      <c r="N851" s="38"/>
      <c r="O851" s="39"/>
      <c r="P851" s="39"/>
      <c r="Q851" s="39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5.75" customHeight="1">
      <c r="A852" s="79"/>
      <c r="B852" s="80"/>
      <c r="C852" s="80"/>
      <c r="D852" s="81"/>
      <c r="E852" s="82"/>
      <c r="F852" s="82"/>
      <c r="G852" s="82"/>
      <c r="H852" s="82"/>
      <c r="I852" s="82"/>
      <c r="J852" s="82"/>
      <c r="K852" s="83"/>
      <c r="L852" s="84"/>
      <c r="M852" s="85"/>
      <c r="N852" s="38"/>
      <c r="O852" s="39"/>
      <c r="P852" s="39"/>
      <c r="Q852" s="39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5.75" customHeight="1">
      <c r="A853" s="79"/>
      <c r="B853" s="80"/>
      <c r="C853" s="80"/>
      <c r="D853" s="81"/>
      <c r="E853" s="82"/>
      <c r="F853" s="82"/>
      <c r="G853" s="82"/>
      <c r="H853" s="82"/>
      <c r="I853" s="82"/>
      <c r="J853" s="82"/>
      <c r="K853" s="83"/>
      <c r="L853" s="84"/>
      <c r="M853" s="85"/>
      <c r="N853" s="38"/>
      <c r="O853" s="39"/>
      <c r="P853" s="39"/>
      <c r="Q853" s="39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5.75" customHeight="1">
      <c r="A854" s="79"/>
      <c r="B854" s="80"/>
      <c r="C854" s="80"/>
      <c r="D854" s="81"/>
      <c r="E854" s="82"/>
      <c r="F854" s="82"/>
      <c r="G854" s="82"/>
      <c r="H854" s="82"/>
      <c r="I854" s="82"/>
      <c r="J854" s="82"/>
      <c r="K854" s="83"/>
      <c r="L854" s="84"/>
      <c r="M854" s="85"/>
      <c r="N854" s="38"/>
      <c r="O854" s="39"/>
      <c r="P854" s="39"/>
      <c r="Q854" s="39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5.75" customHeight="1">
      <c r="A855" s="79"/>
      <c r="B855" s="80"/>
      <c r="C855" s="80"/>
      <c r="D855" s="81"/>
      <c r="E855" s="82"/>
      <c r="F855" s="82"/>
      <c r="G855" s="82"/>
      <c r="H855" s="82"/>
      <c r="I855" s="82"/>
      <c r="J855" s="82"/>
      <c r="K855" s="83"/>
      <c r="L855" s="84"/>
      <c r="M855" s="85"/>
      <c r="N855" s="38"/>
      <c r="O855" s="39"/>
      <c r="P855" s="39"/>
      <c r="Q855" s="39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5.75" customHeight="1">
      <c r="A856" s="79"/>
      <c r="B856" s="80"/>
      <c r="C856" s="80"/>
      <c r="D856" s="81"/>
      <c r="E856" s="82"/>
      <c r="F856" s="82"/>
      <c r="G856" s="82"/>
      <c r="H856" s="82"/>
      <c r="I856" s="82"/>
      <c r="J856" s="82"/>
      <c r="K856" s="83"/>
      <c r="L856" s="84"/>
      <c r="M856" s="85"/>
      <c r="N856" s="38"/>
      <c r="O856" s="39"/>
      <c r="P856" s="39"/>
      <c r="Q856" s="39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5.75" customHeight="1">
      <c r="A857" s="79"/>
      <c r="B857" s="80"/>
      <c r="C857" s="80"/>
      <c r="D857" s="81"/>
      <c r="E857" s="82"/>
      <c r="F857" s="82"/>
      <c r="G857" s="82"/>
      <c r="H857" s="82"/>
      <c r="I857" s="82"/>
      <c r="J857" s="82"/>
      <c r="K857" s="83"/>
      <c r="L857" s="84"/>
      <c r="M857" s="85"/>
      <c r="N857" s="38"/>
      <c r="O857" s="39"/>
      <c r="P857" s="39"/>
      <c r="Q857" s="39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5.75" customHeight="1">
      <c r="A858" s="79"/>
      <c r="B858" s="80"/>
      <c r="C858" s="80"/>
      <c r="D858" s="81"/>
      <c r="E858" s="82"/>
      <c r="F858" s="82"/>
      <c r="G858" s="82"/>
      <c r="H858" s="82"/>
      <c r="I858" s="82"/>
      <c r="J858" s="82"/>
      <c r="K858" s="83"/>
      <c r="L858" s="84"/>
      <c r="M858" s="85"/>
      <c r="N858" s="38"/>
      <c r="O858" s="39"/>
      <c r="P858" s="39"/>
      <c r="Q858" s="39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5.75" customHeight="1">
      <c r="A859" s="79"/>
      <c r="B859" s="80"/>
      <c r="C859" s="80"/>
      <c r="D859" s="81"/>
      <c r="E859" s="82"/>
      <c r="F859" s="82"/>
      <c r="G859" s="82"/>
      <c r="H859" s="82"/>
      <c r="I859" s="82"/>
      <c r="J859" s="82"/>
      <c r="K859" s="83"/>
      <c r="L859" s="84"/>
      <c r="M859" s="85"/>
      <c r="N859" s="38"/>
      <c r="O859" s="39"/>
      <c r="P859" s="39"/>
      <c r="Q859" s="39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5.75" customHeight="1">
      <c r="A860" s="79"/>
      <c r="B860" s="80"/>
      <c r="C860" s="80"/>
      <c r="D860" s="81"/>
      <c r="E860" s="82"/>
      <c r="F860" s="82"/>
      <c r="G860" s="82"/>
      <c r="H860" s="82"/>
      <c r="I860" s="82"/>
      <c r="J860" s="82"/>
      <c r="K860" s="83"/>
      <c r="L860" s="84"/>
      <c r="M860" s="85"/>
      <c r="N860" s="38"/>
      <c r="O860" s="39"/>
      <c r="P860" s="39"/>
      <c r="Q860" s="39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5.75" customHeight="1">
      <c r="A861" s="79"/>
      <c r="B861" s="80"/>
      <c r="C861" s="80"/>
      <c r="D861" s="81"/>
      <c r="E861" s="82"/>
      <c r="F861" s="82"/>
      <c r="G861" s="82"/>
      <c r="H861" s="82"/>
      <c r="I861" s="82"/>
      <c r="J861" s="82"/>
      <c r="K861" s="83"/>
      <c r="L861" s="84"/>
      <c r="M861" s="85"/>
      <c r="N861" s="38"/>
      <c r="O861" s="39"/>
      <c r="P861" s="39"/>
      <c r="Q861" s="39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5.75" customHeight="1">
      <c r="A862" s="79"/>
      <c r="B862" s="80"/>
      <c r="C862" s="80"/>
      <c r="D862" s="81"/>
      <c r="E862" s="82"/>
      <c r="F862" s="82"/>
      <c r="G862" s="82"/>
      <c r="H862" s="82"/>
      <c r="I862" s="82"/>
      <c r="J862" s="82"/>
      <c r="K862" s="83"/>
      <c r="L862" s="84"/>
      <c r="M862" s="85"/>
      <c r="N862" s="38"/>
      <c r="O862" s="39"/>
      <c r="P862" s="39"/>
      <c r="Q862" s="39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5.75" customHeight="1">
      <c r="A863" s="79"/>
      <c r="B863" s="80"/>
      <c r="C863" s="80"/>
      <c r="D863" s="81"/>
      <c r="E863" s="82"/>
      <c r="F863" s="82"/>
      <c r="G863" s="82"/>
      <c r="H863" s="82"/>
      <c r="I863" s="82"/>
      <c r="J863" s="82"/>
      <c r="K863" s="83"/>
      <c r="L863" s="84"/>
      <c r="M863" s="85"/>
      <c r="N863" s="38"/>
      <c r="O863" s="39"/>
      <c r="P863" s="39"/>
      <c r="Q863" s="39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5.75" customHeight="1">
      <c r="A864" s="79"/>
      <c r="B864" s="80"/>
      <c r="C864" s="80"/>
      <c r="D864" s="81"/>
      <c r="E864" s="82"/>
      <c r="F864" s="82"/>
      <c r="G864" s="82"/>
      <c r="H864" s="82"/>
      <c r="I864" s="82"/>
      <c r="J864" s="82"/>
      <c r="K864" s="83"/>
      <c r="L864" s="84"/>
      <c r="M864" s="85"/>
      <c r="N864" s="38"/>
      <c r="O864" s="39"/>
      <c r="P864" s="39"/>
      <c r="Q864" s="39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5.75" customHeight="1">
      <c r="A865" s="79"/>
      <c r="B865" s="80"/>
      <c r="C865" s="80"/>
      <c r="D865" s="81"/>
      <c r="E865" s="82"/>
      <c r="F865" s="82"/>
      <c r="G865" s="82"/>
      <c r="H865" s="82"/>
      <c r="I865" s="82"/>
      <c r="J865" s="82"/>
      <c r="K865" s="83"/>
      <c r="L865" s="84"/>
      <c r="M865" s="85"/>
      <c r="N865" s="38"/>
      <c r="O865" s="39"/>
      <c r="P865" s="39"/>
      <c r="Q865" s="39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5.75" customHeight="1">
      <c r="A866" s="79"/>
      <c r="B866" s="80"/>
      <c r="C866" s="80"/>
      <c r="D866" s="81"/>
      <c r="E866" s="82"/>
      <c r="F866" s="82"/>
      <c r="G866" s="82"/>
      <c r="H866" s="82"/>
      <c r="I866" s="82"/>
      <c r="J866" s="82"/>
      <c r="K866" s="83"/>
      <c r="L866" s="84"/>
      <c r="M866" s="85"/>
      <c r="N866" s="38"/>
      <c r="O866" s="39"/>
      <c r="P866" s="39"/>
      <c r="Q866" s="39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5.75" customHeight="1">
      <c r="A867" s="79"/>
      <c r="B867" s="80"/>
      <c r="C867" s="80"/>
      <c r="D867" s="81"/>
      <c r="E867" s="82"/>
      <c r="F867" s="82"/>
      <c r="G867" s="82"/>
      <c r="H867" s="82"/>
      <c r="I867" s="82"/>
      <c r="J867" s="82"/>
      <c r="K867" s="83"/>
      <c r="L867" s="84"/>
      <c r="M867" s="85"/>
      <c r="N867" s="38"/>
      <c r="O867" s="39"/>
      <c r="P867" s="39"/>
      <c r="Q867" s="39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5.75" customHeight="1">
      <c r="A868" s="79"/>
      <c r="B868" s="80"/>
      <c r="C868" s="80"/>
      <c r="D868" s="81"/>
      <c r="E868" s="82"/>
      <c r="F868" s="82"/>
      <c r="G868" s="82"/>
      <c r="H868" s="82"/>
      <c r="I868" s="82"/>
      <c r="J868" s="82"/>
      <c r="K868" s="83"/>
      <c r="L868" s="84"/>
      <c r="M868" s="85"/>
      <c r="N868" s="38"/>
      <c r="O868" s="39"/>
      <c r="P868" s="39"/>
      <c r="Q868" s="39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5.75" customHeight="1">
      <c r="A869" s="79"/>
      <c r="B869" s="80"/>
      <c r="C869" s="80"/>
      <c r="D869" s="81"/>
      <c r="E869" s="82"/>
      <c r="F869" s="82"/>
      <c r="G869" s="82"/>
      <c r="H869" s="82"/>
      <c r="I869" s="82"/>
      <c r="J869" s="82"/>
      <c r="K869" s="83"/>
      <c r="L869" s="84"/>
      <c r="M869" s="85"/>
      <c r="N869" s="38"/>
      <c r="O869" s="39"/>
      <c r="P869" s="39"/>
      <c r="Q869" s="39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5.75" customHeight="1">
      <c r="A870" s="79"/>
      <c r="B870" s="80"/>
      <c r="C870" s="80"/>
      <c r="D870" s="81"/>
      <c r="E870" s="82"/>
      <c r="F870" s="82"/>
      <c r="G870" s="82"/>
      <c r="H870" s="82"/>
      <c r="I870" s="82"/>
      <c r="J870" s="82"/>
      <c r="K870" s="83"/>
      <c r="L870" s="84"/>
      <c r="M870" s="85"/>
      <c r="N870" s="38"/>
      <c r="O870" s="39"/>
      <c r="P870" s="39"/>
      <c r="Q870" s="39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5.75" customHeight="1">
      <c r="A871" s="79"/>
      <c r="B871" s="80"/>
      <c r="C871" s="80"/>
      <c r="D871" s="81"/>
      <c r="E871" s="82"/>
      <c r="F871" s="82"/>
      <c r="G871" s="82"/>
      <c r="H871" s="82"/>
      <c r="I871" s="82"/>
      <c r="J871" s="82"/>
      <c r="K871" s="83"/>
      <c r="L871" s="84"/>
      <c r="M871" s="85"/>
      <c r="N871" s="38"/>
      <c r="O871" s="39"/>
      <c r="P871" s="39"/>
      <c r="Q871" s="39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5.75" customHeight="1">
      <c r="A872" s="79"/>
      <c r="B872" s="80"/>
      <c r="C872" s="80"/>
      <c r="D872" s="81"/>
      <c r="E872" s="82"/>
      <c r="F872" s="82"/>
      <c r="G872" s="82"/>
      <c r="H872" s="82"/>
      <c r="I872" s="82"/>
      <c r="J872" s="82"/>
      <c r="K872" s="83"/>
      <c r="L872" s="84"/>
      <c r="M872" s="85"/>
      <c r="N872" s="38"/>
      <c r="O872" s="39"/>
      <c r="P872" s="39"/>
      <c r="Q872" s="39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5.75" customHeight="1">
      <c r="A873" s="79"/>
      <c r="B873" s="80"/>
      <c r="C873" s="80"/>
      <c r="D873" s="81"/>
      <c r="E873" s="82"/>
      <c r="F873" s="82"/>
      <c r="G873" s="82"/>
      <c r="H873" s="82"/>
      <c r="I873" s="82"/>
      <c r="J873" s="82"/>
      <c r="K873" s="83"/>
      <c r="L873" s="84"/>
      <c r="M873" s="85"/>
      <c r="N873" s="38"/>
      <c r="O873" s="39"/>
      <c r="P873" s="39"/>
      <c r="Q873" s="39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5.75" customHeight="1">
      <c r="A874" s="79"/>
      <c r="B874" s="80"/>
      <c r="C874" s="80"/>
      <c r="D874" s="81"/>
      <c r="E874" s="82"/>
      <c r="F874" s="82"/>
      <c r="G874" s="82"/>
      <c r="H874" s="82"/>
      <c r="I874" s="82"/>
      <c r="J874" s="82"/>
      <c r="K874" s="83"/>
      <c r="L874" s="84"/>
      <c r="M874" s="85"/>
      <c r="N874" s="38"/>
      <c r="O874" s="39"/>
      <c r="P874" s="39"/>
      <c r="Q874" s="39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5.75" customHeight="1">
      <c r="A875" s="79"/>
      <c r="B875" s="80"/>
      <c r="C875" s="80"/>
      <c r="D875" s="81"/>
      <c r="E875" s="82"/>
      <c r="F875" s="82"/>
      <c r="G875" s="82"/>
      <c r="H875" s="82"/>
      <c r="I875" s="82"/>
      <c r="J875" s="82"/>
      <c r="K875" s="83"/>
      <c r="L875" s="84"/>
      <c r="M875" s="85"/>
      <c r="N875" s="38"/>
      <c r="O875" s="39"/>
      <c r="P875" s="39"/>
      <c r="Q875" s="39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5.75" customHeight="1">
      <c r="A876" s="79"/>
      <c r="B876" s="80"/>
      <c r="C876" s="80"/>
      <c r="D876" s="81"/>
      <c r="E876" s="82"/>
      <c r="F876" s="82"/>
      <c r="G876" s="82"/>
      <c r="H876" s="82"/>
      <c r="I876" s="82"/>
      <c r="J876" s="82"/>
      <c r="K876" s="83"/>
      <c r="L876" s="84"/>
      <c r="M876" s="85"/>
      <c r="N876" s="38"/>
      <c r="O876" s="39"/>
      <c r="P876" s="39"/>
      <c r="Q876" s="39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5.75" customHeight="1">
      <c r="A877" s="79"/>
      <c r="B877" s="80"/>
      <c r="C877" s="80"/>
      <c r="D877" s="81"/>
      <c r="E877" s="82"/>
      <c r="F877" s="82"/>
      <c r="G877" s="82"/>
      <c r="H877" s="82"/>
      <c r="I877" s="82"/>
      <c r="J877" s="82"/>
      <c r="K877" s="83"/>
      <c r="L877" s="84"/>
      <c r="M877" s="85"/>
      <c r="N877" s="38"/>
      <c r="O877" s="39"/>
      <c r="P877" s="39"/>
      <c r="Q877" s="39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5.75" customHeight="1">
      <c r="A878" s="79"/>
      <c r="B878" s="80"/>
      <c r="C878" s="80"/>
      <c r="D878" s="81"/>
      <c r="E878" s="82"/>
      <c r="F878" s="82"/>
      <c r="G878" s="82"/>
      <c r="H878" s="82"/>
      <c r="I878" s="82"/>
      <c r="J878" s="82"/>
      <c r="K878" s="83"/>
      <c r="L878" s="84"/>
      <c r="M878" s="85"/>
      <c r="N878" s="38"/>
      <c r="O878" s="39"/>
      <c r="P878" s="39"/>
      <c r="Q878" s="39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5.75" customHeight="1">
      <c r="A879" s="79"/>
      <c r="B879" s="80"/>
      <c r="C879" s="80"/>
      <c r="D879" s="81"/>
      <c r="E879" s="82"/>
      <c r="F879" s="82"/>
      <c r="G879" s="82"/>
      <c r="H879" s="82"/>
      <c r="I879" s="82"/>
      <c r="J879" s="82"/>
      <c r="K879" s="83"/>
      <c r="L879" s="84"/>
      <c r="M879" s="85"/>
      <c r="N879" s="38"/>
      <c r="O879" s="39"/>
      <c r="P879" s="39"/>
      <c r="Q879" s="39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5.75" customHeight="1">
      <c r="A880" s="79"/>
      <c r="B880" s="80"/>
      <c r="C880" s="80"/>
      <c r="D880" s="81"/>
      <c r="E880" s="82"/>
      <c r="F880" s="82"/>
      <c r="G880" s="82"/>
      <c r="H880" s="82"/>
      <c r="I880" s="82"/>
      <c r="J880" s="82"/>
      <c r="K880" s="83"/>
      <c r="L880" s="84"/>
      <c r="M880" s="85"/>
      <c r="N880" s="38"/>
      <c r="O880" s="39"/>
      <c r="P880" s="39"/>
      <c r="Q880" s="39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5.75" customHeight="1">
      <c r="A881" s="79"/>
      <c r="B881" s="80"/>
      <c r="C881" s="80"/>
      <c r="D881" s="81"/>
      <c r="E881" s="82"/>
      <c r="F881" s="82"/>
      <c r="G881" s="82"/>
      <c r="H881" s="82"/>
      <c r="I881" s="82"/>
      <c r="J881" s="82"/>
      <c r="K881" s="83"/>
      <c r="L881" s="84"/>
      <c r="M881" s="85"/>
      <c r="N881" s="38"/>
      <c r="O881" s="39"/>
      <c r="P881" s="39"/>
      <c r="Q881" s="39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5.75" customHeight="1">
      <c r="A882" s="79"/>
      <c r="B882" s="80"/>
      <c r="C882" s="80"/>
      <c r="D882" s="81"/>
      <c r="E882" s="82"/>
      <c r="F882" s="82"/>
      <c r="G882" s="82"/>
      <c r="H882" s="82"/>
      <c r="I882" s="82"/>
      <c r="J882" s="82"/>
      <c r="K882" s="83"/>
      <c r="L882" s="84"/>
      <c r="M882" s="85"/>
      <c r="N882" s="38"/>
      <c r="O882" s="39"/>
      <c r="P882" s="39"/>
      <c r="Q882" s="39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5.75" customHeight="1">
      <c r="A883" s="79"/>
      <c r="B883" s="80"/>
      <c r="C883" s="80"/>
      <c r="D883" s="81"/>
      <c r="E883" s="82"/>
      <c r="F883" s="82"/>
      <c r="G883" s="82"/>
      <c r="H883" s="82"/>
      <c r="I883" s="82"/>
      <c r="J883" s="82"/>
      <c r="K883" s="83"/>
      <c r="L883" s="84"/>
      <c r="M883" s="85"/>
      <c r="N883" s="38"/>
      <c r="O883" s="39"/>
      <c r="P883" s="39"/>
      <c r="Q883" s="39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5.75" customHeight="1">
      <c r="A884" s="79"/>
      <c r="B884" s="80"/>
      <c r="C884" s="80"/>
      <c r="D884" s="81"/>
      <c r="E884" s="82"/>
      <c r="F884" s="82"/>
      <c r="G884" s="82"/>
      <c r="H884" s="82"/>
      <c r="I884" s="82"/>
      <c r="J884" s="82"/>
      <c r="K884" s="83"/>
      <c r="L884" s="84"/>
      <c r="M884" s="85"/>
      <c r="N884" s="38"/>
      <c r="O884" s="39"/>
      <c r="P884" s="39"/>
      <c r="Q884" s="39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5.75" customHeight="1">
      <c r="A885" s="79"/>
      <c r="B885" s="80"/>
      <c r="C885" s="80"/>
      <c r="D885" s="81"/>
      <c r="E885" s="82"/>
      <c r="F885" s="82"/>
      <c r="G885" s="82"/>
      <c r="H885" s="82"/>
      <c r="I885" s="82"/>
      <c r="J885" s="82"/>
      <c r="K885" s="83"/>
      <c r="L885" s="84"/>
      <c r="M885" s="85"/>
      <c r="N885" s="38"/>
      <c r="O885" s="39"/>
      <c r="P885" s="39"/>
      <c r="Q885" s="39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5.75" customHeight="1">
      <c r="A886" s="79"/>
      <c r="B886" s="80"/>
      <c r="C886" s="80"/>
      <c r="D886" s="81"/>
      <c r="E886" s="82"/>
      <c r="F886" s="82"/>
      <c r="G886" s="82"/>
      <c r="H886" s="82"/>
      <c r="I886" s="82"/>
      <c r="J886" s="82"/>
      <c r="K886" s="83"/>
      <c r="L886" s="84"/>
      <c r="M886" s="85"/>
      <c r="N886" s="38"/>
      <c r="O886" s="39"/>
      <c r="P886" s="39"/>
      <c r="Q886" s="39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5.75" customHeight="1">
      <c r="A887" s="79"/>
      <c r="B887" s="80"/>
      <c r="C887" s="80"/>
      <c r="D887" s="81"/>
      <c r="E887" s="82"/>
      <c r="F887" s="82"/>
      <c r="G887" s="82"/>
      <c r="H887" s="82"/>
      <c r="I887" s="82"/>
      <c r="J887" s="82"/>
      <c r="K887" s="83"/>
      <c r="L887" s="84"/>
      <c r="M887" s="85"/>
      <c r="N887" s="38"/>
      <c r="O887" s="39"/>
      <c r="P887" s="39"/>
      <c r="Q887" s="39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5.75" customHeight="1">
      <c r="A888" s="79"/>
      <c r="B888" s="80"/>
      <c r="C888" s="80"/>
      <c r="D888" s="81"/>
      <c r="E888" s="82"/>
      <c r="F888" s="82"/>
      <c r="G888" s="82"/>
      <c r="H888" s="82"/>
      <c r="I888" s="82"/>
      <c r="J888" s="82"/>
      <c r="K888" s="83"/>
      <c r="L888" s="84"/>
      <c r="M888" s="85"/>
      <c r="N888" s="38"/>
      <c r="O888" s="39"/>
      <c r="P888" s="39"/>
      <c r="Q888" s="39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5.75" customHeight="1">
      <c r="A889" s="79"/>
      <c r="B889" s="80"/>
      <c r="C889" s="80"/>
      <c r="D889" s="81"/>
      <c r="E889" s="82"/>
      <c r="F889" s="82"/>
      <c r="G889" s="82"/>
      <c r="H889" s="82"/>
      <c r="I889" s="82"/>
      <c r="J889" s="82"/>
      <c r="K889" s="83"/>
      <c r="L889" s="84"/>
      <c r="M889" s="85"/>
      <c r="N889" s="38"/>
      <c r="O889" s="39"/>
      <c r="P889" s="39"/>
      <c r="Q889" s="39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5.75" customHeight="1">
      <c r="A890" s="79"/>
      <c r="B890" s="80"/>
      <c r="C890" s="80"/>
      <c r="D890" s="81"/>
      <c r="E890" s="82"/>
      <c r="F890" s="82"/>
      <c r="G890" s="82"/>
      <c r="H890" s="82"/>
      <c r="I890" s="82"/>
      <c r="J890" s="82"/>
      <c r="K890" s="83"/>
      <c r="L890" s="84"/>
      <c r="M890" s="85"/>
      <c r="N890" s="38"/>
      <c r="O890" s="39"/>
      <c r="P890" s="39"/>
      <c r="Q890" s="39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5.75" customHeight="1">
      <c r="A891" s="79"/>
      <c r="B891" s="80"/>
      <c r="C891" s="80"/>
      <c r="D891" s="81"/>
      <c r="E891" s="82"/>
      <c r="F891" s="82"/>
      <c r="G891" s="82"/>
      <c r="H891" s="82"/>
      <c r="I891" s="82"/>
      <c r="J891" s="82"/>
      <c r="K891" s="83"/>
      <c r="L891" s="84"/>
      <c r="M891" s="85"/>
      <c r="N891" s="38"/>
      <c r="O891" s="39"/>
      <c r="P891" s="39"/>
      <c r="Q891" s="39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5.75" customHeight="1">
      <c r="A892" s="79"/>
      <c r="B892" s="80"/>
      <c r="C892" s="80"/>
      <c r="D892" s="81"/>
      <c r="E892" s="82"/>
      <c r="F892" s="82"/>
      <c r="G892" s="82"/>
      <c r="H892" s="82"/>
      <c r="I892" s="82"/>
      <c r="J892" s="82"/>
      <c r="K892" s="83"/>
      <c r="L892" s="84"/>
      <c r="M892" s="85"/>
      <c r="N892" s="38"/>
      <c r="O892" s="39"/>
      <c r="P892" s="39"/>
      <c r="Q892" s="39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5.75" customHeight="1">
      <c r="A893" s="79"/>
      <c r="B893" s="80"/>
      <c r="C893" s="80"/>
      <c r="D893" s="81"/>
      <c r="E893" s="82"/>
      <c r="F893" s="82"/>
      <c r="G893" s="82"/>
      <c r="H893" s="82"/>
      <c r="I893" s="82"/>
      <c r="J893" s="82"/>
      <c r="K893" s="83"/>
      <c r="L893" s="84"/>
      <c r="M893" s="85"/>
      <c r="N893" s="38"/>
      <c r="O893" s="39"/>
      <c r="P893" s="39"/>
      <c r="Q893" s="39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5.75" customHeight="1">
      <c r="A894" s="79"/>
      <c r="B894" s="80"/>
      <c r="C894" s="80"/>
      <c r="D894" s="81"/>
      <c r="E894" s="82"/>
      <c r="F894" s="82"/>
      <c r="G894" s="82"/>
      <c r="H894" s="82"/>
      <c r="I894" s="82"/>
      <c r="J894" s="82"/>
      <c r="K894" s="83"/>
      <c r="L894" s="84"/>
      <c r="M894" s="85"/>
      <c r="N894" s="38"/>
      <c r="O894" s="39"/>
      <c r="P894" s="39"/>
      <c r="Q894" s="39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5.75" customHeight="1">
      <c r="A895" s="79"/>
      <c r="B895" s="80"/>
      <c r="C895" s="80"/>
      <c r="D895" s="81"/>
      <c r="E895" s="82"/>
      <c r="F895" s="82"/>
      <c r="G895" s="82"/>
      <c r="H895" s="82"/>
      <c r="I895" s="82"/>
      <c r="J895" s="82"/>
      <c r="K895" s="83"/>
      <c r="L895" s="84"/>
      <c r="M895" s="85"/>
      <c r="N895" s="38"/>
      <c r="O895" s="39"/>
      <c r="P895" s="39"/>
      <c r="Q895" s="39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5.75" customHeight="1">
      <c r="A896" s="79"/>
      <c r="B896" s="80"/>
      <c r="C896" s="80"/>
      <c r="D896" s="81"/>
      <c r="E896" s="82"/>
      <c r="F896" s="82"/>
      <c r="G896" s="82"/>
      <c r="H896" s="82"/>
      <c r="I896" s="82"/>
      <c r="J896" s="82"/>
      <c r="K896" s="83"/>
      <c r="L896" s="84"/>
      <c r="M896" s="85"/>
      <c r="N896" s="38"/>
      <c r="O896" s="39"/>
      <c r="P896" s="39"/>
      <c r="Q896" s="39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5.75" customHeight="1">
      <c r="A897" s="79"/>
      <c r="B897" s="80"/>
      <c r="C897" s="80"/>
      <c r="D897" s="81"/>
      <c r="E897" s="82"/>
      <c r="F897" s="82"/>
      <c r="G897" s="82"/>
      <c r="H897" s="82"/>
      <c r="I897" s="82"/>
      <c r="J897" s="82"/>
      <c r="K897" s="83"/>
      <c r="L897" s="84"/>
      <c r="M897" s="85"/>
      <c r="N897" s="38"/>
      <c r="O897" s="39"/>
      <c r="P897" s="39"/>
      <c r="Q897" s="39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5.75" customHeight="1">
      <c r="A898" s="79"/>
      <c r="B898" s="80"/>
      <c r="C898" s="80"/>
      <c r="D898" s="81"/>
      <c r="E898" s="82"/>
      <c r="F898" s="82"/>
      <c r="G898" s="82"/>
      <c r="H898" s="82"/>
      <c r="I898" s="82"/>
      <c r="J898" s="82"/>
      <c r="K898" s="83"/>
      <c r="L898" s="84"/>
      <c r="M898" s="85"/>
      <c r="N898" s="38"/>
      <c r="O898" s="39"/>
      <c r="P898" s="39"/>
      <c r="Q898" s="39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5.75" customHeight="1">
      <c r="A899" s="79"/>
      <c r="B899" s="80"/>
      <c r="C899" s="80"/>
      <c r="D899" s="81"/>
      <c r="E899" s="82"/>
      <c r="F899" s="82"/>
      <c r="G899" s="82"/>
      <c r="H899" s="82"/>
      <c r="I899" s="82"/>
      <c r="J899" s="82"/>
      <c r="K899" s="83"/>
      <c r="L899" s="84"/>
      <c r="M899" s="85"/>
      <c r="N899" s="38"/>
      <c r="O899" s="39"/>
      <c r="P899" s="39"/>
      <c r="Q899" s="39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5.75" customHeight="1">
      <c r="A900" s="79"/>
      <c r="B900" s="80"/>
      <c r="C900" s="80"/>
      <c r="D900" s="81"/>
      <c r="E900" s="82"/>
      <c r="F900" s="82"/>
      <c r="G900" s="82"/>
      <c r="H900" s="82"/>
      <c r="I900" s="82"/>
      <c r="J900" s="82"/>
      <c r="K900" s="83"/>
      <c r="L900" s="84"/>
      <c r="M900" s="85"/>
      <c r="N900" s="38"/>
      <c r="O900" s="39"/>
      <c r="P900" s="39"/>
      <c r="Q900" s="39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5.75" customHeight="1">
      <c r="A901" s="79"/>
      <c r="B901" s="80"/>
      <c r="C901" s="80"/>
      <c r="D901" s="81"/>
      <c r="E901" s="82"/>
      <c r="F901" s="82"/>
      <c r="G901" s="82"/>
      <c r="H901" s="82"/>
      <c r="I901" s="82"/>
      <c r="J901" s="82"/>
      <c r="K901" s="83"/>
      <c r="L901" s="84"/>
      <c r="M901" s="85"/>
      <c r="N901" s="38"/>
      <c r="O901" s="39"/>
      <c r="P901" s="39"/>
      <c r="Q901" s="39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5.75" customHeight="1">
      <c r="A902" s="79"/>
      <c r="B902" s="80"/>
      <c r="C902" s="80"/>
      <c r="D902" s="81"/>
      <c r="E902" s="82"/>
      <c r="F902" s="82"/>
      <c r="G902" s="82"/>
      <c r="H902" s="82"/>
      <c r="I902" s="82"/>
      <c r="J902" s="82"/>
      <c r="K902" s="83"/>
      <c r="L902" s="84"/>
      <c r="M902" s="85"/>
      <c r="N902" s="38"/>
      <c r="O902" s="39"/>
      <c r="P902" s="39"/>
      <c r="Q902" s="39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5.75" customHeight="1">
      <c r="A903" s="79"/>
      <c r="B903" s="80"/>
      <c r="C903" s="80"/>
      <c r="D903" s="81"/>
      <c r="E903" s="82"/>
      <c r="F903" s="82"/>
      <c r="G903" s="82"/>
      <c r="H903" s="82"/>
      <c r="I903" s="82"/>
      <c r="J903" s="82"/>
      <c r="K903" s="83"/>
      <c r="L903" s="84"/>
      <c r="M903" s="85"/>
      <c r="N903" s="38"/>
      <c r="O903" s="39"/>
      <c r="P903" s="39"/>
      <c r="Q903" s="39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5.75" customHeight="1">
      <c r="A904" s="79"/>
      <c r="B904" s="80"/>
      <c r="C904" s="80"/>
      <c r="D904" s="81"/>
      <c r="E904" s="82"/>
      <c r="F904" s="82"/>
      <c r="G904" s="82"/>
      <c r="H904" s="82"/>
      <c r="I904" s="82"/>
      <c r="J904" s="82"/>
      <c r="K904" s="83"/>
      <c r="L904" s="84"/>
      <c r="M904" s="85"/>
      <c r="N904" s="38"/>
      <c r="O904" s="39"/>
      <c r="P904" s="39"/>
      <c r="Q904" s="39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5.75" customHeight="1">
      <c r="A905" s="79"/>
      <c r="B905" s="80"/>
      <c r="C905" s="80"/>
      <c r="D905" s="81"/>
      <c r="E905" s="82"/>
      <c r="F905" s="82"/>
      <c r="G905" s="82"/>
      <c r="H905" s="82"/>
      <c r="I905" s="82"/>
      <c r="J905" s="82"/>
      <c r="K905" s="83"/>
      <c r="L905" s="84"/>
      <c r="M905" s="85"/>
      <c r="N905" s="38"/>
      <c r="O905" s="39"/>
      <c r="P905" s="39"/>
      <c r="Q905" s="39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5.75" customHeight="1">
      <c r="A906" s="79"/>
      <c r="B906" s="80"/>
      <c r="C906" s="80"/>
      <c r="D906" s="81"/>
      <c r="E906" s="82"/>
      <c r="F906" s="82"/>
      <c r="G906" s="82"/>
      <c r="H906" s="82"/>
      <c r="I906" s="82"/>
      <c r="J906" s="82"/>
      <c r="K906" s="83"/>
      <c r="L906" s="84"/>
      <c r="M906" s="85"/>
      <c r="N906" s="38"/>
      <c r="O906" s="39"/>
      <c r="P906" s="39"/>
      <c r="Q906" s="39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5.75" customHeight="1">
      <c r="A907" s="79"/>
      <c r="B907" s="80"/>
      <c r="C907" s="80"/>
      <c r="D907" s="81"/>
      <c r="E907" s="82"/>
      <c r="F907" s="82"/>
      <c r="G907" s="82"/>
      <c r="H907" s="82"/>
      <c r="I907" s="82"/>
      <c r="J907" s="82"/>
      <c r="K907" s="83"/>
      <c r="L907" s="84"/>
      <c r="M907" s="85"/>
      <c r="N907" s="38"/>
      <c r="O907" s="39"/>
      <c r="P907" s="39"/>
      <c r="Q907" s="39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5.75" customHeight="1">
      <c r="A908" s="79"/>
      <c r="B908" s="80"/>
      <c r="C908" s="80"/>
      <c r="D908" s="81"/>
      <c r="E908" s="82"/>
      <c r="F908" s="82"/>
      <c r="G908" s="82"/>
      <c r="H908" s="82"/>
      <c r="I908" s="82"/>
      <c r="J908" s="82"/>
      <c r="K908" s="83"/>
      <c r="L908" s="84"/>
      <c r="M908" s="85"/>
      <c r="N908" s="38"/>
      <c r="O908" s="39"/>
      <c r="P908" s="39"/>
      <c r="Q908" s="39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5.75" customHeight="1">
      <c r="A909" s="79"/>
      <c r="B909" s="80"/>
      <c r="C909" s="80"/>
      <c r="D909" s="81"/>
      <c r="E909" s="82"/>
      <c r="F909" s="82"/>
      <c r="G909" s="82"/>
      <c r="H909" s="82"/>
      <c r="I909" s="82"/>
      <c r="J909" s="82"/>
      <c r="K909" s="83"/>
      <c r="L909" s="84"/>
      <c r="M909" s="85"/>
      <c r="N909" s="38"/>
      <c r="O909" s="39"/>
      <c r="P909" s="39"/>
      <c r="Q909" s="39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5.75" customHeight="1">
      <c r="A910" s="79"/>
      <c r="B910" s="80"/>
      <c r="C910" s="80"/>
      <c r="D910" s="81"/>
      <c r="E910" s="82"/>
      <c r="F910" s="82"/>
      <c r="G910" s="82"/>
      <c r="H910" s="82"/>
      <c r="I910" s="82"/>
      <c r="J910" s="82"/>
      <c r="K910" s="83"/>
      <c r="L910" s="84"/>
      <c r="M910" s="85"/>
      <c r="N910" s="38"/>
      <c r="O910" s="39"/>
      <c r="P910" s="39"/>
      <c r="Q910" s="39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5.75" customHeight="1">
      <c r="A911" s="79"/>
      <c r="B911" s="80"/>
      <c r="C911" s="80"/>
      <c r="D911" s="81"/>
      <c r="E911" s="82"/>
      <c r="F911" s="82"/>
      <c r="G911" s="82"/>
      <c r="H911" s="82"/>
      <c r="I911" s="82"/>
      <c r="J911" s="82"/>
      <c r="K911" s="83"/>
      <c r="L911" s="84"/>
      <c r="M911" s="85"/>
      <c r="N911" s="38"/>
      <c r="O911" s="39"/>
      <c r="P911" s="39"/>
      <c r="Q911" s="39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5.75" customHeight="1">
      <c r="A912" s="79"/>
      <c r="B912" s="80"/>
      <c r="C912" s="80"/>
      <c r="D912" s="81"/>
      <c r="E912" s="82"/>
      <c r="F912" s="82"/>
      <c r="G912" s="82"/>
      <c r="H912" s="82"/>
      <c r="I912" s="82"/>
      <c r="J912" s="82"/>
      <c r="K912" s="83"/>
      <c r="L912" s="84"/>
      <c r="M912" s="85"/>
      <c r="N912" s="38"/>
      <c r="O912" s="39"/>
      <c r="P912" s="39"/>
      <c r="Q912" s="39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5.75" customHeight="1">
      <c r="A913" s="79"/>
      <c r="B913" s="80"/>
      <c r="C913" s="80"/>
      <c r="D913" s="81"/>
      <c r="E913" s="82"/>
      <c r="F913" s="82"/>
      <c r="G913" s="82"/>
      <c r="H913" s="82"/>
      <c r="I913" s="82"/>
      <c r="J913" s="82"/>
      <c r="K913" s="83"/>
      <c r="L913" s="84"/>
      <c r="M913" s="85"/>
      <c r="N913" s="38"/>
      <c r="O913" s="39"/>
      <c r="P913" s="39"/>
      <c r="Q913" s="39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5.75" customHeight="1">
      <c r="A914" s="79"/>
      <c r="B914" s="80"/>
      <c r="C914" s="80"/>
      <c r="D914" s="81"/>
      <c r="E914" s="82"/>
      <c r="F914" s="82"/>
      <c r="G914" s="82"/>
      <c r="H914" s="82"/>
      <c r="I914" s="82"/>
      <c r="J914" s="82"/>
      <c r="K914" s="83"/>
      <c r="L914" s="84"/>
      <c r="M914" s="85"/>
      <c r="N914" s="38"/>
      <c r="O914" s="39"/>
      <c r="P914" s="39"/>
      <c r="Q914" s="39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5.75" customHeight="1">
      <c r="A915" s="79"/>
      <c r="B915" s="80"/>
      <c r="C915" s="80"/>
      <c r="D915" s="81"/>
      <c r="E915" s="82"/>
      <c r="F915" s="82"/>
      <c r="G915" s="82"/>
      <c r="H915" s="82"/>
      <c r="I915" s="82"/>
      <c r="J915" s="82"/>
      <c r="K915" s="83"/>
      <c r="L915" s="84"/>
      <c r="M915" s="85"/>
      <c r="N915" s="38"/>
      <c r="O915" s="39"/>
      <c r="P915" s="39"/>
      <c r="Q915" s="39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5.75" customHeight="1">
      <c r="A916" s="79"/>
      <c r="B916" s="80"/>
      <c r="C916" s="80"/>
      <c r="D916" s="81"/>
      <c r="E916" s="82"/>
      <c r="F916" s="82"/>
      <c r="G916" s="82"/>
      <c r="H916" s="82"/>
      <c r="I916" s="82"/>
      <c r="J916" s="82"/>
      <c r="K916" s="83"/>
      <c r="L916" s="84"/>
      <c r="M916" s="85"/>
      <c r="N916" s="38"/>
      <c r="O916" s="39"/>
      <c r="P916" s="39"/>
      <c r="Q916" s="39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5.75" customHeight="1">
      <c r="A917" s="79"/>
      <c r="B917" s="80"/>
      <c r="C917" s="80"/>
      <c r="D917" s="81"/>
      <c r="E917" s="82"/>
      <c r="F917" s="82"/>
      <c r="G917" s="82"/>
      <c r="H917" s="82"/>
      <c r="I917" s="82"/>
      <c r="J917" s="82"/>
      <c r="K917" s="83"/>
      <c r="L917" s="84"/>
      <c r="M917" s="85"/>
      <c r="N917" s="38"/>
      <c r="O917" s="39"/>
      <c r="P917" s="39"/>
      <c r="Q917" s="39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5.75" customHeight="1">
      <c r="A918" s="79"/>
      <c r="B918" s="80"/>
      <c r="C918" s="80"/>
      <c r="D918" s="81"/>
      <c r="E918" s="82"/>
      <c r="F918" s="82"/>
      <c r="G918" s="82"/>
      <c r="H918" s="82"/>
      <c r="I918" s="82"/>
      <c r="J918" s="82"/>
      <c r="K918" s="83"/>
      <c r="L918" s="84"/>
      <c r="M918" s="85"/>
      <c r="N918" s="38"/>
      <c r="O918" s="39"/>
      <c r="P918" s="39"/>
      <c r="Q918" s="39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5.75" customHeight="1">
      <c r="A919" s="79"/>
      <c r="B919" s="80"/>
      <c r="C919" s="80"/>
      <c r="D919" s="81"/>
      <c r="E919" s="82"/>
      <c r="F919" s="82"/>
      <c r="G919" s="82"/>
      <c r="H919" s="82"/>
      <c r="I919" s="82"/>
      <c r="J919" s="82"/>
      <c r="K919" s="83"/>
      <c r="L919" s="84"/>
      <c r="M919" s="85"/>
      <c r="N919" s="38"/>
      <c r="O919" s="39"/>
      <c r="P919" s="39"/>
      <c r="Q919" s="39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5.75" customHeight="1">
      <c r="A920" s="79"/>
      <c r="B920" s="80"/>
      <c r="C920" s="80"/>
      <c r="D920" s="81"/>
      <c r="E920" s="82"/>
      <c r="F920" s="82"/>
      <c r="G920" s="82"/>
      <c r="H920" s="82"/>
      <c r="I920" s="82"/>
      <c r="J920" s="82"/>
      <c r="K920" s="83"/>
      <c r="L920" s="84"/>
      <c r="M920" s="85"/>
      <c r="N920" s="38"/>
      <c r="O920" s="39"/>
      <c r="P920" s="39"/>
      <c r="Q920" s="39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5.75" customHeight="1">
      <c r="A921" s="79"/>
      <c r="B921" s="80"/>
      <c r="C921" s="80"/>
      <c r="D921" s="81"/>
      <c r="E921" s="82"/>
      <c r="F921" s="82"/>
      <c r="G921" s="82"/>
      <c r="H921" s="82"/>
      <c r="I921" s="82"/>
      <c r="J921" s="82"/>
      <c r="K921" s="83"/>
      <c r="L921" s="84"/>
      <c r="M921" s="85"/>
      <c r="N921" s="38"/>
      <c r="O921" s="39"/>
      <c r="P921" s="39"/>
      <c r="Q921" s="39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5.75" customHeight="1">
      <c r="A922" s="79"/>
      <c r="B922" s="80"/>
      <c r="C922" s="80"/>
      <c r="D922" s="81"/>
      <c r="E922" s="82"/>
      <c r="F922" s="82"/>
      <c r="G922" s="82"/>
      <c r="H922" s="82"/>
      <c r="I922" s="82"/>
      <c r="J922" s="82"/>
      <c r="K922" s="83"/>
      <c r="L922" s="84"/>
      <c r="M922" s="85"/>
      <c r="N922" s="38"/>
      <c r="O922" s="39"/>
      <c r="P922" s="39"/>
      <c r="Q922" s="39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5.75" customHeight="1">
      <c r="A923" s="79"/>
      <c r="B923" s="80"/>
      <c r="C923" s="80"/>
      <c r="D923" s="81"/>
      <c r="E923" s="82"/>
      <c r="F923" s="82"/>
      <c r="G923" s="82"/>
      <c r="H923" s="82"/>
      <c r="I923" s="82"/>
      <c r="J923" s="82"/>
      <c r="K923" s="83"/>
      <c r="L923" s="84"/>
      <c r="M923" s="85"/>
      <c r="N923" s="38"/>
      <c r="O923" s="39"/>
      <c r="P923" s="39"/>
      <c r="Q923" s="39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5.75" customHeight="1">
      <c r="A924" s="79"/>
      <c r="B924" s="80"/>
      <c r="C924" s="80"/>
      <c r="D924" s="81"/>
      <c r="E924" s="82"/>
      <c r="F924" s="82"/>
      <c r="G924" s="82"/>
      <c r="H924" s="82"/>
      <c r="I924" s="82"/>
      <c r="J924" s="82"/>
      <c r="K924" s="83"/>
      <c r="L924" s="84"/>
      <c r="M924" s="85"/>
      <c r="N924" s="38"/>
      <c r="O924" s="39"/>
      <c r="P924" s="39"/>
      <c r="Q924" s="39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5.75" customHeight="1">
      <c r="A925" s="79"/>
      <c r="B925" s="80"/>
      <c r="C925" s="80"/>
      <c r="D925" s="81"/>
      <c r="E925" s="82"/>
      <c r="F925" s="82"/>
      <c r="G925" s="82"/>
      <c r="H925" s="82"/>
      <c r="I925" s="82"/>
      <c r="J925" s="82"/>
      <c r="K925" s="83"/>
      <c r="L925" s="84"/>
      <c r="M925" s="85"/>
      <c r="N925" s="38"/>
      <c r="O925" s="39"/>
      <c r="P925" s="39"/>
      <c r="Q925" s="39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5.75" customHeight="1">
      <c r="A926" s="79"/>
      <c r="B926" s="80"/>
      <c r="C926" s="80"/>
      <c r="D926" s="81"/>
      <c r="E926" s="82"/>
      <c r="F926" s="82"/>
      <c r="G926" s="82"/>
      <c r="H926" s="82"/>
      <c r="I926" s="82"/>
      <c r="J926" s="82"/>
      <c r="K926" s="83"/>
      <c r="L926" s="84"/>
      <c r="M926" s="85"/>
      <c r="N926" s="38"/>
      <c r="O926" s="39"/>
      <c r="P926" s="39"/>
      <c r="Q926" s="39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5.75" customHeight="1">
      <c r="A927" s="79"/>
      <c r="B927" s="80"/>
      <c r="C927" s="80"/>
      <c r="D927" s="81"/>
      <c r="E927" s="82"/>
      <c r="F927" s="82"/>
      <c r="G927" s="82"/>
      <c r="H927" s="82"/>
      <c r="I927" s="82"/>
      <c r="J927" s="82"/>
      <c r="K927" s="83"/>
      <c r="L927" s="84"/>
      <c r="M927" s="85"/>
      <c r="N927" s="38"/>
      <c r="O927" s="39"/>
      <c r="P927" s="39"/>
      <c r="Q927" s="39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5.75" customHeight="1">
      <c r="A928" s="79"/>
      <c r="B928" s="80"/>
      <c r="C928" s="80"/>
      <c r="D928" s="81"/>
      <c r="E928" s="82"/>
      <c r="F928" s="82"/>
      <c r="G928" s="82"/>
      <c r="H928" s="82"/>
      <c r="I928" s="82"/>
      <c r="J928" s="82"/>
      <c r="K928" s="83"/>
      <c r="L928" s="84"/>
      <c r="M928" s="85"/>
      <c r="N928" s="38"/>
      <c r="O928" s="39"/>
      <c r="P928" s="39"/>
      <c r="Q928" s="39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5.75" customHeight="1">
      <c r="A929" s="79"/>
      <c r="B929" s="80"/>
      <c r="C929" s="80"/>
      <c r="D929" s="81"/>
      <c r="E929" s="82"/>
      <c r="F929" s="82"/>
      <c r="G929" s="82"/>
      <c r="H929" s="82"/>
      <c r="I929" s="82"/>
      <c r="J929" s="82"/>
      <c r="K929" s="83"/>
      <c r="L929" s="84"/>
      <c r="M929" s="85"/>
      <c r="N929" s="38"/>
      <c r="O929" s="39"/>
      <c r="P929" s="39"/>
      <c r="Q929" s="39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5.75" customHeight="1">
      <c r="A930" s="79"/>
      <c r="B930" s="80"/>
      <c r="C930" s="80"/>
      <c r="D930" s="81"/>
      <c r="E930" s="82"/>
      <c r="F930" s="82"/>
      <c r="G930" s="82"/>
      <c r="H930" s="82"/>
      <c r="I930" s="82"/>
      <c r="J930" s="82"/>
      <c r="K930" s="83"/>
      <c r="L930" s="84"/>
      <c r="M930" s="85"/>
      <c r="N930" s="38"/>
      <c r="O930" s="39"/>
      <c r="P930" s="39"/>
      <c r="Q930" s="39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5.75" customHeight="1">
      <c r="A931" s="79"/>
      <c r="B931" s="80"/>
      <c r="C931" s="80"/>
      <c r="D931" s="81"/>
      <c r="E931" s="82"/>
      <c r="F931" s="82"/>
      <c r="G931" s="82"/>
      <c r="H931" s="82"/>
      <c r="I931" s="82"/>
      <c r="J931" s="82"/>
      <c r="K931" s="83"/>
      <c r="L931" s="84"/>
      <c r="M931" s="85"/>
      <c r="N931" s="38"/>
      <c r="O931" s="39"/>
      <c r="P931" s="39"/>
      <c r="Q931" s="39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5.75" customHeight="1">
      <c r="A932" s="79"/>
      <c r="B932" s="80"/>
      <c r="C932" s="80"/>
      <c r="D932" s="81"/>
      <c r="E932" s="82"/>
      <c r="F932" s="82"/>
      <c r="G932" s="82"/>
      <c r="H932" s="82"/>
      <c r="I932" s="82"/>
      <c r="J932" s="82"/>
      <c r="K932" s="83"/>
      <c r="L932" s="84"/>
      <c r="M932" s="85"/>
      <c r="N932" s="38"/>
      <c r="O932" s="39"/>
      <c r="P932" s="39"/>
      <c r="Q932" s="39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5.75" customHeight="1">
      <c r="A933" s="79"/>
      <c r="B933" s="80"/>
      <c r="C933" s="80"/>
      <c r="D933" s="81"/>
      <c r="E933" s="82"/>
      <c r="F933" s="82"/>
      <c r="G933" s="82"/>
      <c r="H933" s="82"/>
      <c r="I933" s="82"/>
      <c r="J933" s="82"/>
      <c r="K933" s="83"/>
      <c r="L933" s="84"/>
      <c r="M933" s="85"/>
      <c r="N933" s="38"/>
      <c r="O933" s="39"/>
      <c r="P933" s="39"/>
      <c r="Q933" s="39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5.75" customHeight="1">
      <c r="A934" s="79"/>
      <c r="B934" s="80"/>
      <c r="C934" s="80"/>
      <c r="D934" s="81"/>
      <c r="E934" s="82"/>
      <c r="F934" s="82"/>
      <c r="G934" s="82"/>
      <c r="H934" s="82"/>
      <c r="I934" s="82"/>
      <c r="J934" s="82"/>
      <c r="K934" s="83"/>
      <c r="L934" s="84"/>
      <c r="M934" s="85"/>
      <c r="N934" s="38"/>
      <c r="O934" s="39"/>
      <c r="P934" s="39"/>
      <c r="Q934" s="39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5.75" customHeight="1">
      <c r="A935" s="79"/>
      <c r="B935" s="80"/>
      <c r="C935" s="80"/>
      <c r="D935" s="81"/>
      <c r="E935" s="82"/>
      <c r="F935" s="82"/>
      <c r="G935" s="82"/>
      <c r="H935" s="82"/>
      <c r="I935" s="82"/>
      <c r="J935" s="82"/>
      <c r="K935" s="83"/>
      <c r="L935" s="84"/>
      <c r="M935" s="85"/>
      <c r="N935" s="38"/>
      <c r="O935" s="39"/>
      <c r="P935" s="39"/>
      <c r="Q935" s="39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5.75" customHeight="1">
      <c r="A936" s="79"/>
      <c r="B936" s="80"/>
      <c r="C936" s="80"/>
      <c r="D936" s="81"/>
      <c r="E936" s="82"/>
      <c r="F936" s="82"/>
      <c r="G936" s="82"/>
      <c r="H936" s="82"/>
      <c r="I936" s="82"/>
      <c r="J936" s="82"/>
      <c r="K936" s="83"/>
      <c r="L936" s="84"/>
      <c r="M936" s="85"/>
      <c r="N936" s="38"/>
      <c r="O936" s="39"/>
      <c r="P936" s="39"/>
      <c r="Q936" s="39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5.75" customHeight="1">
      <c r="A937" s="79"/>
      <c r="B937" s="80"/>
      <c r="C937" s="80"/>
      <c r="D937" s="81"/>
      <c r="E937" s="82"/>
      <c r="F937" s="82"/>
      <c r="G937" s="82"/>
      <c r="H937" s="82"/>
      <c r="I937" s="82"/>
      <c r="J937" s="82"/>
      <c r="K937" s="83"/>
      <c r="L937" s="84"/>
      <c r="M937" s="85"/>
      <c r="N937" s="38"/>
      <c r="O937" s="39"/>
      <c r="P937" s="39"/>
      <c r="Q937" s="39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5.75" customHeight="1">
      <c r="A938" s="79"/>
      <c r="B938" s="80"/>
      <c r="C938" s="80"/>
      <c r="D938" s="81"/>
      <c r="E938" s="82"/>
      <c r="F938" s="82"/>
      <c r="G938" s="82"/>
      <c r="H938" s="82"/>
      <c r="I938" s="82"/>
      <c r="J938" s="82"/>
      <c r="K938" s="83"/>
      <c r="L938" s="84"/>
      <c r="M938" s="85"/>
      <c r="N938" s="38"/>
      <c r="O938" s="39"/>
      <c r="P938" s="39"/>
      <c r="Q938" s="39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5.75" customHeight="1">
      <c r="A939" s="79"/>
      <c r="B939" s="80"/>
      <c r="C939" s="80"/>
      <c r="D939" s="81"/>
      <c r="E939" s="82"/>
      <c r="F939" s="82"/>
      <c r="G939" s="82"/>
      <c r="H939" s="82"/>
      <c r="I939" s="82"/>
      <c r="J939" s="82"/>
      <c r="K939" s="83"/>
      <c r="L939" s="84"/>
      <c r="M939" s="85"/>
      <c r="N939" s="38"/>
      <c r="O939" s="39"/>
      <c r="P939" s="39"/>
      <c r="Q939" s="39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5.75" customHeight="1">
      <c r="A940" s="79"/>
      <c r="B940" s="80"/>
      <c r="C940" s="80"/>
      <c r="D940" s="81"/>
      <c r="E940" s="82"/>
      <c r="F940" s="82"/>
      <c r="G940" s="82"/>
      <c r="H940" s="82"/>
      <c r="I940" s="82"/>
      <c r="J940" s="82"/>
      <c r="K940" s="83"/>
      <c r="L940" s="84"/>
      <c r="M940" s="85"/>
      <c r="N940" s="38"/>
      <c r="O940" s="39"/>
      <c r="P940" s="39"/>
      <c r="Q940" s="39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5.75" customHeight="1">
      <c r="A941" s="79"/>
      <c r="B941" s="80"/>
      <c r="C941" s="80"/>
      <c r="D941" s="81"/>
      <c r="E941" s="82"/>
      <c r="F941" s="82"/>
      <c r="G941" s="82"/>
      <c r="H941" s="82"/>
      <c r="I941" s="82"/>
      <c r="J941" s="82"/>
      <c r="K941" s="83"/>
      <c r="L941" s="84"/>
      <c r="M941" s="85"/>
      <c r="N941" s="38"/>
      <c r="O941" s="39"/>
      <c r="P941" s="39"/>
      <c r="Q941" s="39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5.75" customHeight="1">
      <c r="A942" s="79"/>
      <c r="B942" s="80"/>
      <c r="C942" s="80"/>
      <c r="D942" s="81"/>
      <c r="E942" s="82"/>
      <c r="F942" s="82"/>
      <c r="G942" s="82"/>
      <c r="H942" s="82"/>
      <c r="I942" s="82"/>
      <c r="J942" s="82"/>
      <c r="K942" s="83"/>
      <c r="L942" s="84"/>
      <c r="M942" s="85"/>
      <c r="N942" s="38"/>
      <c r="O942" s="39"/>
      <c r="P942" s="39"/>
      <c r="Q942" s="39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5.75" customHeight="1">
      <c r="A943" s="79"/>
      <c r="B943" s="80"/>
      <c r="C943" s="80"/>
      <c r="D943" s="81"/>
      <c r="E943" s="82"/>
      <c r="F943" s="82"/>
      <c r="G943" s="82"/>
      <c r="H943" s="82"/>
      <c r="I943" s="82"/>
      <c r="J943" s="82"/>
      <c r="K943" s="83"/>
      <c r="L943" s="84"/>
      <c r="M943" s="85"/>
      <c r="N943" s="38"/>
      <c r="O943" s="39"/>
      <c r="P943" s="39"/>
      <c r="Q943" s="39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5.75" customHeight="1">
      <c r="A944" s="79"/>
      <c r="B944" s="80"/>
      <c r="C944" s="80"/>
      <c r="D944" s="81"/>
      <c r="E944" s="82"/>
      <c r="F944" s="82"/>
      <c r="G944" s="82"/>
      <c r="H944" s="82"/>
      <c r="I944" s="82"/>
      <c r="J944" s="82"/>
      <c r="K944" s="83"/>
      <c r="L944" s="84"/>
      <c r="M944" s="85"/>
      <c r="N944" s="38"/>
      <c r="O944" s="39"/>
      <c r="P944" s="39"/>
      <c r="Q944" s="39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5.75" customHeight="1">
      <c r="A945" s="79"/>
      <c r="B945" s="80"/>
      <c r="C945" s="80"/>
      <c r="D945" s="81"/>
      <c r="E945" s="82"/>
      <c r="F945" s="82"/>
      <c r="G945" s="82"/>
      <c r="H945" s="82"/>
      <c r="I945" s="82"/>
      <c r="J945" s="82"/>
      <c r="K945" s="83"/>
      <c r="L945" s="84"/>
      <c r="M945" s="85"/>
      <c r="N945" s="38"/>
      <c r="O945" s="39"/>
      <c r="P945" s="39"/>
      <c r="Q945" s="39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5.75" customHeight="1">
      <c r="A946" s="79"/>
      <c r="B946" s="80"/>
      <c r="C946" s="80"/>
      <c r="D946" s="81"/>
      <c r="E946" s="82"/>
      <c r="F946" s="82"/>
      <c r="G946" s="82"/>
      <c r="H946" s="82"/>
      <c r="I946" s="82"/>
      <c r="J946" s="82"/>
      <c r="K946" s="83"/>
      <c r="L946" s="84"/>
      <c r="M946" s="85"/>
      <c r="N946" s="38"/>
      <c r="O946" s="39"/>
      <c r="P946" s="39"/>
      <c r="Q946" s="39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5.75" customHeight="1">
      <c r="A947" s="79"/>
      <c r="B947" s="80"/>
      <c r="C947" s="80"/>
      <c r="D947" s="81"/>
      <c r="E947" s="82"/>
      <c r="F947" s="82"/>
      <c r="G947" s="82"/>
      <c r="H947" s="82"/>
      <c r="I947" s="82"/>
      <c r="J947" s="82"/>
      <c r="K947" s="83"/>
      <c r="L947" s="84"/>
      <c r="M947" s="85"/>
      <c r="N947" s="38"/>
      <c r="O947" s="39"/>
      <c r="P947" s="39"/>
      <c r="Q947" s="39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5.75" customHeight="1">
      <c r="A948" s="79"/>
      <c r="B948" s="80"/>
      <c r="C948" s="80"/>
      <c r="D948" s="81"/>
      <c r="E948" s="82"/>
      <c r="F948" s="82"/>
      <c r="G948" s="82"/>
      <c r="H948" s="82"/>
      <c r="I948" s="82"/>
      <c r="J948" s="82"/>
      <c r="K948" s="83"/>
      <c r="L948" s="84"/>
      <c r="M948" s="85"/>
      <c r="N948" s="38"/>
      <c r="O948" s="39"/>
      <c r="P948" s="39"/>
      <c r="Q948" s="39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5.75" customHeight="1">
      <c r="A949" s="79"/>
      <c r="B949" s="80"/>
      <c r="C949" s="80"/>
      <c r="D949" s="81"/>
      <c r="E949" s="82"/>
      <c r="F949" s="82"/>
      <c r="G949" s="82"/>
      <c r="H949" s="82"/>
      <c r="I949" s="82"/>
      <c r="J949" s="82"/>
      <c r="K949" s="83"/>
      <c r="L949" s="84"/>
      <c r="M949" s="85"/>
      <c r="N949" s="38"/>
      <c r="O949" s="39"/>
      <c r="P949" s="39"/>
      <c r="Q949" s="39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5.75" customHeight="1">
      <c r="A950" s="79"/>
      <c r="B950" s="80"/>
      <c r="C950" s="80"/>
      <c r="D950" s="81"/>
      <c r="E950" s="82"/>
      <c r="F950" s="82"/>
      <c r="G950" s="82"/>
      <c r="H950" s="82"/>
      <c r="I950" s="82"/>
      <c r="J950" s="82"/>
      <c r="K950" s="83"/>
      <c r="L950" s="84"/>
      <c r="M950" s="85"/>
      <c r="N950" s="38"/>
      <c r="O950" s="39"/>
      <c r="P950" s="39"/>
      <c r="Q950" s="39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5.75" customHeight="1">
      <c r="A951" s="79"/>
      <c r="B951" s="80"/>
      <c r="C951" s="80"/>
      <c r="D951" s="81"/>
      <c r="E951" s="82"/>
      <c r="F951" s="82"/>
      <c r="G951" s="82"/>
      <c r="H951" s="82"/>
      <c r="I951" s="82"/>
      <c r="J951" s="82"/>
      <c r="K951" s="83"/>
      <c r="L951" s="84"/>
      <c r="M951" s="85"/>
      <c r="N951" s="38"/>
      <c r="O951" s="39"/>
      <c r="P951" s="39"/>
      <c r="Q951" s="39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5.75" customHeight="1">
      <c r="A952" s="79"/>
      <c r="B952" s="80"/>
      <c r="C952" s="80"/>
      <c r="D952" s="81"/>
      <c r="E952" s="82"/>
      <c r="F952" s="82"/>
      <c r="G952" s="82"/>
      <c r="H952" s="82"/>
      <c r="I952" s="82"/>
      <c r="J952" s="82"/>
      <c r="K952" s="83"/>
      <c r="L952" s="84"/>
      <c r="M952" s="85"/>
      <c r="N952" s="38"/>
      <c r="O952" s="39"/>
      <c r="P952" s="39"/>
      <c r="Q952" s="39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5.75" customHeight="1">
      <c r="A953" s="79"/>
      <c r="B953" s="80"/>
      <c r="C953" s="80"/>
      <c r="D953" s="81"/>
      <c r="E953" s="82"/>
      <c r="F953" s="82"/>
      <c r="G953" s="82"/>
      <c r="H953" s="82"/>
      <c r="I953" s="82"/>
      <c r="J953" s="82"/>
      <c r="K953" s="83"/>
      <c r="L953" s="84"/>
      <c r="M953" s="85"/>
      <c r="N953" s="38"/>
      <c r="O953" s="39"/>
      <c r="P953" s="39"/>
      <c r="Q953" s="39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5.75" customHeight="1">
      <c r="A954" s="79"/>
      <c r="B954" s="80"/>
      <c r="C954" s="80"/>
      <c r="D954" s="81"/>
      <c r="E954" s="82"/>
      <c r="F954" s="82"/>
      <c r="G954" s="82"/>
      <c r="H954" s="82"/>
      <c r="I954" s="82"/>
      <c r="J954" s="82"/>
      <c r="K954" s="83"/>
      <c r="L954" s="84"/>
      <c r="M954" s="85"/>
      <c r="N954" s="38"/>
      <c r="O954" s="39"/>
      <c r="P954" s="39"/>
      <c r="Q954" s="39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5.75" customHeight="1">
      <c r="A955" s="79"/>
      <c r="B955" s="80"/>
      <c r="C955" s="80"/>
      <c r="D955" s="81"/>
      <c r="E955" s="82"/>
      <c r="F955" s="82"/>
      <c r="G955" s="82"/>
      <c r="H955" s="82"/>
      <c r="I955" s="82"/>
      <c r="J955" s="82"/>
      <c r="K955" s="83"/>
      <c r="L955" s="84"/>
      <c r="M955" s="85"/>
      <c r="N955" s="38"/>
      <c r="O955" s="39"/>
      <c r="P955" s="39"/>
      <c r="Q955" s="39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5.75" customHeight="1">
      <c r="A956" s="79"/>
      <c r="B956" s="80"/>
      <c r="C956" s="80"/>
      <c r="D956" s="81"/>
      <c r="E956" s="82"/>
      <c r="F956" s="82"/>
      <c r="G956" s="82"/>
      <c r="H956" s="82"/>
      <c r="I956" s="82"/>
      <c r="J956" s="82"/>
      <c r="K956" s="83"/>
      <c r="L956" s="84"/>
      <c r="M956" s="85"/>
      <c r="N956" s="38"/>
      <c r="O956" s="39"/>
      <c r="P956" s="39"/>
      <c r="Q956" s="39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5.75" customHeight="1">
      <c r="A957" s="79"/>
      <c r="B957" s="80"/>
      <c r="C957" s="80"/>
      <c r="D957" s="81"/>
      <c r="E957" s="82"/>
      <c r="F957" s="82"/>
      <c r="G957" s="82"/>
      <c r="H957" s="82"/>
      <c r="I957" s="82"/>
      <c r="J957" s="82"/>
      <c r="K957" s="83"/>
      <c r="L957" s="84"/>
      <c r="M957" s="85"/>
      <c r="N957" s="38"/>
      <c r="O957" s="39"/>
      <c r="P957" s="39"/>
      <c r="Q957" s="39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5.75" customHeight="1">
      <c r="A958" s="79"/>
      <c r="B958" s="80"/>
      <c r="C958" s="80"/>
      <c r="D958" s="81"/>
      <c r="E958" s="82"/>
      <c r="F958" s="82"/>
      <c r="G958" s="82"/>
      <c r="H958" s="82"/>
      <c r="I958" s="82"/>
      <c r="J958" s="82"/>
      <c r="K958" s="83"/>
      <c r="L958" s="84"/>
      <c r="M958" s="85"/>
      <c r="N958" s="38"/>
      <c r="O958" s="39"/>
      <c r="P958" s="39"/>
      <c r="Q958" s="39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5.75" customHeight="1">
      <c r="A959" s="79"/>
      <c r="B959" s="80"/>
      <c r="C959" s="80"/>
      <c r="D959" s="81"/>
      <c r="E959" s="82"/>
      <c r="F959" s="82"/>
      <c r="G959" s="82"/>
      <c r="H959" s="82"/>
      <c r="I959" s="82"/>
      <c r="J959" s="82"/>
      <c r="K959" s="83"/>
      <c r="L959" s="84"/>
      <c r="M959" s="85"/>
      <c r="N959" s="38"/>
      <c r="O959" s="39"/>
      <c r="P959" s="39"/>
      <c r="Q959" s="39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5.75" customHeight="1">
      <c r="A960" s="79"/>
      <c r="B960" s="80"/>
      <c r="C960" s="80"/>
      <c r="D960" s="81"/>
      <c r="E960" s="82"/>
      <c r="F960" s="82"/>
      <c r="G960" s="82"/>
      <c r="H960" s="82"/>
      <c r="I960" s="82"/>
      <c r="J960" s="82"/>
      <c r="K960" s="83"/>
      <c r="L960" s="84"/>
      <c r="M960" s="85"/>
      <c r="N960" s="38"/>
      <c r="O960" s="39"/>
      <c r="P960" s="39"/>
      <c r="Q960" s="39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5.75" customHeight="1">
      <c r="A961" s="79"/>
      <c r="B961" s="80"/>
      <c r="C961" s="80"/>
      <c r="D961" s="81"/>
      <c r="E961" s="82"/>
      <c r="F961" s="82"/>
      <c r="G961" s="82"/>
      <c r="H961" s="82"/>
      <c r="I961" s="82"/>
      <c r="J961" s="82"/>
      <c r="K961" s="83"/>
      <c r="L961" s="84"/>
      <c r="M961" s="85"/>
      <c r="N961" s="38"/>
      <c r="O961" s="39"/>
      <c r="P961" s="39"/>
      <c r="Q961" s="39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5.75" customHeight="1">
      <c r="A962" s="79"/>
      <c r="B962" s="80"/>
      <c r="C962" s="80"/>
      <c r="D962" s="81"/>
      <c r="E962" s="82"/>
      <c r="F962" s="82"/>
      <c r="G962" s="82"/>
      <c r="H962" s="82"/>
      <c r="I962" s="82"/>
      <c r="J962" s="82"/>
      <c r="K962" s="83"/>
      <c r="L962" s="84"/>
      <c r="M962" s="85"/>
      <c r="N962" s="38"/>
      <c r="O962" s="39"/>
      <c r="P962" s="39"/>
      <c r="Q962" s="39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5.75" customHeight="1">
      <c r="A963" s="79"/>
      <c r="B963" s="80"/>
      <c r="C963" s="80"/>
      <c r="D963" s="81"/>
      <c r="E963" s="82"/>
      <c r="F963" s="82"/>
      <c r="G963" s="82"/>
      <c r="H963" s="82"/>
      <c r="I963" s="82"/>
      <c r="J963" s="82"/>
      <c r="K963" s="83"/>
      <c r="L963" s="84"/>
      <c r="M963" s="85"/>
      <c r="N963" s="38"/>
      <c r="O963" s="39"/>
      <c r="P963" s="39"/>
      <c r="Q963" s="39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5.75" customHeight="1">
      <c r="A964" s="79"/>
      <c r="B964" s="80"/>
      <c r="C964" s="80"/>
      <c r="D964" s="81"/>
      <c r="E964" s="82"/>
      <c r="F964" s="82"/>
      <c r="G964" s="82"/>
      <c r="H964" s="82"/>
      <c r="I964" s="82"/>
      <c r="J964" s="82"/>
      <c r="K964" s="83"/>
      <c r="L964" s="84"/>
      <c r="M964" s="85"/>
      <c r="N964" s="38"/>
      <c r="O964" s="39"/>
      <c r="P964" s="39"/>
      <c r="Q964" s="39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5.75" customHeight="1">
      <c r="A965" s="79"/>
      <c r="B965" s="80"/>
      <c r="C965" s="80"/>
      <c r="D965" s="81"/>
      <c r="E965" s="82"/>
      <c r="F965" s="82"/>
      <c r="G965" s="82"/>
      <c r="H965" s="82"/>
      <c r="I965" s="82"/>
      <c r="J965" s="82"/>
      <c r="K965" s="83"/>
      <c r="L965" s="84"/>
      <c r="M965" s="85"/>
      <c r="N965" s="38"/>
      <c r="O965" s="39"/>
      <c r="P965" s="39"/>
      <c r="Q965" s="39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5.75" customHeight="1">
      <c r="A966" s="79"/>
      <c r="B966" s="80"/>
      <c r="C966" s="80"/>
      <c r="D966" s="81"/>
      <c r="E966" s="82"/>
      <c r="F966" s="82"/>
      <c r="G966" s="82"/>
      <c r="H966" s="82"/>
      <c r="I966" s="82"/>
      <c r="J966" s="82"/>
      <c r="K966" s="83"/>
      <c r="L966" s="84"/>
      <c r="M966" s="85"/>
      <c r="N966" s="38"/>
      <c r="O966" s="39"/>
      <c r="P966" s="39"/>
      <c r="Q966" s="39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5.75" customHeight="1">
      <c r="A967" s="79"/>
      <c r="B967" s="80"/>
      <c r="C967" s="80"/>
      <c r="D967" s="81"/>
      <c r="E967" s="82"/>
      <c r="F967" s="82"/>
      <c r="G967" s="82"/>
      <c r="H967" s="82"/>
      <c r="I967" s="82"/>
      <c r="J967" s="82"/>
      <c r="K967" s="83"/>
      <c r="L967" s="84"/>
      <c r="M967" s="85"/>
      <c r="N967" s="38"/>
      <c r="O967" s="39"/>
      <c r="P967" s="39"/>
      <c r="Q967" s="39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5.75" customHeight="1">
      <c r="A968" s="79"/>
      <c r="B968" s="80"/>
      <c r="C968" s="80"/>
      <c r="D968" s="81"/>
      <c r="E968" s="82"/>
      <c r="F968" s="82"/>
      <c r="G968" s="82"/>
      <c r="H968" s="82"/>
      <c r="I968" s="82"/>
      <c r="J968" s="82"/>
      <c r="K968" s="83"/>
      <c r="L968" s="84"/>
      <c r="M968" s="85"/>
      <c r="N968" s="38"/>
      <c r="O968" s="39"/>
      <c r="P968" s="39"/>
      <c r="Q968" s="39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5.75" customHeight="1">
      <c r="A969" s="79"/>
      <c r="B969" s="80"/>
      <c r="C969" s="80"/>
      <c r="D969" s="81"/>
      <c r="E969" s="82"/>
      <c r="F969" s="82"/>
      <c r="G969" s="82"/>
      <c r="H969" s="82"/>
      <c r="I969" s="82"/>
      <c r="J969" s="82"/>
      <c r="K969" s="83"/>
      <c r="L969" s="84"/>
      <c r="M969" s="85"/>
      <c r="N969" s="38"/>
      <c r="O969" s="39"/>
      <c r="P969" s="39"/>
      <c r="Q969" s="39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5.75" customHeight="1">
      <c r="A970" s="79"/>
      <c r="B970" s="80"/>
      <c r="C970" s="80"/>
      <c r="D970" s="81"/>
      <c r="E970" s="82"/>
      <c r="F970" s="82"/>
      <c r="G970" s="82"/>
      <c r="H970" s="82"/>
      <c r="I970" s="82"/>
      <c r="J970" s="82"/>
      <c r="K970" s="83"/>
      <c r="L970" s="84"/>
      <c r="M970" s="85"/>
      <c r="N970" s="38"/>
      <c r="O970" s="39"/>
      <c r="P970" s="39"/>
      <c r="Q970" s="39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5.75" customHeight="1">
      <c r="A971" s="79"/>
      <c r="B971" s="80"/>
      <c r="C971" s="80"/>
      <c r="D971" s="81"/>
      <c r="E971" s="82"/>
      <c r="F971" s="82"/>
      <c r="G971" s="82"/>
      <c r="H971" s="82"/>
      <c r="I971" s="82"/>
      <c r="J971" s="82"/>
      <c r="K971" s="83"/>
      <c r="L971" s="84"/>
      <c r="M971" s="85"/>
      <c r="N971" s="38"/>
      <c r="O971" s="39"/>
      <c r="P971" s="39"/>
      <c r="Q971" s="39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5.75" customHeight="1">
      <c r="A972" s="79"/>
      <c r="B972" s="80"/>
      <c r="C972" s="80"/>
      <c r="D972" s="81"/>
      <c r="E972" s="82"/>
      <c r="F972" s="82"/>
      <c r="G972" s="82"/>
      <c r="H972" s="82"/>
      <c r="I972" s="82"/>
      <c r="J972" s="82"/>
      <c r="K972" s="83"/>
      <c r="L972" s="84"/>
      <c r="M972" s="85"/>
      <c r="N972" s="38"/>
      <c r="O972" s="39"/>
      <c r="P972" s="39"/>
      <c r="Q972" s="39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5.75" customHeight="1">
      <c r="A973" s="79"/>
      <c r="B973" s="80"/>
      <c r="C973" s="80"/>
      <c r="D973" s="81"/>
      <c r="E973" s="82"/>
      <c r="F973" s="82"/>
      <c r="G973" s="82"/>
      <c r="H973" s="82"/>
      <c r="I973" s="82"/>
      <c r="J973" s="82"/>
      <c r="K973" s="83"/>
      <c r="L973" s="84"/>
      <c r="M973" s="85"/>
      <c r="N973" s="38"/>
      <c r="O973" s="39"/>
      <c r="P973" s="39"/>
      <c r="Q973" s="39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5.75" customHeight="1">
      <c r="A974" s="79"/>
      <c r="B974" s="80"/>
      <c r="C974" s="80"/>
      <c r="D974" s="81"/>
      <c r="E974" s="82"/>
      <c r="F974" s="82"/>
      <c r="G974" s="82"/>
      <c r="H974" s="82"/>
      <c r="I974" s="82"/>
      <c r="J974" s="82"/>
      <c r="K974" s="83"/>
      <c r="L974" s="84"/>
      <c r="M974" s="85"/>
      <c r="N974" s="38"/>
      <c r="O974" s="39"/>
      <c r="P974" s="39"/>
      <c r="Q974" s="39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5.75" customHeight="1">
      <c r="A975" s="79"/>
      <c r="B975" s="80"/>
      <c r="C975" s="80"/>
      <c r="D975" s="81"/>
      <c r="E975" s="82"/>
      <c r="F975" s="82"/>
      <c r="G975" s="82"/>
      <c r="H975" s="82"/>
      <c r="I975" s="82"/>
      <c r="J975" s="82"/>
      <c r="K975" s="83"/>
      <c r="L975" s="84"/>
      <c r="M975" s="85"/>
      <c r="N975" s="38"/>
      <c r="O975" s="39"/>
      <c r="P975" s="39"/>
      <c r="Q975" s="39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5.75" customHeight="1">
      <c r="A976" s="79"/>
      <c r="B976" s="80"/>
      <c r="C976" s="80"/>
      <c r="D976" s="81"/>
      <c r="E976" s="82"/>
      <c r="F976" s="82"/>
      <c r="G976" s="82"/>
      <c r="H976" s="82"/>
      <c r="I976" s="82"/>
      <c r="J976" s="82"/>
      <c r="K976" s="83"/>
      <c r="L976" s="84"/>
      <c r="M976" s="85"/>
      <c r="N976" s="38"/>
      <c r="O976" s="39"/>
      <c r="P976" s="39"/>
      <c r="Q976" s="39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5.75" customHeight="1">
      <c r="A977" s="79"/>
      <c r="B977" s="80"/>
      <c r="C977" s="80"/>
      <c r="D977" s="81"/>
      <c r="E977" s="82"/>
      <c r="F977" s="82"/>
      <c r="G977" s="82"/>
      <c r="H977" s="82"/>
      <c r="I977" s="82"/>
      <c r="J977" s="82"/>
      <c r="K977" s="83"/>
      <c r="L977" s="84"/>
      <c r="M977" s="85"/>
      <c r="N977" s="38"/>
      <c r="O977" s="39"/>
      <c r="P977" s="39"/>
      <c r="Q977" s="39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5.75" customHeight="1">
      <c r="A978" s="79"/>
      <c r="B978" s="80"/>
      <c r="C978" s="80"/>
      <c r="D978" s="81"/>
      <c r="E978" s="82"/>
      <c r="F978" s="82"/>
      <c r="G978" s="82"/>
      <c r="H978" s="82"/>
      <c r="I978" s="82"/>
      <c r="J978" s="82"/>
      <c r="K978" s="83"/>
      <c r="L978" s="84"/>
      <c r="M978" s="85"/>
      <c r="N978" s="38"/>
      <c r="O978" s="39"/>
      <c r="P978" s="39"/>
      <c r="Q978" s="39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5.75" customHeight="1">
      <c r="A979" s="79"/>
      <c r="B979" s="80"/>
      <c r="C979" s="80"/>
      <c r="D979" s="81"/>
      <c r="E979" s="82"/>
      <c r="F979" s="82"/>
      <c r="G979" s="82"/>
      <c r="H979" s="82"/>
      <c r="I979" s="82"/>
      <c r="J979" s="82"/>
      <c r="K979" s="83"/>
      <c r="L979" s="84"/>
      <c r="M979" s="85"/>
      <c r="N979" s="38"/>
      <c r="O979" s="39"/>
      <c r="P979" s="39"/>
      <c r="Q979" s="39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5.75" customHeight="1">
      <c r="A980" s="79"/>
      <c r="B980" s="80"/>
      <c r="C980" s="80"/>
      <c r="D980" s="81"/>
      <c r="E980" s="82"/>
      <c r="F980" s="82"/>
      <c r="G980" s="82"/>
      <c r="H980" s="82"/>
      <c r="I980" s="82"/>
      <c r="J980" s="82"/>
      <c r="K980" s="83"/>
      <c r="L980" s="84"/>
      <c r="M980" s="85"/>
      <c r="N980" s="38"/>
      <c r="O980" s="39"/>
      <c r="P980" s="39"/>
      <c r="Q980" s="39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5.75" customHeight="1">
      <c r="A981" s="79"/>
      <c r="B981" s="80"/>
      <c r="C981" s="80"/>
      <c r="D981" s="81"/>
      <c r="E981" s="82"/>
      <c r="F981" s="82"/>
      <c r="G981" s="82"/>
      <c r="H981" s="82"/>
      <c r="I981" s="82"/>
      <c r="J981" s="82"/>
      <c r="K981" s="83"/>
      <c r="L981" s="84"/>
      <c r="M981" s="85"/>
      <c r="N981" s="38"/>
      <c r="O981" s="39"/>
      <c r="P981" s="39"/>
      <c r="Q981" s="39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5.75" customHeight="1">
      <c r="A982" s="79"/>
      <c r="B982" s="80"/>
      <c r="C982" s="80"/>
      <c r="D982" s="81"/>
      <c r="E982" s="82"/>
      <c r="F982" s="82"/>
      <c r="G982" s="82"/>
      <c r="H982" s="82"/>
      <c r="I982" s="82"/>
      <c r="J982" s="82"/>
      <c r="K982" s="83"/>
      <c r="L982" s="84"/>
      <c r="M982" s="85"/>
      <c r="N982" s="38"/>
      <c r="O982" s="39"/>
      <c r="P982" s="39"/>
      <c r="Q982" s="39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5.75" customHeight="1">
      <c r="A983" s="79"/>
      <c r="B983" s="80"/>
      <c r="C983" s="80"/>
      <c r="D983" s="81"/>
      <c r="E983" s="82"/>
      <c r="F983" s="82"/>
      <c r="G983" s="82"/>
      <c r="H983" s="82"/>
      <c r="I983" s="82"/>
      <c r="J983" s="82"/>
      <c r="K983" s="83"/>
      <c r="L983" s="84"/>
      <c r="M983" s="85"/>
      <c r="N983" s="38"/>
      <c r="O983" s="39"/>
      <c r="P983" s="39"/>
      <c r="Q983" s="39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5.75" customHeight="1">
      <c r="A984" s="79"/>
      <c r="B984" s="80"/>
      <c r="C984" s="80"/>
      <c r="D984" s="81"/>
      <c r="E984" s="82"/>
      <c r="F984" s="82"/>
      <c r="G984" s="82"/>
      <c r="H984" s="82"/>
      <c r="I984" s="82"/>
      <c r="J984" s="82"/>
      <c r="K984" s="83"/>
      <c r="L984" s="84"/>
      <c r="M984" s="85"/>
      <c r="N984" s="38"/>
      <c r="O984" s="39"/>
      <c r="P984" s="39"/>
      <c r="Q984" s="39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5.75" customHeight="1">
      <c r="A985" s="79"/>
      <c r="B985" s="80"/>
      <c r="C985" s="80"/>
      <c r="D985" s="81"/>
      <c r="E985" s="82"/>
      <c r="F985" s="82"/>
      <c r="G985" s="82"/>
      <c r="H985" s="82"/>
      <c r="I985" s="82"/>
      <c r="J985" s="82"/>
      <c r="K985" s="83"/>
      <c r="L985" s="84"/>
      <c r="M985" s="85"/>
      <c r="N985" s="38"/>
      <c r="O985" s="39"/>
      <c r="P985" s="39"/>
      <c r="Q985" s="39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5.75" customHeight="1">
      <c r="A986" s="79"/>
      <c r="B986" s="80"/>
      <c r="C986" s="80"/>
      <c r="D986" s="81"/>
      <c r="E986" s="82"/>
      <c r="F986" s="82"/>
      <c r="G986" s="82"/>
      <c r="H986" s="82"/>
      <c r="I986" s="82"/>
      <c r="J986" s="82"/>
      <c r="K986" s="83"/>
      <c r="L986" s="84"/>
      <c r="M986" s="85"/>
      <c r="N986" s="38"/>
      <c r="O986" s="39"/>
      <c r="P986" s="39"/>
      <c r="Q986" s="39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5.75" customHeight="1">
      <c r="A987" s="79"/>
      <c r="B987" s="80"/>
      <c r="C987" s="80"/>
      <c r="D987" s="81"/>
      <c r="E987" s="82"/>
      <c r="F987" s="82"/>
      <c r="G987" s="82"/>
      <c r="H987" s="82"/>
      <c r="I987" s="82"/>
      <c r="J987" s="82"/>
      <c r="K987" s="83"/>
      <c r="L987" s="84"/>
      <c r="M987" s="85"/>
      <c r="N987" s="38"/>
      <c r="O987" s="39"/>
      <c r="P987" s="39"/>
      <c r="Q987" s="39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5.75" customHeight="1">
      <c r="A988" s="79"/>
      <c r="B988" s="80"/>
      <c r="C988" s="80"/>
      <c r="D988" s="81"/>
      <c r="E988" s="82"/>
      <c r="F988" s="82"/>
      <c r="G988" s="82"/>
      <c r="H988" s="82"/>
      <c r="I988" s="82"/>
      <c r="J988" s="82"/>
      <c r="K988" s="83"/>
      <c r="L988" s="84"/>
      <c r="M988" s="85"/>
      <c r="N988" s="38"/>
      <c r="O988" s="39"/>
      <c r="P988" s="39"/>
      <c r="Q988" s="39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5.75" customHeight="1">
      <c r="A989" s="79"/>
      <c r="B989" s="80"/>
      <c r="C989" s="80"/>
      <c r="D989" s="81"/>
      <c r="E989" s="82"/>
      <c r="F989" s="82"/>
      <c r="G989" s="82"/>
      <c r="H989" s="82"/>
      <c r="I989" s="82"/>
      <c r="J989" s="82"/>
      <c r="K989" s="83"/>
      <c r="L989" s="84"/>
      <c r="M989" s="85"/>
      <c r="N989" s="38"/>
      <c r="O989" s="39"/>
      <c r="P989" s="39"/>
      <c r="Q989" s="39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5.75" customHeight="1">
      <c r="A990" s="79"/>
      <c r="B990" s="80"/>
      <c r="C990" s="80"/>
      <c r="D990" s="81"/>
      <c r="E990" s="82"/>
      <c r="F990" s="82"/>
      <c r="G990" s="82"/>
      <c r="H990" s="82"/>
      <c r="I990" s="82"/>
      <c r="J990" s="82"/>
      <c r="K990" s="83"/>
      <c r="L990" s="84"/>
      <c r="M990" s="85"/>
      <c r="N990" s="38"/>
      <c r="O990" s="39"/>
      <c r="P990" s="39"/>
      <c r="Q990" s="39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5.75" customHeight="1">
      <c r="A991" s="79"/>
      <c r="B991" s="80"/>
      <c r="C991" s="80"/>
      <c r="D991" s="81"/>
      <c r="E991" s="82"/>
      <c r="F991" s="82"/>
      <c r="G991" s="82"/>
      <c r="H991" s="82"/>
      <c r="I991" s="82"/>
      <c r="J991" s="82"/>
      <c r="K991" s="83"/>
      <c r="L991" s="84"/>
      <c r="M991" s="85"/>
      <c r="N991" s="38"/>
      <c r="O991" s="39"/>
      <c r="P991" s="39"/>
      <c r="Q991" s="39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5.75" customHeight="1">
      <c r="A992" s="79"/>
      <c r="B992" s="80"/>
      <c r="C992" s="80"/>
      <c r="D992" s="81"/>
      <c r="E992" s="82"/>
      <c r="F992" s="82"/>
      <c r="G992" s="82"/>
      <c r="H992" s="82"/>
      <c r="I992" s="82"/>
      <c r="J992" s="82"/>
      <c r="K992" s="83"/>
      <c r="L992" s="84"/>
      <c r="M992" s="85"/>
      <c r="N992" s="38"/>
      <c r="O992" s="39"/>
      <c r="P992" s="39"/>
      <c r="Q992" s="39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5.75" customHeight="1">
      <c r="A993" s="79"/>
      <c r="B993" s="80"/>
      <c r="C993" s="80"/>
      <c r="D993" s="81"/>
      <c r="E993" s="82"/>
      <c r="F993" s="82"/>
      <c r="G993" s="82"/>
      <c r="H993" s="82"/>
      <c r="I993" s="82"/>
      <c r="J993" s="82"/>
      <c r="K993" s="83"/>
      <c r="L993" s="84"/>
      <c r="M993" s="85"/>
      <c r="N993" s="38"/>
      <c r="O993" s="39"/>
      <c r="P993" s="39"/>
      <c r="Q993" s="39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5.75" customHeight="1">
      <c r="A994" s="79"/>
      <c r="B994" s="80"/>
      <c r="C994" s="80"/>
      <c r="D994" s="81"/>
      <c r="E994" s="82"/>
      <c r="F994" s="82"/>
      <c r="G994" s="82"/>
      <c r="H994" s="82"/>
      <c r="I994" s="82"/>
      <c r="J994" s="82"/>
      <c r="K994" s="83"/>
      <c r="L994" s="84"/>
      <c r="M994" s="85"/>
      <c r="N994" s="38"/>
      <c r="O994" s="39"/>
      <c r="P994" s="39"/>
      <c r="Q994" s="39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5.75" customHeight="1">
      <c r="A995" s="79"/>
      <c r="B995" s="80"/>
      <c r="C995" s="80"/>
      <c r="D995" s="81"/>
      <c r="E995" s="82"/>
      <c r="F995" s="82"/>
      <c r="G995" s="82"/>
      <c r="H995" s="82"/>
      <c r="I995" s="82"/>
      <c r="J995" s="82"/>
      <c r="K995" s="83"/>
      <c r="L995" s="84"/>
      <c r="M995" s="85"/>
      <c r="N995" s="38"/>
      <c r="O995" s="39"/>
      <c r="P995" s="39"/>
      <c r="Q995" s="39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5.75" customHeight="1">
      <c r="A996" s="79"/>
      <c r="B996" s="80"/>
      <c r="C996" s="80"/>
      <c r="D996" s="81"/>
      <c r="E996" s="82"/>
      <c r="F996" s="82"/>
      <c r="G996" s="82"/>
      <c r="H996" s="82"/>
      <c r="I996" s="82"/>
      <c r="J996" s="82"/>
      <c r="K996" s="83"/>
      <c r="L996" s="84"/>
      <c r="M996" s="85"/>
      <c r="N996" s="38"/>
      <c r="O996" s="39"/>
      <c r="P996" s="39"/>
      <c r="Q996" s="39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5.75" customHeight="1">
      <c r="A997" s="79"/>
      <c r="B997" s="80"/>
      <c r="C997" s="80"/>
      <c r="D997" s="81"/>
      <c r="E997" s="82"/>
      <c r="F997" s="82"/>
      <c r="G997" s="82"/>
      <c r="H997" s="82"/>
      <c r="I997" s="82"/>
      <c r="J997" s="82"/>
      <c r="K997" s="83"/>
      <c r="L997" s="84"/>
      <c r="M997" s="85"/>
      <c r="N997" s="38"/>
      <c r="O997" s="39"/>
      <c r="P997" s="39"/>
      <c r="Q997" s="39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5.75" customHeight="1">
      <c r="A998" s="79"/>
      <c r="B998" s="80"/>
      <c r="C998" s="80"/>
      <c r="D998" s="81"/>
      <c r="E998" s="82"/>
      <c r="F998" s="82"/>
      <c r="G998" s="82"/>
      <c r="H998" s="82"/>
      <c r="I998" s="82"/>
      <c r="J998" s="82"/>
      <c r="K998" s="83"/>
      <c r="L998" s="84"/>
      <c r="M998" s="85"/>
      <c r="N998" s="38"/>
      <c r="O998" s="39"/>
      <c r="P998" s="39"/>
      <c r="Q998" s="39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5.75" customHeight="1">
      <c r="A999" s="79"/>
      <c r="B999" s="80"/>
      <c r="C999" s="80"/>
      <c r="D999" s="81"/>
      <c r="E999" s="82"/>
      <c r="F999" s="82"/>
      <c r="G999" s="82"/>
      <c r="H999" s="82"/>
      <c r="I999" s="82"/>
      <c r="J999" s="82"/>
      <c r="K999" s="83"/>
      <c r="L999" s="84"/>
      <c r="M999" s="85"/>
      <c r="N999" s="38"/>
      <c r="O999" s="39"/>
      <c r="P999" s="39"/>
      <c r="Q999" s="39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5.75" customHeight="1">
      <c r="A1000" s="79"/>
      <c r="B1000" s="80"/>
      <c r="C1000" s="80"/>
      <c r="D1000" s="81"/>
      <c r="E1000" s="82"/>
      <c r="F1000" s="82"/>
      <c r="G1000" s="82"/>
      <c r="H1000" s="82"/>
      <c r="I1000" s="82"/>
      <c r="J1000" s="82"/>
      <c r="K1000" s="83"/>
      <c r="L1000" s="84"/>
      <c r="M1000" s="85"/>
      <c r="N1000" s="38"/>
      <c r="O1000" s="39"/>
      <c r="P1000" s="39"/>
      <c r="Q1000" s="39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10.26953125" customWidth="1"/>
    <col min="2" max="2" width="45.81640625" customWidth="1"/>
    <col min="3" max="3" width="15.453125" customWidth="1"/>
    <col min="4" max="4" width="6.1796875" customWidth="1"/>
    <col min="5" max="7" width="12.453125" customWidth="1"/>
    <col min="8" max="26" width="8.7265625" customWidth="1"/>
  </cols>
  <sheetData>
    <row r="1" spans="1:7" ht="69.75" customHeight="1">
      <c r="A1" s="283"/>
      <c r="B1" s="279"/>
      <c r="C1" s="279"/>
      <c r="D1" s="279"/>
      <c r="E1" s="279"/>
      <c r="F1" s="279"/>
      <c r="G1" s="279"/>
    </row>
    <row r="2" spans="1:7" ht="9.75" customHeight="1">
      <c r="A2" s="1"/>
      <c r="B2" s="1"/>
      <c r="C2" s="1"/>
      <c r="D2" s="1"/>
      <c r="E2" s="278"/>
      <c r="F2" s="279"/>
      <c r="G2" s="279"/>
    </row>
    <row r="3" spans="1:7" ht="19.5" customHeight="1">
      <c r="A3" s="280" t="s">
        <v>287</v>
      </c>
      <c r="B3" s="247"/>
      <c r="C3" s="247"/>
      <c r="D3" s="247"/>
      <c r="E3" s="247"/>
      <c r="F3" s="247"/>
      <c r="G3" s="248"/>
    </row>
    <row r="4" spans="1:7" ht="15" customHeight="1">
      <c r="A4" s="281" t="s">
        <v>288</v>
      </c>
      <c r="B4" s="248"/>
      <c r="C4" s="86" t="s">
        <v>4</v>
      </c>
      <c r="D4" s="86" t="s">
        <v>289</v>
      </c>
      <c r="E4" s="86" t="s">
        <v>290</v>
      </c>
      <c r="F4" s="86" t="s">
        <v>291</v>
      </c>
      <c r="G4" s="86" t="s">
        <v>292</v>
      </c>
    </row>
    <row r="5" spans="1:7" ht="28.5" customHeight="1">
      <c r="A5" s="87" t="s">
        <v>293</v>
      </c>
      <c r="B5" s="88" t="s">
        <v>294</v>
      </c>
      <c r="C5" s="87" t="s">
        <v>10</v>
      </c>
      <c r="D5" s="87" t="s">
        <v>11</v>
      </c>
      <c r="E5" s="89">
        <v>0.99470252000000003</v>
      </c>
      <c r="F5" s="90">
        <v>390</v>
      </c>
      <c r="G5" s="90">
        <v>387.93</v>
      </c>
    </row>
    <row r="6" spans="1:7" ht="15" customHeight="1">
      <c r="A6" s="87" t="s">
        <v>295</v>
      </c>
      <c r="B6" s="88" t="s">
        <v>296</v>
      </c>
      <c r="C6" s="87" t="s">
        <v>10</v>
      </c>
      <c r="D6" s="87" t="s">
        <v>297</v>
      </c>
      <c r="E6" s="89">
        <v>1.1240129999999999E-2</v>
      </c>
      <c r="F6" s="90">
        <v>37.729999999999997</v>
      </c>
      <c r="G6" s="90">
        <v>0.42</v>
      </c>
    </row>
    <row r="7" spans="1:7" ht="15" customHeight="1">
      <c r="A7" s="87" t="s">
        <v>298</v>
      </c>
      <c r="B7" s="88" t="s">
        <v>299</v>
      </c>
      <c r="C7" s="87" t="s">
        <v>10</v>
      </c>
      <c r="D7" s="87" t="s">
        <v>297</v>
      </c>
      <c r="E7" s="89">
        <v>1.3130060000000001E-2</v>
      </c>
      <c r="F7" s="90">
        <v>20.22</v>
      </c>
      <c r="G7" s="90">
        <v>0.26</v>
      </c>
    </row>
    <row r="8" spans="1:7" ht="21" customHeight="1">
      <c r="A8" s="87" t="s">
        <v>300</v>
      </c>
      <c r="B8" s="88" t="s">
        <v>301</v>
      </c>
      <c r="C8" s="87" t="s">
        <v>10</v>
      </c>
      <c r="D8" s="87" t="s">
        <v>13</v>
      </c>
      <c r="E8" s="89">
        <v>3.19130409</v>
      </c>
      <c r="F8" s="90">
        <v>5.27</v>
      </c>
      <c r="G8" s="90">
        <v>16.809999999999999</v>
      </c>
    </row>
    <row r="9" spans="1:7" ht="15" customHeight="1">
      <c r="A9" s="1"/>
      <c r="B9" s="1"/>
      <c r="C9" s="1"/>
      <c r="D9" s="1"/>
      <c r="E9" s="282" t="s">
        <v>302</v>
      </c>
      <c r="F9" s="248"/>
      <c r="G9" s="91">
        <v>405.42</v>
      </c>
    </row>
    <row r="10" spans="1:7" ht="15" customHeight="1">
      <c r="A10" s="281" t="s">
        <v>303</v>
      </c>
      <c r="B10" s="248"/>
      <c r="C10" s="86" t="s">
        <v>4</v>
      </c>
      <c r="D10" s="86" t="s">
        <v>289</v>
      </c>
      <c r="E10" s="86" t="s">
        <v>290</v>
      </c>
      <c r="F10" s="86" t="s">
        <v>291</v>
      </c>
      <c r="G10" s="86" t="s">
        <v>292</v>
      </c>
    </row>
    <row r="11" spans="1:7" ht="21" customHeight="1">
      <c r="A11" s="87" t="s">
        <v>304</v>
      </c>
      <c r="B11" s="88" t="s">
        <v>305</v>
      </c>
      <c r="C11" s="87" t="s">
        <v>10</v>
      </c>
      <c r="D11" s="87" t="s">
        <v>306</v>
      </c>
      <c r="E11" s="89">
        <v>0.37092456000000001</v>
      </c>
      <c r="F11" s="90">
        <v>24.68</v>
      </c>
      <c r="G11" s="90">
        <v>9.15</v>
      </c>
    </row>
    <row r="12" spans="1:7" ht="15" customHeight="1">
      <c r="A12" s="87" t="s">
        <v>307</v>
      </c>
      <c r="B12" s="88" t="s">
        <v>308</v>
      </c>
      <c r="C12" s="87" t="s">
        <v>10</v>
      </c>
      <c r="D12" s="87" t="s">
        <v>306</v>
      </c>
      <c r="E12" s="89">
        <v>1.1126742199999999</v>
      </c>
      <c r="F12" s="90">
        <v>19.97</v>
      </c>
      <c r="G12" s="90">
        <v>22.22</v>
      </c>
    </row>
    <row r="13" spans="1:7" ht="18" customHeight="1">
      <c r="A13" s="1"/>
      <c r="B13" s="1"/>
      <c r="C13" s="1"/>
      <c r="D13" s="1"/>
      <c r="E13" s="282" t="s">
        <v>309</v>
      </c>
      <c r="F13" s="248"/>
      <c r="G13" s="91">
        <v>31.37</v>
      </c>
    </row>
    <row r="14" spans="1:7" ht="15" customHeight="1">
      <c r="A14" s="281" t="s">
        <v>310</v>
      </c>
      <c r="B14" s="248"/>
      <c r="C14" s="86" t="s">
        <v>4</v>
      </c>
      <c r="D14" s="86" t="s">
        <v>289</v>
      </c>
      <c r="E14" s="86" t="s">
        <v>290</v>
      </c>
      <c r="F14" s="86" t="s">
        <v>291</v>
      </c>
      <c r="G14" s="86" t="s">
        <v>292</v>
      </c>
    </row>
    <row r="15" spans="1:7" ht="21" customHeight="1">
      <c r="A15" s="87" t="s">
        <v>311</v>
      </c>
      <c r="B15" s="88" t="s">
        <v>312</v>
      </c>
      <c r="C15" s="87" t="s">
        <v>10</v>
      </c>
      <c r="D15" s="87" t="s">
        <v>11</v>
      </c>
      <c r="E15" s="89">
        <v>0.49735125000000002</v>
      </c>
      <c r="F15" s="90">
        <v>22.41</v>
      </c>
      <c r="G15" s="90">
        <v>11.14</v>
      </c>
    </row>
    <row r="16" spans="1:7" ht="15" customHeight="1">
      <c r="A16" s="1"/>
      <c r="B16" s="1"/>
      <c r="C16" s="1"/>
      <c r="D16" s="1"/>
      <c r="E16" s="282" t="s">
        <v>313</v>
      </c>
      <c r="F16" s="248"/>
      <c r="G16" s="91">
        <v>11.14</v>
      </c>
    </row>
    <row r="17" spans="1:7" ht="15" customHeight="1">
      <c r="A17" s="1"/>
      <c r="B17" s="1"/>
      <c r="C17" s="1"/>
      <c r="D17" s="1"/>
      <c r="E17" s="277" t="s">
        <v>314</v>
      </c>
      <c r="F17" s="248"/>
      <c r="G17" s="2">
        <v>447.93</v>
      </c>
    </row>
    <row r="18" spans="1:7" ht="9.75" customHeight="1">
      <c r="A18" s="1"/>
      <c r="B18" s="1"/>
      <c r="C18" s="1"/>
      <c r="D18" s="1"/>
      <c r="E18" s="278"/>
      <c r="F18" s="279"/>
      <c r="G18" s="279"/>
    </row>
    <row r="19" spans="1:7" ht="19.5" customHeight="1">
      <c r="A19" s="280" t="s">
        <v>315</v>
      </c>
      <c r="B19" s="247"/>
      <c r="C19" s="247"/>
      <c r="D19" s="247"/>
      <c r="E19" s="247"/>
      <c r="F19" s="247"/>
      <c r="G19" s="248"/>
    </row>
    <row r="20" spans="1:7" ht="15" customHeight="1">
      <c r="A20" s="281" t="s">
        <v>316</v>
      </c>
      <c r="B20" s="248"/>
      <c r="C20" s="86" t="s">
        <v>4</v>
      </c>
      <c r="D20" s="86" t="s">
        <v>289</v>
      </c>
      <c r="E20" s="86" t="s">
        <v>290</v>
      </c>
      <c r="F20" s="86" t="s">
        <v>291</v>
      </c>
      <c r="G20" s="86" t="s">
        <v>292</v>
      </c>
    </row>
    <row r="21" spans="1:7" ht="28.5" customHeight="1">
      <c r="A21" s="87" t="s">
        <v>317</v>
      </c>
      <c r="B21" s="88" t="s">
        <v>318</v>
      </c>
      <c r="C21" s="87" t="s">
        <v>10</v>
      </c>
      <c r="D21" s="87" t="s">
        <v>319</v>
      </c>
      <c r="E21" s="89">
        <v>2.7600880000000001E-2</v>
      </c>
      <c r="F21" s="90">
        <v>23.62</v>
      </c>
      <c r="G21" s="90">
        <v>0.65</v>
      </c>
    </row>
    <row r="22" spans="1:7" ht="28.5" customHeight="1">
      <c r="A22" s="87" t="s">
        <v>320</v>
      </c>
      <c r="B22" s="88" t="s">
        <v>321</v>
      </c>
      <c r="C22" s="87" t="s">
        <v>10</v>
      </c>
      <c r="D22" s="87" t="s">
        <v>322</v>
      </c>
      <c r="E22" s="89">
        <v>6.9002200000000003E-3</v>
      </c>
      <c r="F22" s="90">
        <v>24.59</v>
      </c>
      <c r="G22" s="90">
        <v>0.16</v>
      </c>
    </row>
    <row r="23" spans="1:7" ht="18" customHeight="1">
      <c r="A23" s="1"/>
      <c r="B23" s="1"/>
      <c r="C23" s="1"/>
      <c r="D23" s="1"/>
      <c r="E23" s="282" t="s">
        <v>323</v>
      </c>
      <c r="F23" s="248"/>
      <c r="G23" s="91">
        <v>0.81</v>
      </c>
    </row>
    <row r="24" spans="1:7" ht="15" customHeight="1">
      <c r="A24" s="281" t="s">
        <v>288</v>
      </c>
      <c r="B24" s="248"/>
      <c r="C24" s="86" t="s">
        <v>4</v>
      </c>
      <c r="D24" s="86" t="s">
        <v>289</v>
      </c>
      <c r="E24" s="86" t="s">
        <v>290</v>
      </c>
      <c r="F24" s="86" t="s">
        <v>291</v>
      </c>
      <c r="G24" s="86" t="s">
        <v>292</v>
      </c>
    </row>
    <row r="25" spans="1:7" ht="28.5" customHeight="1">
      <c r="A25" s="87" t="s">
        <v>324</v>
      </c>
      <c r="B25" s="88" t="s">
        <v>325</v>
      </c>
      <c r="C25" s="87" t="s">
        <v>10</v>
      </c>
      <c r="D25" s="87" t="s">
        <v>13</v>
      </c>
      <c r="E25" s="89">
        <v>0.40662013000000002</v>
      </c>
      <c r="F25" s="90">
        <v>22.73</v>
      </c>
      <c r="G25" s="90">
        <v>9.24</v>
      </c>
    </row>
    <row r="26" spans="1:7" ht="15" customHeight="1">
      <c r="A26" s="87" t="s">
        <v>326</v>
      </c>
      <c r="B26" s="88" t="s">
        <v>327</v>
      </c>
      <c r="C26" s="87" t="s">
        <v>10</v>
      </c>
      <c r="D26" s="87" t="s">
        <v>297</v>
      </c>
      <c r="E26" s="89">
        <v>0.10941778000000001</v>
      </c>
      <c r="F26" s="90">
        <v>19.829999999999998</v>
      </c>
      <c r="G26" s="90">
        <v>2.16</v>
      </c>
    </row>
    <row r="27" spans="1:7" ht="28.5" customHeight="1">
      <c r="A27" s="87" t="s">
        <v>328</v>
      </c>
      <c r="B27" s="88" t="s">
        <v>329</v>
      </c>
      <c r="C27" s="87" t="s">
        <v>10</v>
      </c>
      <c r="D27" s="87" t="s">
        <v>13</v>
      </c>
      <c r="E27" s="89">
        <v>0.73388774000000001</v>
      </c>
      <c r="F27" s="90">
        <v>6.32</v>
      </c>
      <c r="G27" s="90">
        <v>4.63</v>
      </c>
    </row>
    <row r="28" spans="1:7" ht="21" customHeight="1">
      <c r="A28" s="87" t="s">
        <v>330</v>
      </c>
      <c r="B28" s="88" t="s">
        <v>331</v>
      </c>
      <c r="C28" s="87" t="s">
        <v>10</v>
      </c>
      <c r="D28" s="87" t="s">
        <v>13</v>
      </c>
      <c r="E28" s="89">
        <v>0.54216017999999999</v>
      </c>
      <c r="F28" s="90">
        <v>11.74</v>
      </c>
      <c r="G28" s="90">
        <v>6.36</v>
      </c>
    </row>
    <row r="29" spans="1:7" ht="15" customHeight="1">
      <c r="A29" s="87" t="s">
        <v>332</v>
      </c>
      <c r="B29" s="88" t="s">
        <v>333</v>
      </c>
      <c r="C29" s="87" t="s">
        <v>10</v>
      </c>
      <c r="D29" s="87" t="s">
        <v>334</v>
      </c>
      <c r="E29" s="89">
        <v>2.5235090000000002E-2</v>
      </c>
      <c r="F29" s="90">
        <v>30.26</v>
      </c>
      <c r="G29" s="90">
        <v>0.76</v>
      </c>
    </row>
    <row r="30" spans="1:7" ht="15" customHeight="1">
      <c r="A30" s="1"/>
      <c r="B30" s="1"/>
      <c r="C30" s="1"/>
      <c r="D30" s="1"/>
      <c r="E30" s="282" t="s">
        <v>302</v>
      </c>
      <c r="F30" s="248"/>
      <c r="G30" s="91">
        <v>23.15</v>
      </c>
    </row>
    <row r="31" spans="1:7" ht="15" customHeight="1">
      <c r="A31" s="281" t="s">
        <v>303</v>
      </c>
      <c r="B31" s="248"/>
      <c r="C31" s="86" t="s">
        <v>4</v>
      </c>
      <c r="D31" s="86" t="s">
        <v>289</v>
      </c>
      <c r="E31" s="86" t="s">
        <v>290</v>
      </c>
      <c r="F31" s="86" t="s">
        <v>291</v>
      </c>
      <c r="G31" s="86" t="s">
        <v>292</v>
      </c>
    </row>
    <row r="32" spans="1:7" ht="21" customHeight="1">
      <c r="A32" s="87" t="s">
        <v>335</v>
      </c>
      <c r="B32" s="88" t="s">
        <v>336</v>
      </c>
      <c r="C32" s="87" t="s">
        <v>10</v>
      </c>
      <c r="D32" s="87" t="s">
        <v>306</v>
      </c>
      <c r="E32" s="89">
        <v>0.71436997000000002</v>
      </c>
      <c r="F32" s="90">
        <v>20.68</v>
      </c>
      <c r="G32" s="90">
        <v>14.77</v>
      </c>
    </row>
    <row r="33" spans="1:7" ht="21" customHeight="1">
      <c r="A33" s="87" t="s">
        <v>304</v>
      </c>
      <c r="B33" s="88" t="s">
        <v>305</v>
      </c>
      <c r="C33" s="87" t="s">
        <v>10</v>
      </c>
      <c r="D33" s="87" t="s">
        <v>306</v>
      </c>
      <c r="E33" s="89">
        <v>0.71436997000000002</v>
      </c>
      <c r="F33" s="90">
        <v>24.68</v>
      </c>
      <c r="G33" s="90">
        <v>17.63</v>
      </c>
    </row>
    <row r="34" spans="1:7" ht="18" customHeight="1">
      <c r="A34" s="1"/>
      <c r="B34" s="1"/>
      <c r="C34" s="1"/>
      <c r="D34" s="1"/>
      <c r="E34" s="282" t="s">
        <v>309</v>
      </c>
      <c r="F34" s="248"/>
      <c r="G34" s="91">
        <v>32.4</v>
      </c>
    </row>
    <row r="35" spans="1:7" ht="15" customHeight="1">
      <c r="A35" s="281" t="s">
        <v>310</v>
      </c>
      <c r="B35" s="248"/>
      <c r="C35" s="86" t="s">
        <v>4</v>
      </c>
      <c r="D35" s="86" t="s">
        <v>289</v>
      </c>
      <c r="E35" s="86" t="s">
        <v>290</v>
      </c>
      <c r="F35" s="86" t="s">
        <v>291</v>
      </c>
      <c r="G35" s="86" t="s">
        <v>292</v>
      </c>
    </row>
    <row r="36" spans="1:7" ht="28.5" customHeight="1">
      <c r="A36" s="87" t="s">
        <v>337</v>
      </c>
      <c r="B36" s="88" t="s">
        <v>338</v>
      </c>
      <c r="C36" s="87" t="s">
        <v>10</v>
      </c>
      <c r="D36" s="87" t="s">
        <v>15</v>
      </c>
      <c r="E36" s="89">
        <v>3.9429799999999996E-3</v>
      </c>
      <c r="F36" s="90">
        <v>437.61</v>
      </c>
      <c r="G36" s="90">
        <v>1.72</v>
      </c>
    </row>
    <row r="37" spans="1:7" ht="15" customHeight="1">
      <c r="A37" s="1"/>
      <c r="B37" s="1"/>
      <c r="C37" s="1"/>
      <c r="D37" s="1"/>
      <c r="E37" s="282" t="s">
        <v>313</v>
      </c>
      <c r="F37" s="248"/>
      <c r="G37" s="91">
        <v>1.72</v>
      </c>
    </row>
    <row r="38" spans="1:7" ht="15" customHeight="1">
      <c r="A38" s="1"/>
      <c r="B38" s="1"/>
      <c r="C38" s="1"/>
      <c r="D38" s="1"/>
      <c r="E38" s="277" t="s">
        <v>314</v>
      </c>
      <c r="F38" s="248"/>
      <c r="G38" s="2">
        <v>58.08</v>
      </c>
    </row>
    <row r="39" spans="1:7" ht="9.75" customHeight="1">
      <c r="A39" s="1"/>
      <c r="B39" s="1"/>
      <c r="C39" s="1"/>
      <c r="D39" s="1"/>
      <c r="E39" s="278"/>
      <c r="F39" s="279"/>
      <c r="G39" s="279"/>
    </row>
    <row r="40" spans="1:7" ht="19.5" customHeight="1">
      <c r="A40" s="280" t="s">
        <v>339</v>
      </c>
      <c r="B40" s="247"/>
      <c r="C40" s="247"/>
      <c r="D40" s="247"/>
      <c r="E40" s="247"/>
      <c r="F40" s="247"/>
      <c r="G40" s="248"/>
    </row>
    <row r="41" spans="1:7" ht="15" customHeight="1">
      <c r="A41" s="281" t="s">
        <v>316</v>
      </c>
      <c r="B41" s="248"/>
      <c r="C41" s="86" t="s">
        <v>4</v>
      </c>
      <c r="D41" s="86" t="s">
        <v>289</v>
      </c>
      <c r="E41" s="86" t="s">
        <v>290</v>
      </c>
      <c r="F41" s="86" t="s">
        <v>291</v>
      </c>
      <c r="G41" s="86" t="s">
        <v>292</v>
      </c>
    </row>
    <row r="42" spans="1:7" ht="28.5" customHeight="1">
      <c r="A42" s="87" t="s">
        <v>340</v>
      </c>
      <c r="B42" s="88" t="s">
        <v>341</v>
      </c>
      <c r="C42" s="87" t="s">
        <v>10</v>
      </c>
      <c r="D42" s="87" t="s">
        <v>319</v>
      </c>
      <c r="E42" s="89">
        <v>0.85917673000000006</v>
      </c>
      <c r="F42" s="90">
        <v>8.73</v>
      </c>
      <c r="G42" s="90">
        <v>7.5</v>
      </c>
    </row>
    <row r="43" spans="1:7" ht="28.5" customHeight="1">
      <c r="A43" s="87" t="s">
        <v>342</v>
      </c>
      <c r="B43" s="88" t="s">
        <v>343</v>
      </c>
      <c r="C43" s="87" t="s">
        <v>10</v>
      </c>
      <c r="D43" s="87" t="s">
        <v>322</v>
      </c>
      <c r="E43" s="89">
        <v>1.12381927</v>
      </c>
      <c r="F43" s="90">
        <v>31.4</v>
      </c>
      <c r="G43" s="90">
        <v>35.28</v>
      </c>
    </row>
    <row r="44" spans="1:7" ht="21" customHeight="1">
      <c r="A44" s="87" t="s">
        <v>344</v>
      </c>
      <c r="B44" s="88" t="s">
        <v>345</v>
      </c>
      <c r="C44" s="87" t="s">
        <v>10</v>
      </c>
      <c r="D44" s="87" t="s">
        <v>319</v>
      </c>
      <c r="E44" s="89">
        <v>0.85917673000000006</v>
      </c>
      <c r="F44" s="90">
        <v>18.03</v>
      </c>
      <c r="G44" s="90">
        <v>15.49</v>
      </c>
    </row>
    <row r="45" spans="1:7" ht="21" customHeight="1">
      <c r="A45" s="87" t="s">
        <v>346</v>
      </c>
      <c r="B45" s="88" t="s">
        <v>347</v>
      </c>
      <c r="C45" s="87" t="s">
        <v>10</v>
      </c>
      <c r="D45" s="87" t="s">
        <v>322</v>
      </c>
      <c r="E45" s="89">
        <v>1.1239968300000001</v>
      </c>
      <c r="F45" s="90">
        <v>20.16</v>
      </c>
      <c r="G45" s="90">
        <v>22.65</v>
      </c>
    </row>
    <row r="46" spans="1:7" ht="18" customHeight="1">
      <c r="A46" s="1"/>
      <c r="B46" s="1"/>
      <c r="C46" s="1"/>
      <c r="D46" s="1"/>
      <c r="E46" s="282" t="s">
        <v>323</v>
      </c>
      <c r="F46" s="248"/>
      <c r="G46" s="91">
        <v>80.92</v>
      </c>
    </row>
    <row r="47" spans="1:7" ht="15" customHeight="1">
      <c r="A47" s="281" t="s">
        <v>303</v>
      </c>
      <c r="B47" s="248"/>
      <c r="C47" s="86" t="s">
        <v>4</v>
      </c>
      <c r="D47" s="86" t="s">
        <v>289</v>
      </c>
      <c r="E47" s="86" t="s">
        <v>290</v>
      </c>
      <c r="F47" s="86" t="s">
        <v>291</v>
      </c>
      <c r="G47" s="86" t="s">
        <v>292</v>
      </c>
    </row>
    <row r="48" spans="1:7" ht="15" customHeight="1">
      <c r="A48" s="87" t="s">
        <v>348</v>
      </c>
      <c r="B48" s="88" t="s">
        <v>349</v>
      </c>
      <c r="C48" s="87" t="s">
        <v>10</v>
      </c>
      <c r="D48" s="87" t="s">
        <v>306</v>
      </c>
      <c r="E48" s="89">
        <v>7.1342790000000003E-2</v>
      </c>
      <c r="F48" s="90">
        <v>25.37</v>
      </c>
      <c r="G48" s="90">
        <v>1.8</v>
      </c>
    </row>
    <row r="49" spans="1:7" ht="15" customHeight="1">
      <c r="A49" s="87" t="s">
        <v>307</v>
      </c>
      <c r="B49" s="88" t="s">
        <v>308</v>
      </c>
      <c r="C49" s="87" t="s">
        <v>10</v>
      </c>
      <c r="D49" s="87" t="s">
        <v>306</v>
      </c>
      <c r="E49" s="89">
        <v>0.44258224000000002</v>
      </c>
      <c r="F49" s="90">
        <v>19.97</v>
      </c>
      <c r="G49" s="90">
        <v>8.83</v>
      </c>
    </row>
    <row r="50" spans="1:7" ht="18" customHeight="1">
      <c r="A50" s="1"/>
      <c r="B50" s="1"/>
      <c r="C50" s="1"/>
      <c r="D50" s="1"/>
      <c r="E50" s="282" t="s">
        <v>309</v>
      </c>
      <c r="F50" s="248"/>
      <c r="G50" s="91">
        <v>10.63</v>
      </c>
    </row>
    <row r="51" spans="1:7" ht="15" customHeight="1">
      <c r="A51" s="1"/>
      <c r="B51" s="1"/>
      <c r="C51" s="1"/>
      <c r="D51" s="1"/>
      <c r="E51" s="277" t="s">
        <v>314</v>
      </c>
      <c r="F51" s="248"/>
      <c r="G51" s="2">
        <v>91.55</v>
      </c>
    </row>
    <row r="52" spans="1:7" ht="9.75" customHeight="1">
      <c r="A52" s="1"/>
      <c r="B52" s="1"/>
      <c r="C52" s="1"/>
      <c r="D52" s="1"/>
      <c r="E52" s="278"/>
      <c r="F52" s="279"/>
      <c r="G52" s="279"/>
    </row>
    <row r="53" spans="1:7" ht="19.5" customHeight="1">
      <c r="A53" s="280" t="s">
        <v>350</v>
      </c>
      <c r="B53" s="247"/>
      <c r="C53" s="247"/>
      <c r="D53" s="247"/>
      <c r="E53" s="247"/>
      <c r="F53" s="247"/>
      <c r="G53" s="248"/>
    </row>
    <row r="54" spans="1:7" ht="15" customHeight="1">
      <c r="A54" s="281" t="s">
        <v>303</v>
      </c>
      <c r="B54" s="248"/>
      <c r="C54" s="86" t="s">
        <v>4</v>
      </c>
      <c r="D54" s="86" t="s">
        <v>289</v>
      </c>
      <c r="E54" s="86" t="s">
        <v>290</v>
      </c>
      <c r="F54" s="86" t="s">
        <v>291</v>
      </c>
      <c r="G54" s="86" t="s">
        <v>292</v>
      </c>
    </row>
    <row r="55" spans="1:7" ht="15" customHeight="1">
      <c r="A55" s="87" t="s">
        <v>307</v>
      </c>
      <c r="B55" s="88" t="s">
        <v>308</v>
      </c>
      <c r="C55" s="87" t="s">
        <v>10</v>
      </c>
      <c r="D55" s="87" t="s">
        <v>306</v>
      </c>
      <c r="E55" s="89">
        <v>3.5097646500000002</v>
      </c>
      <c r="F55" s="90">
        <v>19.97</v>
      </c>
      <c r="G55" s="90">
        <v>70.09</v>
      </c>
    </row>
    <row r="56" spans="1:7" ht="18" customHeight="1">
      <c r="A56" s="1"/>
      <c r="B56" s="1"/>
      <c r="C56" s="1"/>
      <c r="D56" s="1"/>
      <c r="E56" s="282" t="s">
        <v>309</v>
      </c>
      <c r="F56" s="248"/>
      <c r="G56" s="91">
        <v>70.09</v>
      </c>
    </row>
    <row r="57" spans="1:7" ht="15" customHeight="1">
      <c r="A57" s="1"/>
      <c r="B57" s="1"/>
      <c r="C57" s="1"/>
      <c r="D57" s="1"/>
      <c r="E57" s="277" t="s">
        <v>314</v>
      </c>
      <c r="F57" s="248"/>
      <c r="G57" s="2">
        <v>70.09</v>
      </c>
    </row>
    <row r="58" spans="1:7" ht="9.75" customHeight="1">
      <c r="A58" s="1"/>
      <c r="B58" s="1"/>
      <c r="C58" s="1"/>
      <c r="D58" s="1"/>
      <c r="E58" s="278"/>
      <c r="F58" s="279"/>
      <c r="G58" s="279"/>
    </row>
    <row r="59" spans="1:7" ht="19.5" customHeight="1">
      <c r="A59" s="280" t="s">
        <v>351</v>
      </c>
      <c r="B59" s="247"/>
      <c r="C59" s="247"/>
      <c r="D59" s="247"/>
      <c r="E59" s="247"/>
      <c r="F59" s="247"/>
      <c r="G59" s="248"/>
    </row>
    <row r="60" spans="1:7" ht="15" customHeight="1">
      <c r="A60" s="281" t="s">
        <v>303</v>
      </c>
      <c r="B60" s="248"/>
      <c r="C60" s="86" t="s">
        <v>4</v>
      </c>
      <c r="D60" s="86" t="s">
        <v>289</v>
      </c>
      <c r="E60" s="86" t="s">
        <v>290</v>
      </c>
      <c r="F60" s="86" t="s">
        <v>291</v>
      </c>
      <c r="G60" s="86" t="s">
        <v>292</v>
      </c>
    </row>
    <row r="61" spans="1:7" ht="15" customHeight="1">
      <c r="A61" s="87" t="s">
        <v>307</v>
      </c>
      <c r="B61" s="88" t="s">
        <v>308</v>
      </c>
      <c r="C61" s="87" t="s">
        <v>10</v>
      </c>
      <c r="D61" s="87" t="s">
        <v>306</v>
      </c>
      <c r="E61" s="89">
        <v>0.11249634999999999</v>
      </c>
      <c r="F61" s="90">
        <v>19.97</v>
      </c>
      <c r="G61" s="90">
        <v>2.2400000000000002</v>
      </c>
    </row>
    <row r="62" spans="1:7" ht="15" customHeight="1">
      <c r="A62" s="87" t="s">
        <v>352</v>
      </c>
      <c r="B62" s="88" t="s">
        <v>353</v>
      </c>
      <c r="C62" s="87" t="s">
        <v>10</v>
      </c>
      <c r="D62" s="87" t="s">
        <v>306</v>
      </c>
      <c r="E62" s="89">
        <v>3.98079E-2</v>
      </c>
      <c r="F62" s="90">
        <v>24.44</v>
      </c>
      <c r="G62" s="90">
        <v>0.97</v>
      </c>
    </row>
    <row r="63" spans="1:7" ht="18" customHeight="1">
      <c r="A63" s="1"/>
      <c r="B63" s="1"/>
      <c r="C63" s="1"/>
      <c r="D63" s="1"/>
      <c r="E63" s="282" t="s">
        <v>309</v>
      </c>
      <c r="F63" s="248"/>
      <c r="G63" s="91">
        <v>3.21</v>
      </c>
    </row>
    <row r="64" spans="1:7" ht="15" customHeight="1">
      <c r="A64" s="1"/>
      <c r="B64" s="1"/>
      <c r="C64" s="1"/>
      <c r="D64" s="1"/>
      <c r="E64" s="277" t="s">
        <v>314</v>
      </c>
      <c r="F64" s="248"/>
      <c r="G64" s="2">
        <v>3.21</v>
      </c>
    </row>
    <row r="65" spans="1:7" ht="9.75" customHeight="1">
      <c r="A65" s="1"/>
      <c r="B65" s="1"/>
      <c r="C65" s="1"/>
      <c r="D65" s="1"/>
      <c r="E65" s="278"/>
      <c r="F65" s="279"/>
      <c r="G65" s="279"/>
    </row>
    <row r="66" spans="1:7" ht="19.5" customHeight="1">
      <c r="A66" s="280" t="s">
        <v>354</v>
      </c>
      <c r="B66" s="247"/>
      <c r="C66" s="247"/>
      <c r="D66" s="247"/>
      <c r="E66" s="247"/>
      <c r="F66" s="247"/>
      <c r="G66" s="248"/>
    </row>
    <row r="67" spans="1:7" ht="15" customHeight="1">
      <c r="A67" s="281" t="s">
        <v>288</v>
      </c>
      <c r="B67" s="248"/>
      <c r="C67" s="86" t="s">
        <v>4</v>
      </c>
      <c r="D67" s="86" t="s">
        <v>289</v>
      </c>
      <c r="E67" s="86" t="s">
        <v>290</v>
      </c>
      <c r="F67" s="86" t="s">
        <v>291</v>
      </c>
      <c r="G67" s="86" t="s">
        <v>292</v>
      </c>
    </row>
    <row r="68" spans="1:7" ht="21" customHeight="1">
      <c r="A68" s="87" t="s">
        <v>355</v>
      </c>
      <c r="B68" s="88" t="s">
        <v>356</v>
      </c>
      <c r="C68" s="87" t="s">
        <v>10</v>
      </c>
      <c r="D68" s="87" t="s">
        <v>33</v>
      </c>
      <c r="E68" s="89">
        <v>13.6</v>
      </c>
      <c r="F68" s="90">
        <v>2.93</v>
      </c>
      <c r="G68" s="90">
        <v>39.840000000000003</v>
      </c>
    </row>
    <row r="69" spans="1:7" ht="15" customHeight="1">
      <c r="A69" s="87" t="s">
        <v>357</v>
      </c>
      <c r="B69" s="88" t="s">
        <v>358</v>
      </c>
      <c r="C69" s="87" t="s">
        <v>10</v>
      </c>
      <c r="D69" s="87" t="s">
        <v>359</v>
      </c>
      <c r="E69" s="89">
        <v>5.0000000000000001E-3</v>
      </c>
      <c r="F69" s="90">
        <v>42.74</v>
      </c>
      <c r="G69" s="90">
        <v>0.21</v>
      </c>
    </row>
    <row r="70" spans="1:7" ht="28.5" customHeight="1">
      <c r="A70" s="87" t="s">
        <v>360</v>
      </c>
      <c r="B70" s="88" t="s">
        <v>361</v>
      </c>
      <c r="C70" s="87" t="s">
        <v>10</v>
      </c>
      <c r="D70" s="87" t="s">
        <v>13</v>
      </c>
      <c r="E70" s="89">
        <v>0.42</v>
      </c>
      <c r="F70" s="90">
        <v>2.2799999999999998</v>
      </c>
      <c r="G70" s="90">
        <v>0.95</v>
      </c>
    </row>
    <row r="71" spans="1:7" ht="15" customHeight="1">
      <c r="A71" s="1"/>
      <c r="B71" s="1"/>
      <c r="C71" s="1"/>
      <c r="D71" s="1"/>
      <c r="E71" s="282" t="s">
        <v>302</v>
      </c>
      <c r="F71" s="248"/>
      <c r="G71" s="91">
        <v>41</v>
      </c>
    </row>
    <row r="72" spans="1:7" ht="15" customHeight="1">
      <c r="A72" s="281" t="s">
        <v>303</v>
      </c>
      <c r="B72" s="248"/>
      <c r="C72" s="86" t="s">
        <v>4</v>
      </c>
      <c r="D72" s="86" t="s">
        <v>289</v>
      </c>
      <c r="E72" s="86" t="s">
        <v>290</v>
      </c>
      <c r="F72" s="86" t="s">
        <v>291</v>
      </c>
      <c r="G72" s="86" t="s">
        <v>292</v>
      </c>
    </row>
    <row r="73" spans="1:7" ht="15" customHeight="1">
      <c r="A73" s="87" t="s">
        <v>348</v>
      </c>
      <c r="B73" s="88" t="s">
        <v>349</v>
      </c>
      <c r="C73" s="87" t="s">
        <v>10</v>
      </c>
      <c r="D73" s="87" t="s">
        <v>306</v>
      </c>
      <c r="E73" s="89">
        <v>0.71343495999999995</v>
      </c>
      <c r="F73" s="90">
        <v>25.37</v>
      </c>
      <c r="G73" s="90">
        <v>18.09</v>
      </c>
    </row>
    <row r="74" spans="1:7" ht="15" customHeight="1">
      <c r="A74" s="87" t="s">
        <v>307</v>
      </c>
      <c r="B74" s="88" t="s">
        <v>308</v>
      </c>
      <c r="C74" s="87" t="s">
        <v>10</v>
      </c>
      <c r="D74" s="87" t="s">
        <v>306</v>
      </c>
      <c r="E74" s="89">
        <v>0.35641381</v>
      </c>
      <c r="F74" s="90">
        <v>19.97</v>
      </c>
      <c r="G74" s="90">
        <v>7.11</v>
      </c>
    </row>
    <row r="75" spans="1:7" ht="18" customHeight="1">
      <c r="A75" s="1"/>
      <c r="B75" s="1"/>
      <c r="C75" s="1"/>
      <c r="D75" s="1"/>
      <c r="E75" s="282" t="s">
        <v>309</v>
      </c>
      <c r="F75" s="248"/>
      <c r="G75" s="91">
        <v>25.2</v>
      </c>
    </row>
    <row r="76" spans="1:7" ht="15" customHeight="1">
      <c r="A76" s="281" t="s">
        <v>310</v>
      </c>
      <c r="B76" s="248"/>
      <c r="C76" s="86" t="s">
        <v>4</v>
      </c>
      <c r="D76" s="86" t="s">
        <v>289</v>
      </c>
      <c r="E76" s="86" t="s">
        <v>290</v>
      </c>
      <c r="F76" s="86" t="s">
        <v>291</v>
      </c>
      <c r="G76" s="86" t="s">
        <v>292</v>
      </c>
    </row>
    <row r="77" spans="1:7" ht="37.5" customHeight="1">
      <c r="A77" s="87" t="s">
        <v>362</v>
      </c>
      <c r="B77" s="88" t="s">
        <v>363</v>
      </c>
      <c r="C77" s="87" t="s">
        <v>10</v>
      </c>
      <c r="D77" s="87" t="s">
        <v>15</v>
      </c>
      <c r="E77" s="89">
        <v>8.4925E-3</v>
      </c>
      <c r="F77" s="90">
        <v>676.74</v>
      </c>
      <c r="G77" s="90">
        <v>5.74</v>
      </c>
    </row>
    <row r="78" spans="1:7" ht="15" customHeight="1">
      <c r="A78" s="1"/>
      <c r="B78" s="1"/>
      <c r="C78" s="1"/>
      <c r="D78" s="1"/>
      <c r="E78" s="282" t="s">
        <v>313</v>
      </c>
      <c r="F78" s="248"/>
      <c r="G78" s="91">
        <v>5.74</v>
      </c>
    </row>
    <row r="79" spans="1:7" ht="15" customHeight="1">
      <c r="A79" s="1"/>
      <c r="B79" s="1"/>
      <c r="C79" s="1"/>
      <c r="D79" s="1"/>
      <c r="E79" s="277" t="s">
        <v>314</v>
      </c>
      <c r="F79" s="248"/>
      <c r="G79" s="2">
        <v>71.94</v>
      </c>
    </row>
    <row r="80" spans="1:7" ht="9.75" customHeight="1">
      <c r="A80" s="1"/>
      <c r="B80" s="1"/>
      <c r="C80" s="1"/>
      <c r="D80" s="1"/>
      <c r="E80" s="278"/>
      <c r="F80" s="279"/>
      <c r="G80" s="279"/>
    </row>
    <row r="81" spans="1:7" ht="19.5" customHeight="1">
      <c r="A81" s="280" t="s">
        <v>364</v>
      </c>
      <c r="B81" s="247"/>
      <c r="C81" s="247"/>
      <c r="D81" s="247"/>
      <c r="E81" s="247"/>
      <c r="F81" s="247"/>
      <c r="G81" s="248"/>
    </row>
    <row r="82" spans="1:7" ht="15" customHeight="1">
      <c r="A82" s="281" t="s">
        <v>288</v>
      </c>
      <c r="B82" s="248"/>
      <c r="C82" s="86" t="s">
        <v>4</v>
      </c>
      <c r="D82" s="86" t="s">
        <v>289</v>
      </c>
      <c r="E82" s="86" t="s">
        <v>290</v>
      </c>
      <c r="F82" s="86" t="s">
        <v>291</v>
      </c>
      <c r="G82" s="86" t="s">
        <v>292</v>
      </c>
    </row>
    <row r="83" spans="1:7" ht="21" customHeight="1">
      <c r="A83" s="87" t="s">
        <v>365</v>
      </c>
      <c r="B83" s="88" t="s">
        <v>366</v>
      </c>
      <c r="C83" s="87" t="s">
        <v>10</v>
      </c>
      <c r="D83" s="87" t="s">
        <v>11</v>
      </c>
      <c r="E83" s="89">
        <v>1.0269999999999999</v>
      </c>
      <c r="F83" s="90">
        <v>62.6</v>
      </c>
      <c r="G83" s="90">
        <v>64.290000000000006</v>
      </c>
    </row>
    <row r="84" spans="1:7" ht="21" customHeight="1">
      <c r="A84" s="87" t="s">
        <v>367</v>
      </c>
      <c r="B84" s="88" t="s">
        <v>368</v>
      </c>
      <c r="C84" s="87" t="s">
        <v>10</v>
      </c>
      <c r="D84" s="87" t="s">
        <v>297</v>
      </c>
      <c r="E84" s="89">
        <v>0.01</v>
      </c>
      <c r="F84" s="90">
        <v>3</v>
      </c>
      <c r="G84" s="90">
        <v>0.03</v>
      </c>
    </row>
    <row r="85" spans="1:7" ht="15" customHeight="1">
      <c r="A85" s="1"/>
      <c r="B85" s="1"/>
      <c r="C85" s="1"/>
      <c r="D85" s="1"/>
      <c r="E85" s="282" t="s">
        <v>302</v>
      </c>
      <c r="F85" s="248"/>
      <c r="G85" s="91">
        <v>64.319999999999993</v>
      </c>
    </row>
    <row r="86" spans="1:7" ht="15" customHeight="1">
      <c r="A86" s="281" t="s">
        <v>303</v>
      </c>
      <c r="B86" s="248"/>
      <c r="C86" s="86" t="s">
        <v>4</v>
      </c>
      <c r="D86" s="86" t="s">
        <v>289</v>
      </c>
      <c r="E86" s="86" t="s">
        <v>290</v>
      </c>
      <c r="F86" s="86" t="s">
        <v>291</v>
      </c>
      <c r="G86" s="86" t="s">
        <v>292</v>
      </c>
    </row>
    <row r="87" spans="1:7" ht="15" customHeight="1">
      <c r="A87" s="87" t="s">
        <v>348</v>
      </c>
      <c r="B87" s="88" t="s">
        <v>349</v>
      </c>
      <c r="C87" s="87" t="s">
        <v>10</v>
      </c>
      <c r="D87" s="87" t="s">
        <v>306</v>
      </c>
      <c r="E87" s="89">
        <v>0.55296345000000002</v>
      </c>
      <c r="F87" s="90">
        <v>25.37</v>
      </c>
      <c r="G87" s="90">
        <v>14.02</v>
      </c>
    </row>
    <row r="88" spans="1:7" ht="15" customHeight="1">
      <c r="A88" s="87" t="s">
        <v>307</v>
      </c>
      <c r="B88" s="88" t="s">
        <v>308</v>
      </c>
      <c r="C88" s="87" t="s">
        <v>10</v>
      </c>
      <c r="D88" s="87" t="s">
        <v>306</v>
      </c>
      <c r="E88" s="89">
        <v>0.27666602000000001</v>
      </c>
      <c r="F88" s="90">
        <v>19.97</v>
      </c>
      <c r="G88" s="90">
        <v>5.52</v>
      </c>
    </row>
    <row r="89" spans="1:7" ht="18" customHeight="1">
      <c r="A89" s="1"/>
      <c r="B89" s="1"/>
      <c r="C89" s="1"/>
      <c r="D89" s="1"/>
      <c r="E89" s="282" t="s">
        <v>309</v>
      </c>
      <c r="F89" s="248"/>
      <c r="G89" s="91">
        <v>19.54</v>
      </c>
    </row>
    <row r="90" spans="1:7" ht="15" customHeight="1">
      <c r="A90" s="1"/>
      <c r="B90" s="1"/>
      <c r="C90" s="1"/>
      <c r="D90" s="1"/>
      <c r="E90" s="277" t="s">
        <v>314</v>
      </c>
      <c r="F90" s="248"/>
      <c r="G90" s="2">
        <v>83.86</v>
      </c>
    </row>
    <row r="91" spans="1:7" ht="9.75" customHeight="1">
      <c r="A91" s="1"/>
      <c r="B91" s="1"/>
      <c r="C91" s="1"/>
      <c r="D91" s="1"/>
      <c r="E91" s="278"/>
      <c r="F91" s="279"/>
      <c r="G91" s="279"/>
    </row>
    <row r="92" spans="1:7" ht="19.5" customHeight="1">
      <c r="A92" s="280" t="s">
        <v>369</v>
      </c>
      <c r="B92" s="247"/>
      <c r="C92" s="247"/>
      <c r="D92" s="247"/>
      <c r="E92" s="247"/>
      <c r="F92" s="247"/>
      <c r="G92" s="248"/>
    </row>
    <row r="93" spans="1:7" ht="15" customHeight="1">
      <c r="A93" s="281" t="s">
        <v>288</v>
      </c>
      <c r="B93" s="248"/>
      <c r="C93" s="86" t="s">
        <v>4</v>
      </c>
      <c r="D93" s="86" t="s">
        <v>289</v>
      </c>
      <c r="E93" s="86" t="s">
        <v>290</v>
      </c>
      <c r="F93" s="86" t="s">
        <v>291</v>
      </c>
      <c r="G93" s="86" t="s">
        <v>292</v>
      </c>
    </row>
    <row r="94" spans="1:7" ht="21" customHeight="1">
      <c r="A94" s="87" t="s">
        <v>370</v>
      </c>
      <c r="B94" s="88" t="s">
        <v>371</v>
      </c>
      <c r="C94" s="87" t="s">
        <v>10</v>
      </c>
      <c r="D94" s="87" t="s">
        <v>334</v>
      </c>
      <c r="E94" s="89">
        <v>8.9999999999999993E-3</v>
      </c>
      <c r="F94" s="90">
        <v>8.41</v>
      </c>
      <c r="G94" s="90">
        <v>7.0000000000000007E-2</v>
      </c>
    </row>
    <row r="95" spans="1:7" ht="28.5" customHeight="1">
      <c r="A95" s="87" t="s">
        <v>372</v>
      </c>
      <c r="B95" s="88" t="s">
        <v>373</v>
      </c>
      <c r="C95" s="87" t="s">
        <v>10</v>
      </c>
      <c r="D95" s="87" t="s">
        <v>33</v>
      </c>
      <c r="E95" s="89">
        <v>6</v>
      </c>
      <c r="F95" s="90">
        <v>0.21</v>
      </c>
      <c r="G95" s="90">
        <v>1.26</v>
      </c>
    </row>
    <row r="96" spans="1:7" ht="21" customHeight="1">
      <c r="A96" s="87" t="s">
        <v>374</v>
      </c>
      <c r="B96" s="88" t="s">
        <v>375</v>
      </c>
      <c r="C96" s="87" t="s">
        <v>10</v>
      </c>
      <c r="D96" s="87" t="s">
        <v>13</v>
      </c>
      <c r="E96" s="89">
        <v>0.20300000000000001</v>
      </c>
      <c r="F96" s="90">
        <v>10.39</v>
      </c>
      <c r="G96" s="90">
        <v>2.1</v>
      </c>
    </row>
    <row r="97" spans="1:7" ht="15" customHeight="1">
      <c r="A97" s="1"/>
      <c r="B97" s="1"/>
      <c r="C97" s="1"/>
      <c r="D97" s="1"/>
      <c r="E97" s="282" t="s">
        <v>302</v>
      </c>
      <c r="F97" s="248"/>
      <c r="G97" s="91">
        <v>3.43</v>
      </c>
    </row>
    <row r="98" spans="1:7" ht="15" customHeight="1">
      <c r="A98" s="281" t="s">
        <v>303</v>
      </c>
      <c r="B98" s="248"/>
      <c r="C98" s="86" t="s">
        <v>4</v>
      </c>
      <c r="D98" s="86" t="s">
        <v>289</v>
      </c>
      <c r="E98" s="86" t="s">
        <v>290</v>
      </c>
      <c r="F98" s="86" t="s">
        <v>291</v>
      </c>
      <c r="G98" s="86" t="s">
        <v>292</v>
      </c>
    </row>
    <row r="99" spans="1:7" ht="15" customHeight="1">
      <c r="A99" s="87" t="s">
        <v>348</v>
      </c>
      <c r="B99" s="88" t="s">
        <v>349</v>
      </c>
      <c r="C99" s="87" t="s">
        <v>10</v>
      </c>
      <c r="D99" s="87" t="s">
        <v>306</v>
      </c>
      <c r="E99" s="89">
        <v>0.49663252000000002</v>
      </c>
      <c r="F99" s="90">
        <v>25.37</v>
      </c>
      <c r="G99" s="90">
        <v>12.59</v>
      </c>
    </row>
    <row r="100" spans="1:7" ht="15" customHeight="1">
      <c r="A100" s="87" t="s">
        <v>307</v>
      </c>
      <c r="B100" s="88" t="s">
        <v>308</v>
      </c>
      <c r="C100" s="87" t="s">
        <v>10</v>
      </c>
      <c r="D100" s="87" t="s">
        <v>306</v>
      </c>
      <c r="E100" s="89">
        <v>0.2488119</v>
      </c>
      <c r="F100" s="90">
        <v>19.97</v>
      </c>
      <c r="G100" s="90">
        <v>4.96</v>
      </c>
    </row>
    <row r="101" spans="1:7" ht="18" customHeight="1">
      <c r="A101" s="1"/>
      <c r="B101" s="1"/>
      <c r="C101" s="1"/>
      <c r="D101" s="1"/>
      <c r="E101" s="282" t="s">
        <v>309</v>
      </c>
      <c r="F101" s="248"/>
      <c r="G101" s="91">
        <v>17.55</v>
      </c>
    </row>
    <row r="102" spans="1:7" ht="15" customHeight="1">
      <c r="A102" s="281" t="s">
        <v>310</v>
      </c>
      <c r="B102" s="248"/>
      <c r="C102" s="86" t="s">
        <v>4</v>
      </c>
      <c r="D102" s="86" t="s">
        <v>289</v>
      </c>
      <c r="E102" s="86" t="s">
        <v>290</v>
      </c>
      <c r="F102" s="86" t="s">
        <v>291</v>
      </c>
      <c r="G102" s="86" t="s">
        <v>292</v>
      </c>
    </row>
    <row r="103" spans="1:7" ht="28.5" customHeight="1">
      <c r="A103" s="87" t="s">
        <v>376</v>
      </c>
      <c r="B103" s="88" t="s">
        <v>377</v>
      </c>
      <c r="C103" s="87" t="s">
        <v>10</v>
      </c>
      <c r="D103" s="87" t="s">
        <v>15</v>
      </c>
      <c r="E103" s="89">
        <v>3.1721029999999997E-2</v>
      </c>
      <c r="F103" s="90">
        <v>447.93</v>
      </c>
      <c r="G103" s="90">
        <v>14.2</v>
      </c>
    </row>
    <row r="104" spans="1:7" ht="21" customHeight="1">
      <c r="A104" s="87" t="s">
        <v>378</v>
      </c>
      <c r="B104" s="88" t="s">
        <v>379</v>
      </c>
      <c r="C104" s="87" t="s">
        <v>10</v>
      </c>
      <c r="D104" s="87" t="s">
        <v>297</v>
      </c>
      <c r="E104" s="89">
        <v>0.78214134000000002</v>
      </c>
      <c r="F104" s="90">
        <v>10.29</v>
      </c>
      <c r="G104" s="90">
        <v>8.0399999999999991</v>
      </c>
    </row>
    <row r="105" spans="1:7" ht="21" customHeight="1">
      <c r="A105" s="87" t="s">
        <v>380</v>
      </c>
      <c r="B105" s="88" t="s">
        <v>381</v>
      </c>
      <c r="C105" s="87" t="s">
        <v>10</v>
      </c>
      <c r="D105" s="87" t="s">
        <v>11</v>
      </c>
      <c r="E105" s="89">
        <v>0.10309337</v>
      </c>
      <c r="F105" s="90">
        <v>154.41999999999999</v>
      </c>
      <c r="G105" s="90">
        <v>15.91</v>
      </c>
    </row>
    <row r="106" spans="1:7" ht="15" customHeight="1">
      <c r="A106" s="1"/>
      <c r="B106" s="1"/>
      <c r="C106" s="1"/>
      <c r="D106" s="1"/>
      <c r="E106" s="282" t="s">
        <v>313</v>
      </c>
      <c r="F106" s="248"/>
      <c r="G106" s="91">
        <v>38.15</v>
      </c>
    </row>
    <row r="107" spans="1:7" ht="15" customHeight="1">
      <c r="A107" s="1"/>
      <c r="B107" s="1"/>
      <c r="C107" s="1"/>
      <c r="D107" s="1"/>
      <c r="E107" s="277" t="s">
        <v>314</v>
      </c>
      <c r="F107" s="248"/>
      <c r="G107" s="2">
        <v>59.13</v>
      </c>
    </row>
    <row r="108" spans="1:7" ht="9.75" customHeight="1">
      <c r="A108" s="1"/>
      <c r="B108" s="1"/>
      <c r="C108" s="1"/>
      <c r="D108" s="1"/>
      <c r="E108" s="278"/>
      <c r="F108" s="279"/>
      <c r="G108" s="279"/>
    </row>
    <row r="109" spans="1:7" ht="19.5" customHeight="1">
      <c r="A109" s="280" t="s">
        <v>382</v>
      </c>
      <c r="B109" s="247"/>
      <c r="C109" s="247"/>
      <c r="D109" s="247"/>
      <c r="E109" s="247"/>
      <c r="F109" s="247"/>
      <c r="G109" s="248"/>
    </row>
    <row r="110" spans="1:7" ht="15" customHeight="1">
      <c r="A110" s="281" t="s">
        <v>316</v>
      </c>
      <c r="B110" s="248"/>
      <c r="C110" s="86" t="s">
        <v>4</v>
      </c>
      <c r="D110" s="86" t="s">
        <v>289</v>
      </c>
      <c r="E110" s="86" t="s">
        <v>290</v>
      </c>
      <c r="F110" s="86" t="s">
        <v>291</v>
      </c>
      <c r="G110" s="86" t="s">
        <v>292</v>
      </c>
    </row>
    <row r="111" spans="1:7" ht="28.5" customHeight="1">
      <c r="A111" s="87" t="s">
        <v>383</v>
      </c>
      <c r="B111" s="88" t="s">
        <v>384</v>
      </c>
      <c r="C111" s="87" t="s">
        <v>10</v>
      </c>
      <c r="D111" s="87" t="s">
        <v>319</v>
      </c>
      <c r="E111" s="89">
        <v>5.0429689999999999E-2</v>
      </c>
      <c r="F111" s="90">
        <v>20.57</v>
      </c>
      <c r="G111" s="90">
        <v>1.03</v>
      </c>
    </row>
    <row r="112" spans="1:7" ht="28.5" customHeight="1">
      <c r="A112" s="87" t="s">
        <v>385</v>
      </c>
      <c r="B112" s="88" t="s">
        <v>386</v>
      </c>
      <c r="C112" s="87" t="s">
        <v>10</v>
      </c>
      <c r="D112" s="87" t="s">
        <v>322</v>
      </c>
      <c r="E112" s="89">
        <v>3.6356279999999998E-2</v>
      </c>
      <c r="F112" s="90">
        <v>21.36</v>
      </c>
      <c r="G112" s="90">
        <v>0.77</v>
      </c>
    </row>
    <row r="113" spans="1:7" ht="18" customHeight="1">
      <c r="A113" s="1"/>
      <c r="B113" s="1"/>
      <c r="C113" s="1"/>
      <c r="D113" s="1"/>
      <c r="E113" s="282" t="s">
        <v>323</v>
      </c>
      <c r="F113" s="248"/>
      <c r="G113" s="91">
        <v>1.8</v>
      </c>
    </row>
    <row r="114" spans="1:7" ht="15" customHeight="1">
      <c r="A114" s="281" t="s">
        <v>288</v>
      </c>
      <c r="B114" s="248"/>
      <c r="C114" s="86" t="s">
        <v>4</v>
      </c>
      <c r="D114" s="86" t="s">
        <v>289</v>
      </c>
      <c r="E114" s="86" t="s">
        <v>290</v>
      </c>
      <c r="F114" s="86" t="s">
        <v>291</v>
      </c>
      <c r="G114" s="86" t="s">
        <v>292</v>
      </c>
    </row>
    <row r="115" spans="1:7" ht="37.5" customHeight="1">
      <c r="A115" s="87" t="s">
        <v>387</v>
      </c>
      <c r="B115" s="88" t="s">
        <v>388</v>
      </c>
      <c r="C115" s="87" t="s">
        <v>10</v>
      </c>
      <c r="D115" s="87" t="s">
        <v>389</v>
      </c>
      <c r="E115" s="89">
        <v>2.75E-2</v>
      </c>
      <c r="F115" s="90">
        <v>936</v>
      </c>
      <c r="G115" s="90">
        <v>25.74</v>
      </c>
    </row>
    <row r="116" spans="1:7" ht="15" customHeight="1">
      <c r="A116" s="1"/>
      <c r="B116" s="1"/>
      <c r="C116" s="1"/>
      <c r="D116" s="1"/>
      <c r="E116" s="282" t="s">
        <v>302</v>
      </c>
      <c r="F116" s="248"/>
      <c r="G116" s="91">
        <v>25.74</v>
      </c>
    </row>
    <row r="117" spans="1:7" ht="15" customHeight="1">
      <c r="A117" s="281" t="s">
        <v>303</v>
      </c>
      <c r="B117" s="248"/>
      <c r="C117" s="86" t="s">
        <v>4</v>
      </c>
      <c r="D117" s="86" t="s">
        <v>289</v>
      </c>
      <c r="E117" s="86" t="s">
        <v>290</v>
      </c>
      <c r="F117" s="86" t="s">
        <v>291</v>
      </c>
      <c r="G117" s="86" t="s">
        <v>292</v>
      </c>
    </row>
    <row r="118" spans="1:7" ht="15" customHeight="1">
      <c r="A118" s="87" t="s">
        <v>307</v>
      </c>
      <c r="B118" s="88" t="s">
        <v>308</v>
      </c>
      <c r="C118" s="87" t="s">
        <v>10</v>
      </c>
      <c r="D118" s="87" t="s">
        <v>306</v>
      </c>
      <c r="E118" s="89">
        <v>0.38944976999999997</v>
      </c>
      <c r="F118" s="90">
        <v>19.97</v>
      </c>
      <c r="G118" s="90">
        <v>7.77</v>
      </c>
    </row>
    <row r="119" spans="1:7" ht="15" customHeight="1">
      <c r="A119" s="87" t="s">
        <v>352</v>
      </c>
      <c r="B119" s="88" t="s">
        <v>353</v>
      </c>
      <c r="C119" s="87" t="s">
        <v>10</v>
      </c>
      <c r="D119" s="87" t="s">
        <v>306</v>
      </c>
      <c r="E119" s="89">
        <v>0.12957434000000001</v>
      </c>
      <c r="F119" s="90">
        <v>24.44</v>
      </c>
      <c r="G119" s="90">
        <v>3.16</v>
      </c>
    </row>
    <row r="120" spans="1:7" ht="18" customHeight="1">
      <c r="A120" s="1"/>
      <c r="B120" s="1"/>
      <c r="C120" s="1"/>
      <c r="D120" s="1"/>
      <c r="E120" s="282" t="s">
        <v>309</v>
      </c>
      <c r="F120" s="248"/>
      <c r="G120" s="91">
        <v>10.93</v>
      </c>
    </row>
    <row r="121" spans="1:7" ht="15" customHeight="1">
      <c r="A121" s="1"/>
      <c r="B121" s="1"/>
      <c r="C121" s="1"/>
      <c r="D121" s="1"/>
      <c r="E121" s="277" t="s">
        <v>314</v>
      </c>
      <c r="F121" s="248"/>
      <c r="G121" s="2">
        <v>38.47</v>
      </c>
    </row>
    <row r="122" spans="1:7" ht="9.75" customHeight="1">
      <c r="A122" s="1"/>
      <c r="B122" s="1"/>
      <c r="C122" s="1"/>
      <c r="D122" s="1"/>
      <c r="E122" s="278"/>
      <c r="F122" s="279"/>
      <c r="G122" s="279"/>
    </row>
    <row r="123" spans="1:7" ht="19.5" customHeight="1">
      <c r="A123" s="280" t="s">
        <v>390</v>
      </c>
      <c r="B123" s="247"/>
      <c r="C123" s="247"/>
      <c r="D123" s="247"/>
      <c r="E123" s="247"/>
      <c r="F123" s="247"/>
      <c r="G123" s="248"/>
    </row>
    <row r="124" spans="1:7" ht="15" customHeight="1">
      <c r="A124" s="281" t="s">
        <v>288</v>
      </c>
      <c r="B124" s="248"/>
      <c r="C124" s="86" t="s">
        <v>4</v>
      </c>
      <c r="D124" s="86" t="s">
        <v>289</v>
      </c>
      <c r="E124" s="86" t="s">
        <v>290</v>
      </c>
      <c r="F124" s="86" t="s">
        <v>291</v>
      </c>
      <c r="G124" s="86" t="s">
        <v>292</v>
      </c>
    </row>
    <row r="125" spans="1:7" ht="21" customHeight="1">
      <c r="A125" s="87" t="s">
        <v>391</v>
      </c>
      <c r="B125" s="88" t="s">
        <v>392</v>
      </c>
      <c r="C125" s="87" t="s">
        <v>10</v>
      </c>
      <c r="D125" s="87" t="s">
        <v>359</v>
      </c>
      <c r="E125" s="89">
        <v>2.1999999999999999E-2</v>
      </c>
      <c r="F125" s="90">
        <v>46.85</v>
      </c>
      <c r="G125" s="90">
        <v>1.03</v>
      </c>
    </row>
    <row r="126" spans="1:7" ht="28.5" customHeight="1">
      <c r="A126" s="87" t="s">
        <v>393</v>
      </c>
      <c r="B126" s="88" t="s">
        <v>394</v>
      </c>
      <c r="C126" s="87" t="s">
        <v>10</v>
      </c>
      <c r="D126" s="87" t="s">
        <v>33</v>
      </c>
      <c r="E126" s="89">
        <v>0.184005</v>
      </c>
      <c r="F126" s="90">
        <v>1.5</v>
      </c>
      <c r="G126" s="90">
        <v>0.28000000000000003</v>
      </c>
    </row>
    <row r="127" spans="1:7" ht="28.5" customHeight="1">
      <c r="A127" s="87" t="s">
        <v>395</v>
      </c>
      <c r="B127" s="88" t="s">
        <v>396</v>
      </c>
      <c r="C127" s="87" t="s">
        <v>10</v>
      </c>
      <c r="D127" s="87" t="s">
        <v>13</v>
      </c>
      <c r="E127" s="89">
        <v>0.53205000000000002</v>
      </c>
      <c r="F127" s="90">
        <v>4</v>
      </c>
      <c r="G127" s="90">
        <v>2.13</v>
      </c>
    </row>
    <row r="128" spans="1:7" ht="15" customHeight="1">
      <c r="A128" s="1"/>
      <c r="B128" s="1"/>
      <c r="C128" s="1"/>
      <c r="D128" s="1"/>
      <c r="E128" s="282" t="s">
        <v>302</v>
      </c>
      <c r="F128" s="248"/>
      <c r="G128" s="91">
        <v>3.44</v>
      </c>
    </row>
    <row r="129" spans="1:7" ht="15" customHeight="1">
      <c r="A129" s="281" t="s">
        <v>303</v>
      </c>
      <c r="B129" s="248"/>
      <c r="C129" s="86" t="s">
        <v>4</v>
      </c>
      <c r="D129" s="86" t="s">
        <v>289</v>
      </c>
      <c r="E129" s="86" t="s">
        <v>290</v>
      </c>
      <c r="F129" s="86" t="s">
        <v>291</v>
      </c>
      <c r="G129" s="86" t="s">
        <v>292</v>
      </c>
    </row>
    <row r="130" spans="1:7" ht="21" customHeight="1">
      <c r="A130" s="87" t="s">
        <v>397</v>
      </c>
      <c r="B130" s="88" t="s">
        <v>398</v>
      </c>
      <c r="C130" s="87" t="s">
        <v>10</v>
      </c>
      <c r="D130" s="87" t="s">
        <v>306</v>
      </c>
      <c r="E130" s="89">
        <v>0.14563507000000001</v>
      </c>
      <c r="F130" s="90">
        <v>18.829999999999998</v>
      </c>
      <c r="G130" s="90">
        <v>2.74</v>
      </c>
    </row>
    <row r="131" spans="1:7" ht="18" customHeight="1">
      <c r="A131" s="1"/>
      <c r="B131" s="1"/>
      <c r="C131" s="1"/>
      <c r="D131" s="1"/>
      <c r="E131" s="282" t="s">
        <v>309</v>
      </c>
      <c r="F131" s="248"/>
      <c r="G131" s="91">
        <v>2.74</v>
      </c>
    </row>
    <row r="132" spans="1:7" ht="15" customHeight="1">
      <c r="A132" s="1"/>
      <c r="B132" s="1"/>
      <c r="C132" s="1"/>
      <c r="D132" s="1"/>
      <c r="E132" s="277" t="s">
        <v>314</v>
      </c>
      <c r="F132" s="248"/>
      <c r="G132" s="2">
        <v>6.18</v>
      </c>
    </row>
    <row r="133" spans="1:7" ht="9.75" customHeight="1">
      <c r="A133" s="1"/>
      <c r="B133" s="1"/>
      <c r="C133" s="1"/>
      <c r="D133" s="1"/>
      <c r="E133" s="278"/>
      <c r="F133" s="279"/>
      <c r="G133" s="279"/>
    </row>
    <row r="134" spans="1:7" ht="19.5" customHeight="1">
      <c r="A134" s="280" t="s">
        <v>399</v>
      </c>
      <c r="B134" s="247"/>
      <c r="C134" s="247"/>
      <c r="D134" s="247"/>
      <c r="E134" s="247"/>
      <c r="F134" s="247"/>
      <c r="G134" s="248"/>
    </row>
    <row r="135" spans="1:7" ht="15" customHeight="1">
      <c r="A135" s="281" t="s">
        <v>316</v>
      </c>
      <c r="B135" s="248"/>
      <c r="C135" s="86" t="s">
        <v>4</v>
      </c>
      <c r="D135" s="86" t="s">
        <v>289</v>
      </c>
      <c r="E135" s="86" t="s">
        <v>290</v>
      </c>
      <c r="F135" s="86" t="s">
        <v>291</v>
      </c>
      <c r="G135" s="86" t="s">
        <v>292</v>
      </c>
    </row>
    <row r="136" spans="1:7" ht="28.5" customHeight="1">
      <c r="A136" s="87" t="s">
        <v>383</v>
      </c>
      <c r="B136" s="88" t="s">
        <v>384</v>
      </c>
      <c r="C136" s="87" t="s">
        <v>10</v>
      </c>
      <c r="D136" s="87" t="s">
        <v>319</v>
      </c>
      <c r="E136" s="89">
        <v>6.54917E-3</v>
      </c>
      <c r="F136" s="90">
        <v>20.57</v>
      </c>
      <c r="G136" s="90">
        <v>0.13</v>
      </c>
    </row>
    <row r="137" spans="1:7" ht="28.5" customHeight="1">
      <c r="A137" s="87" t="s">
        <v>385</v>
      </c>
      <c r="B137" s="88" t="s">
        <v>386</v>
      </c>
      <c r="C137" s="87" t="s">
        <v>10</v>
      </c>
      <c r="D137" s="87" t="s">
        <v>322</v>
      </c>
      <c r="E137" s="89">
        <v>4.6919400000000003E-3</v>
      </c>
      <c r="F137" s="90">
        <v>21.36</v>
      </c>
      <c r="G137" s="90">
        <v>0.1</v>
      </c>
    </row>
    <row r="138" spans="1:7" ht="18" customHeight="1">
      <c r="A138" s="1"/>
      <c r="B138" s="1"/>
      <c r="C138" s="1"/>
      <c r="D138" s="1"/>
      <c r="E138" s="282" t="s">
        <v>323</v>
      </c>
      <c r="F138" s="248"/>
      <c r="G138" s="91">
        <v>0.23</v>
      </c>
    </row>
    <row r="139" spans="1:7" ht="15" customHeight="1">
      <c r="A139" s="281" t="s">
        <v>288</v>
      </c>
      <c r="B139" s="248"/>
      <c r="C139" s="86" t="s">
        <v>4</v>
      </c>
      <c r="D139" s="86" t="s">
        <v>289</v>
      </c>
      <c r="E139" s="86" t="s">
        <v>290</v>
      </c>
      <c r="F139" s="86" t="s">
        <v>291</v>
      </c>
      <c r="G139" s="86" t="s">
        <v>292</v>
      </c>
    </row>
    <row r="140" spans="1:7" ht="37.5" customHeight="1">
      <c r="A140" s="87" t="s">
        <v>400</v>
      </c>
      <c r="B140" s="88" t="s">
        <v>401</v>
      </c>
      <c r="C140" s="87" t="s">
        <v>10</v>
      </c>
      <c r="D140" s="87" t="s">
        <v>33</v>
      </c>
      <c r="E140" s="89">
        <v>3.55</v>
      </c>
      <c r="F140" s="90">
        <v>1.05</v>
      </c>
      <c r="G140" s="90">
        <v>3.72</v>
      </c>
    </row>
    <row r="141" spans="1:7" ht="15" customHeight="1">
      <c r="A141" s="1"/>
      <c r="B141" s="1"/>
      <c r="C141" s="1"/>
      <c r="D141" s="1"/>
      <c r="E141" s="282" t="s">
        <v>302</v>
      </c>
      <c r="F141" s="248"/>
      <c r="G141" s="91">
        <v>3.72</v>
      </c>
    </row>
    <row r="142" spans="1:7" ht="15" customHeight="1">
      <c r="A142" s="281" t="s">
        <v>303</v>
      </c>
      <c r="B142" s="248"/>
      <c r="C142" s="86" t="s">
        <v>4</v>
      </c>
      <c r="D142" s="86" t="s">
        <v>289</v>
      </c>
      <c r="E142" s="86" t="s">
        <v>290</v>
      </c>
      <c r="F142" s="86" t="s">
        <v>291</v>
      </c>
      <c r="G142" s="86" t="s">
        <v>292</v>
      </c>
    </row>
    <row r="143" spans="1:7" ht="15" customHeight="1">
      <c r="A143" s="87" t="s">
        <v>307</v>
      </c>
      <c r="B143" s="88" t="s">
        <v>308</v>
      </c>
      <c r="C143" s="87" t="s">
        <v>10</v>
      </c>
      <c r="D143" s="87" t="s">
        <v>306</v>
      </c>
      <c r="E143" s="89">
        <v>0.21309264</v>
      </c>
      <c r="F143" s="90">
        <v>19.97</v>
      </c>
      <c r="G143" s="90">
        <v>4.25</v>
      </c>
    </row>
    <row r="144" spans="1:7" ht="15" customHeight="1">
      <c r="A144" s="87" t="s">
        <v>352</v>
      </c>
      <c r="B144" s="88" t="s">
        <v>353</v>
      </c>
      <c r="C144" s="87" t="s">
        <v>10</v>
      </c>
      <c r="D144" s="87" t="s">
        <v>306</v>
      </c>
      <c r="E144" s="89">
        <v>0.13000606000000001</v>
      </c>
      <c r="F144" s="90">
        <v>24.44</v>
      </c>
      <c r="G144" s="90">
        <v>3.17</v>
      </c>
    </row>
    <row r="145" spans="1:7" ht="18" customHeight="1">
      <c r="A145" s="1"/>
      <c r="B145" s="1"/>
      <c r="C145" s="1"/>
      <c r="D145" s="1"/>
      <c r="E145" s="282" t="s">
        <v>309</v>
      </c>
      <c r="F145" s="248"/>
      <c r="G145" s="91">
        <v>7.42</v>
      </c>
    </row>
    <row r="146" spans="1:7" ht="15" customHeight="1">
      <c r="A146" s="1"/>
      <c r="B146" s="1"/>
      <c r="C146" s="1"/>
      <c r="D146" s="1"/>
      <c r="E146" s="277" t="s">
        <v>314</v>
      </c>
      <c r="F146" s="248"/>
      <c r="G146" s="2">
        <v>11.37</v>
      </c>
    </row>
    <row r="147" spans="1:7" ht="9.75" customHeight="1">
      <c r="A147" s="1"/>
      <c r="B147" s="1"/>
      <c r="C147" s="1"/>
      <c r="D147" s="1"/>
      <c r="E147" s="278"/>
      <c r="F147" s="279"/>
      <c r="G147" s="279"/>
    </row>
    <row r="148" spans="1:7" ht="19.5" customHeight="1">
      <c r="A148" s="280" t="s">
        <v>402</v>
      </c>
      <c r="B148" s="247"/>
      <c r="C148" s="247"/>
      <c r="D148" s="247"/>
      <c r="E148" s="247"/>
      <c r="F148" s="247"/>
      <c r="G148" s="248"/>
    </row>
    <row r="149" spans="1:7" ht="15" customHeight="1">
      <c r="A149" s="281" t="s">
        <v>288</v>
      </c>
      <c r="B149" s="248"/>
      <c r="C149" s="86" t="s">
        <v>4</v>
      </c>
      <c r="D149" s="86" t="s">
        <v>289</v>
      </c>
      <c r="E149" s="86" t="s">
        <v>290</v>
      </c>
      <c r="F149" s="86" t="s">
        <v>291</v>
      </c>
      <c r="G149" s="86" t="s">
        <v>292</v>
      </c>
    </row>
    <row r="150" spans="1:7" ht="28.5" customHeight="1">
      <c r="A150" s="87" t="s">
        <v>403</v>
      </c>
      <c r="B150" s="88" t="s">
        <v>404</v>
      </c>
      <c r="C150" s="87" t="s">
        <v>10</v>
      </c>
      <c r="D150" s="87" t="s">
        <v>297</v>
      </c>
      <c r="E150" s="89">
        <v>3.4615</v>
      </c>
      <c r="F150" s="90">
        <v>4.0199999999999996</v>
      </c>
      <c r="G150" s="90">
        <v>13.91</v>
      </c>
    </row>
    <row r="151" spans="1:7" ht="15" customHeight="1">
      <c r="A151" s="1"/>
      <c r="B151" s="1"/>
      <c r="C151" s="1"/>
      <c r="D151" s="1"/>
      <c r="E151" s="282" t="s">
        <v>302</v>
      </c>
      <c r="F151" s="248"/>
      <c r="G151" s="91">
        <v>13.91</v>
      </c>
    </row>
    <row r="152" spans="1:7" ht="15" customHeight="1">
      <c r="A152" s="281" t="s">
        <v>303</v>
      </c>
      <c r="B152" s="248"/>
      <c r="C152" s="86" t="s">
        <v>4</v>
      </c>
      <c r="D152" s="86" t="s">
        <v>289</v>
      </c>
      <c r="E152" s="86" t="s">
        <v>290</v>
      </c>
      <c r="F152" s="86" t="s">
        <v>291</v>
      </c>
      <c r="G152" s="86" t="s">
        <v>292</v>
      </c>
    </row>
    <row r="153" spans="1:7" ht="21" customHeight="1">
      <c r="A153" s="87" t="s">
        <v>405</v>
      </c>
      <c r="B153" s="88" t="s">
        <v>406</v>
      </c>
      <c r="C153" s="87" t="s">
        <v>10</v>
      </c>
      <c r="D153" s="87" t="s">
        <v>306</v>
      </c>
      <c r="E153" s="89">
        <v>0.13288633</v>
      </c>
      <c r="F153" s="90">
        <v>20.83</v>
      </c>
      <c r="G153" s="90">
        <v>2.76</v>
      </c>
    </row>
    <row r="154" spans="1:7" ht="15" customHeight="1">
      <c r="A154" s="87" t="s">
        <v>407</v>
      </c>
      <c r="B154" s="88" t="s">
        <v>408</v>
      </c>
      <c r="C154" s="87" t="s">
        <v>10</v>
      </c>
      <c r="D154" s="87" t="s">
        <v>306</v>
      </c>
      <c r="E154" s="89">
        <v>0.58881331999999997</v>
      </c>
      <c r="F154" s="90">
        <v>25.37</v>
      </c>
      <c r="G154" s="90">
        <v>14.93</v>
      </c>
    </row>
    <row r="155" spans="1:7" ht="18" customHeight="1">
      <c r="A155" s="1"/>
      <c r="B155" s="1"/>
      <c r="C155" s="1"/>
      <c r="D155" s="1"/>
      <c r="E155" s="282" t="s">
        <v>309</v>
      </c>
      <c r="F155" s="248"/>
      <c r="G155" s="91">
        <v>17.690000000000001</v>
      </c>
    </row>
    <row r="156" spans="1:7" ht="15" customHeight="1">
      <c r="A156" s="1"/>
      <c r="B156" s="1"/>
      <c r="C156" s="1"/>
      <c r="D156" s="1"/>
      <c r="E156" s="277" t="s">
        <v>314</v>
      </c>
      <c r="F156" s="248"/>
      <c r="G156" s="2">
        <v>31.6</v>
      </c>
    </row>
    <row r="157" spans="1:7" ht="9.75" customHeight="1">
      <c r="A157" s="1"/>
      <c r="B157" s="1"/>
      <c r="C157" s="1"/>
      <c r="D157" s="1"/>
      <c r="E157" s="278"/>
      <c r="F157" s="279"/>
      <c r="G157" s="279"/>
    </row>
    <row r="158" spans="1:7" ht="19.5" customHeight="1">
      <c r="A158" s="280" t="s">
        <v>409</v>
      </c>
      <c r="B158" s="247"/>
      <c r="C158" s="247"/>
      <c r="D158" s="247"/>
      <c r="E158" s="247"/>
      <c r="F158" s="247"/>
      <c r="G158" s="248"/>
    </row>
    <row r="159" spans="1:7" ht="15" customHeight="1">
      <c r="A159" s="281" t="s">
        <v>288</v>
      </c>
      <c r="B159" s="248"/>
      <c r="C159" s="86" t="s">
        <v>4</v>
      </c>
      <c r="D159" s="86" t="s">
        <v>289</v>
      </c>
      <c r="E159" s="86" t="s">
        <v>290</v>
      </c>
      <c r="F159" s="86" t="s">
        <v>291</v>
      </c>
      <c r="G159" s="86" t="s">
        <v>292</v>
      </c>
    </row>
    <row r="160" spans="1:7" ht="21" customHeight="1">
      <c r="A160" s="87" t="s">
        <v>410</v>
      </c>
      <c r="B160" s="88" t="s">
        <v>411</v>
      </c>
      <c r="C160" s="87" t="s">
        <v>10</v>
      </c>
      <c r="D160" s="87" t="s">
        <v>11</v>
      </c>
      <c r="E160" s="89">
        <v>1.04</v>
      </c>
      <c r="F160" s="90">
        <v>2.36</v>
      </c>
      <c r="G160" s="90">
        <v>2.4500000000000002</v>
      </c>
    </row>
    <row r="161" spans="1:7" ht="15" customHeight="1">
      <c r="A161" s="1"/>
      <c r="B161" s="1"/>
      <c r="C161" s="1"/>
      <c r="D161" s="1"/>
      <c r="E161" s="282" t="s">
        <v>302</v>
      </c>
      <c r="F161" s="248"/>
      <c r="G161" s="91">
        <v>2.4500000000000002</v>
      </c>
    </row>
    <row r="162" spans="1:7" ht="15" customHeight="1">
      <c r="A162" s="281" t="s">
        <v>303</v>
      </c>
      <c r="B162" s="248"/>
      <c r="C162" s="86" t="s">
        <v>4</v>
      </c>
      <c r="D162" s="86" t="s">
        <v>289</v>
      </c>
      <c r="E162" s="86" t="s">
        <v>290</v>
      </c>
      <c r="F162" s="86" t="s">
        <v>291</v>
      </c>
      <c r="G162" s="86" t="s">
        <v>292</v>
      </c>
    </row>
    <row r="163" spans="1:7" ht="15" customHeight="1">
      <c r="A163" s="87" t="s">
        <v>348</v>
      </c>
      <c r="B163" s="88" t="s">
        <v>349</v>
      </c>
      <c r="C163" s="87" t="s">
        <v>10</v>
      </c>
      <c r="D163" s="87" t="s">
        <v>306</v>
      </c>
      <c r="E163" s="89">
        <v>0.44793574000000003</v>
      </c>
      <c r="F163" s="90">
        <v>25.37</v>
      </c>
      <c r="G163" s="90">
        <v>11.36</v>
      </c>
    </row>
    <row r="164" spans="1:7" ht="15" customHeight="1">
      <c r="A164" s="87" t="s">
        <v>307</v>
      </c>
      <c r="B164" s="88" t="s">
        <v>308</v>
      </c>
      <c r="C164" s="87" t="s">
        <v>10</v>
      </c>
      <c r="D164" s="87" t="s">
        <v>306</v>
      </c>
      <c r="E164" s="89">
        <v>0.10100995</v>
      </c>
      <c r="F164" s="90">
        <v>19.97</v>
      </c>
      <c r="G164" s="90">
        <v>2.0099999999999998</v>
      </c>
    </row>
    <row r="165" spans="1:7" ht="18" customHeight="1">
      <c r="A165" s="1"/>
      <c r="B165" s="1"/>
      <c r="C165" s="1"/>
      <c r="D165" s="1"/>
      <c r="E165" s="282" t="s">
        <v>309</v>
      </c>
      <c r="F165" s="248"/>
      <c r="G165" s="91">
        <v>13.37</v>
      </c>
    </row>
    <row r="166" spans="1:7" ht="15" customHeight="1">
      <c r="A166" s="281" t="s">
        <v>310</v>
      </c>
      <c r="B166" s="248"/>
      <c r="C166" s="86" t="s">
        <v>4</v>
      </c>
      <c r="D166" s="86" t="s">
        <v>289</v>
      </c>
      <c r="E166" s="86" t="s">
        <v>290</v>
      </c>
      <c r="F166" s="86" t="s">
        <v>291</v>
      </c>
      <c r="G166" s="86" t="s">
        <v>292</v>
      </c>
    </row>
    <row r="167" spans="1:7" ht="28.5" customHeight="1">
      <c r="A167" s="87" t="s">
        <v>412</v>
      </c>
      <c r="B167" s="88" t="s">
        <v>413</v>
      </c>
      <c r="C167" s="87" t="s">
        <v>10</v>
      </c>
      <c r="D167" s="87" t="s">
        <v>15</v>
      </c>
      <c r="E167" s="89">
        <v>2.4660629999999999E-2</v>
      </c>
      <c r="F167" s="90">
        <v>774.32</v>
      </c>
      <c r="G167" s="90">
        <v>19.09</v>
      </c>
    </row>
    <row r="168" spans="1:7" ht="15" customHeight="1">
      <c r="A168" s="1"/>
      <c r="B168" s="1"/>
      <c r="C168" s="1"/>
      <c r="D168" s="1"/>
      <c r="E168" s="282" t="s">
        <v>313</v>
      </c>
      <c r="F168" s="248"/>
      <c r="G168" s="91">
        <v>19.09</v>
      </c>
    </row>
    <row r="169" spans="1:7" ht="15" customHeight="1">
      <c r="A169" s="1"/>
      <c r="B169" s="1"/>
      <c r="C169" s="1"/>
      <c r="D169" s="1"/>
      <c r="E169" s="277" t="s">
        <v>314</v>
      </c>
      <c r="F169" s="248"/>
      <c r="G169" s="2">
        <v>34.909999999999997</v>
      </c>
    </row>
    <row r="170" spans="1:7" ht="9.75" customHeight="1">
      <c r="A170" s="1"/>
      <c r="B170" s="1"/>
      <c r="C170" s="1"/>
      <c r="D170" s="1"/>
      <c r="E170" s="278"/>
      <c r="F170" s="279"/>
      <c r="G170" s="279"/>
    </row>
    <row r="171" spans="1:7" ht="27" customHeight="1">
      <c r="A171" s="280" t="s">
        <v>414</v>
      </c>
      <c r="B171" s="247"/>
      <c r="C171" s="247"/>
      <c r="D171" s="247"/>
      <c r="E171" s="247"/>
      <c r="F171" s="247"/>
      <c r="G171" s="248"/>
    </row>
    <row r="172" spans="1:7" ht="15" customHeight="1">
      <c r="A172" s="281" t="s">
        <v>310</v>
      </c>
      <c r="B172" s="248"/>
      <c r="C172" s="86" t="s">
        <v>4</v>
      </c>
      <c r="D172" s="86" t="s">
        <v>289</v>
      </c>
      <c r="E172" s="86" t="s">
        <v>290</v>
      </c>
      <c r="F172" s="86" t="s">
        <v>291</v>
      </c>
      <c r="G172" s="86" t="s">
        <v>292</v>
      </c>
    </row>
    <row r="173" spans="1:7" ht="28.5" customHeight="1">
      <c r="A173" s="87" t="s">
        <v>415</v>
      </c>
      <c r="B173" s="88" t="s">
        <v>416</v>
      </c>
      <c r="C173" s="87" t="s">
        <v>10</v>
      </c>
      <c r="D173" s="87" t="s">
        <v>13</v>
      </c>
      <c r="E173" s="89">
        <v>9.9194550199999991</v>
      </c>
      <c r="F173" s="90">
        <v>7.32</v>
      </c>
      <c r="G173" s="90">
        <v>72.61</v>
      </c>
    </row>
    <row r="174" spans="1:7" ht="28.5" customHeight="1">
      <c r="A174" s="87" t="s">
        <v>417</v>
      </c>
      <c r="B174" s="88" t="s">
        <v>418</v>
      </c>
      <c r="C174" s="87" t="s">
        <v>10</v>
      </c>
      <c r="D174" s="87" t="s">
        <v>33</v>
      </c>
      <c r="E174" s="89">
        <v>0.99180889000000005</v>
      </c>
      <c r="F174" s="90">
        <v>301.43</v>
      </c>
      <c r="G174" s="90">
        <v>298.95999999999998</v>
      </c>
    </row>
    <row r="175" spans="1:7" ht="37.5" customHeight="1">
      <c r="A175" s="87" t="s">
        <v>419</v>
      </c>
      <c r="B175" s="88" t="s">
        <v>420</v>
      </c>
      <c r="C175" s="87" t="s">
        <v>10</v>
      </c>
      <c r="D175" s="87" t="s">
        <v>33</v>
      </c>
      <c r="E175" s="89">
        <v>0.99180889000000005</v>
      </c>
      <c r="F175" s="90">
        <v>94.31</v>
      </c>
      <c r="G175" s="90">
        <v>93.53</v>
      </c>
    </row>
    <row r="176" spans="1:7" ht="37.5" customHeight="1">
      <c r="A176" s="87" t="s">
        <v>421</v>
      </c>
      <c r="B176" s="88" t="s">
        <v>422</v>
      </c>
      <c r="C176" s="87" t="s">
        <v>10</v>
      </c>
      <c r="D176" s="87" t="s">
        <v>33</v>
      </c>
      <c r="E176" s="89">
        <v>0.99180889000000005</v>
      </c>
      <c r="F176" s="90">
        <v>362.45</v>
      </c>
      <c r="G176" s="90">
        <v>359.48</v>
      </c>
    </row>
    <row r="177" spans="1:7" ht="15" customHeight="1">
      <c r="A177" s="1"/>
      <c r="B177" s="1"/>
      <c r="C177" s="1"/>
      <c r="D177" s="1"/>
      <c r="E177" s="282" t="s">
        <v>313</v>
      </c>
      <c r="F177" s="248"/>
      <c r="G177" s="91">
        <v>824.58</v>
      </c>
    </row>
    <row r="178" spans="1:7" ht="15" customHeight="1">
      <c r="A178" s="1"/>
      <c r="B178" s="1"/>
      <c r="C178" s="1"/>
      <c r="D178" s="1"/>
      <c r="E178" s="277" t="s">
        <v>314</v>
      </c>
      <c r="F178" s="248"/>
      <c r="G178" s="2">
        <v>824.58</v>
      </c>
    </row>
    <row r="179" spans="1:7" ht="9.75" customHeight="1">
      <c r="A179" s="1"/>
      <c r="B179" s="1"/>
      <c r="C179" s="1"/>
      <c r="D179" s="1"/>
      <c r="E179" s="278"/>
      <c r="F179" s="279"/>
      <c r="G179" s="279"/>
    </row>
    <row r="180" spans="1:7" ht="19.5" customHeight="1">
      <c r="A180" s="280" t="s">
        <v>423</v>
      </c>
      <c r="B180" s="247"/>
      <c r="C180" s="247"/>
      <c r="D180" s="247"/>
      <c r="E180" s="247"/>
      <c r="F180" s="247"/>
      <c r="G180" s="248"/>
    </row>
    <row r="181" spans="1:7" ht="15" customHeight="1">
      <c r="A181" s="281" t="s">
        <v>288</v>
      </c>
      <c r="B181" s="248"/>
      <c r="C181" s="86" t="s">
        <v>4</v>
      </c>
      <c r="D181" s="86" t="s">
        <v>289</v>
      </c>
      <c r="E181" s="86" t="s">
        <v>290</v>
      </c>
      <c r="F181" s="86" t="s">
        <v>291</v>
      </c>
      <c r="G181" s="86" t="s">
        <v>292</v>
      </c>
    </row>
    <row r="182" spans="1:7" ht="21" customHeight="1">
      <c r="A182" s="87" t="s">
        <v>424</v>
      </c>
      <c r="B182" s="88" t="s">
        <v>425</v>
      </c>
      <c r="C182" s="87" t="s">
        <v>426</v>
      </c>
      <c r="D182" s="87" t="s">
        <v>5</v>
      </c>
      <c r="E182" s="89">
        <v>1</v>
      </c>
      <c r="F182" s="90">
        <v>81.459999999999994</v>
      </c>
      <c r="G182" s="90">
        <v>81.459999999999994</v>
      </c>
    </row>
    <row r="183" spans="1:7" ht="15" customHeight="1">
      <c r="A183" s="1"/>
      <c r="B183" s="1"/>
      <c r="C183" s="1"/>
      <c r="D183" s="1"/>
      <c r="E183" s="282" t="s">
        <v>302</v>
      </c>
      <c r="F183" s="248"/>
      <c r="G183" s="91">
        <v>81.459999999999994</v>
      </c>
    </row>
    <row r="184" spans="1:7" ht="15" customHeight="1">
      <c r="A184" s="281" t="s">
        <v>303</v>
      </c>
      <c r="B184" s="248"/>
      <c r="C184" s="86" t="s">
        <v>4</v>
      </c>
      <c r="D184" s="86" t="s">
        <v>289</v>
      </c>
      <c r="E184" s="86" t="s">
        <v>290</v>
      </c>
      <c r="F184" s="86" t="s">
        <v>291</v>
      </c>
      <c r="G184" s="86" t="s">
        <v>292</v>
      </c>
    </row>
    <row r="185" spans="1:7" ht="21" customHeight="1">
      <c r="A185" s="87" t="s">
        <v>427</v>
      </c>
      <c r="B185" s="88" t="s">
        <v>428</v>
      </c>
      <c r="C185" s="87" t="s">
        <v>10</v>
      </c>
      <c r="D185" s="87" t="s">
        <v>306</v>
      </c>
      <c r="E185" s="89">
        <v>0.14638013999999999</v>
      </c>
      <c r="F185" s="90">
        <v>21.2</v>
      </c>
      <c r="G185" s="90">
        <v>3.1</v>
      </c>
    </row>
    <row r="186" spans="1:7" ht="15" customHeight="1">
      <c r="A186" s="87" t="s">
        <v>429</v>
      </c>
      <c r="B186" s="88" t="s">
        <v>430</v>
      </c>
      <c r="C186" s="87" t="s">
        <v>10</v>
      </c>
      <c r="D186" s="87" t="s">
        <v>306</v>
      </c>
      <c r="E186" s="89">
        <v>0.47167587999999999</v>
      </c>
      <c r="F186" s="90">
        <v>25.62</v>
      </c>
      <c r="G186" s="90">
        <v>12.08</v>
      </c>
    </row>
    <row r="187" spans="1:7" ht="18" customHeight="1">
      <c r="A187" s="1"/>
      <c r="B187" s="1"/>
      <c r="C187" s="1"/>
      <c r="D187" s="1"/>
      <c r="E187" s="282" t="s">
        <v>309</v>
      </c>
      <c r="F187" s="248"/>
      <c r="G187" s="91">
        <v>15.18</v>
      </c>
    </row>
    <row r="188" spans="1:7" ht="15" customHeight="1">
      <c r="A188" s="1"/>
      <c r="B188" s="1"/>
      <c r="C188" s="1"/>
      <c r="D188" s="1"/>
      <c r="E188" s="277" t="s">
        <v>314</v>
      </c>
      <c r="F188" s="248"/>
      <c r="G188" s="2">
        <v>96.64</v>
      </c>
    </row>
    <row r="189" spans="1:7" ht="9.75" customHeight="1">
      <c r="A189" s="1"/>
      <c r="B189" s="1"/>
      <c r="C189" s="1"/>
      <c r="D189" s="1"/>
      <c r="E189" s="278"/>
      <c r="F189" s="279"/>
      <c r="G189" s="279"/>
    </row>
    <row r="190" spans="1:7" ht="19.5" customHeight="1">
      <c r="A190" s="280" t="s">
        <v>431</v>
      </c>
      <c r="B190" s="247"/>
      <c r="C190" s="247"/>
      <c r="D190" s="247"/>
      <c r="E190" s="247"/>
      <c r="F190" s="247"/>
      <c r="G190" s="248"/>
    </row>
    <row r="191" spans="1:7" ht="15" customHeight="1">
      <c r="A191" s="281" t="s">
        <v>310</v>
      </c>
      <c r="B191" s="248"/>
      <c r="C191" s="86" t="s">
        <v>4</v>
      </c>
      <c r="D191" s="86" t="s">
        <v>289</v>
      </c>
      <c r="E191" s="86" t="s">
        <v>290</v>
      </c>
      <c r="F191" s="86" t="s">
        <v>291</v>
      </c>
      <c r="G191" s="86" t="s">
        <v>292</v>
      </c>
    </row>
    <row r="192" spans="1:7" ht="28.5" customHeight="1">
      <c r="A192" s="87" t="s">
        <v>432</v>
      </c>
      <c r="B192" s="88" t="s">
        <v>433</v>
      </c>
      <c r="C192" s="87" t="s">
        <v>10</v>
      </c>
      <c r="D192" s="87" t="s">
        <v>33</v>
      </c>
      <c r="E192" s="89">
        <v>0.98409692000000004</v>
      </c>
      <c r="F192" s="90">
        <v>16.68</v>
      </c>
      <c r="G192" s="90">
        <v>16.41</v>
      </c>
    </row>
    <row r="193" spans="1:7" ht="28.5" customHeight="1">
      <c r="A193" s="87" t="s">
        <v>434</v>
      </c>
      <c r="B193" s="88" t="s">
        <v>435</v>
      </c>
      <c r="C193" s="87" t="s">
        <v>10</v>
      </c>
      <c r="D193" s="87" t="s">
        <v>33</v>
      </c>
      <c r="E193" s="89">
        <v>0.98409692000000004</v>
      </c>
      <c r="F193" s="90">
        <v>9.73</v>
      </c>
      <c r="G193" s="90">
        <v>9.57</v>
      </c>
    </row>
    <row r="194" spans="1:7" ht="15" customHeight="1">
      <c r="A194" s="1"/>
      <c r="B194" s="1"/>
      <c r="C194" s="1"/>
      <c r="D194" s="1"/>
      <c r="E194" s="282" t="s">
        <v>313</v>
      </c>
      <c r="F194" s="248"/>
      <c r="G194" s="91">
        <v>25.98</v>
      </c>
    </row>
    <row r="195" spans="1:7" ht="15" customHeight="1">
      <c r="A195" s="1"/>
      <c r="B195" s="1"/>
      <c r="C195" s="1"/>
      <c r="D195" s="1"/>
      <c r="E195" s="277" t="s">
        <v>314</v>
      </c>
      <c r="F195" s="248"/>
      <c r="G195" s="2">
        <v>25.98</v>
      </c>
    </row>
    <row r="196" spans="1:7" ht="9.75" customHeight="1">
      <c r="A196" s="1"/>
      <c r="B196" s="1"/>
      <c r="C196" s="1"/>
      <c r="D196" s="1"/>
      <c r="E196" s="278"/>
      <c r="F196" s="279"/>
      <c r="G196" s="279"/>
    </row>
    <row r="197" spans="1:7" ht="19.5" customHeight="1">
      <c r="A197" s="280" t="s">
        <v>436</v>
      </c>
      <c r="B197" s="247"/>
      <c r="C197" s="247"/>
      <c r="D197" s="247"/>
      <c r="E197" s="247"/>
      <c r="F197" s="247"/>
      <c r="G197" s="248"/>
    </row>
    <row r="198" spans="1:7" ht="15" customHeight="1">
      <c r="A198" s="281" t="s">
        <v>288</v>
      </c>
      <c r="B198" s="248"/>
      <c r="C198" s="86" t="s">
        <v>4</v>
      </c>
      <c r="D198" s="86" t="s">
        <v>289</v>
      </c>
      <c r="E198" s="86" t="s">
        <v>290</v>
      </c>
      <c r="F198" s="86" t="s">
        <v>291</v>
      </c>
      <c r="G198" s="86" t="s">
        <v>292</v>
      </c>
    </row>
    <row r="199" spans="1:7" ht="21" customHeight="1">
      <c r="A199" s="87" t="s">
        <v>437</v>
      </c>
      <c r="B199" s="88" t="s">
        <v>438</v>
      </c>
      <c r="C199" s="87" t="s">
        <v>10</v>
      </c>
      <c r="D199" s="87" t="s">
        <v>33</v>
      </c>
      <c r="E199" s="89">
        <v>1</v>
      </c>
      <c r="F199" s="90">
        <v>2.91</v>
      </c>
      <c r="G199" s="90">
        <v>2.91</v>
      </c>
    </row>
    <row r="200" spans="1:7" ht="21" customHeight="1">
      <c r="A200" s="87" t="s">
        <v>439</v>
      </c>
      <c r="B200" s="88" t="s">
        <v>440</v>
      </c>
      <c r="C200" s="87" t="s">
        <v>10</v>
      </c>
      <c r="D200" s="87" t="s">
        <v>13</v>
      </c>
      <c r="E200" s="89">
        <v>6</v>
      </c>
      <c r="F200" s="90">
        <v>4.63</v>
      </c>
      <c r="G200" s="90">
        <v>27.78</v>
      </c>
    </row>
    <row r="201" spans="1:7" ht="21" customHeight="1">
      <c r="A201" s="87" t="s">
        <v>441</v>
      </c>
      <c r="B201" s="88" t="s">
        <v>442</v>
      </c>
      <c r="C201" s="87" t="s">
        <v>10</v>
      </c>
      <c r="D201" s="87" t="s">
        <v>13</v>
      </c>
      <c r="E201" s="89">
        <v>12</v>
      </c>
      <c r="F201" s="90">
        <v>2.76</v>
      </c>
      <c r="G201" s="90">
        <v>33.119999999999997</v>
      </c>
    </row>
    <row r="202" spans="1:7" ht="21" customHeight="1">
      <c r="A202" s="87" t="s">
        <v>443</v>
      </c>
      <c r="B202" s="88" t="s">
        <v>444</v>
      </c>
      <c r="C202" s="87" t="s">
        <v>426</v>
      </c>
      <c r="D202" s="87" t="s">
        <v>11</v>
      </c>
      <c r="E202" s="89">
        <v>0.15</v>
      </c>
      <c r="F202" s="90">
        <v>8.7799999999999994</v>
      </c>
      <c r="G202" s="90">
        <v>1.32</v>
      </c>
    </row>
    <row r="203" spans="1:7" ht="15" customHeight="1">
      <c r="A203" s="1"/>
      <c r="B203" s="1"/>
      <c r="C203" s="1"/>
      <c r="D203" s="1"/>
      <c r="E203" s="282" t="s">
        <v>302</v>
      </c>
      <c r="F203" s="248"/>
      <c r="G203" s="91">
        <v>65.13</v>
      </c>
    </row>
    <row r="204" spans="1:7" ht="15" customHeight="1">
      <c r="A204" s="281" t="s">
        <v>303</v>
      </c>
      <c r="B204" s="248"/>
      <c r="C204" s="86" t="s">
        <v>4</v>
      </c>
      <c r="D204" s="86" t="s">
        <v>289</v>
      </c>
      <c r="E204" s="86" t="s">
        <v>290</v>
      </c>
      <c r="F204" s="86" t="s">
        <v>291</v>
      </c>
      <c r="G204" s="86" t="s">
        <v>292</v>
      </c>
    </row>
    <row r="205" spans="1:7" ht="15" customHeight="1">
      <c r="A205" s="87" t="s">
        <v>429</v>
      </c>
      <c r="B205" s="88" t="s">
        <v>430</v>
      </c>
      <c r="C205" s="87" t="s">
        <v>10</v>
      </c>
      <c r="D205" s="87" t="s">
        <v>306</v>
      </c>
      <c r="E205" s="89">
        <v>4.8747803999999997</v>
      </c>
      <c r="F205" s="90">
        <v>25.62</v>
      </c>
      <c r="G205" s="90">
        <v>124.89</v>
      </c>
    </row>
    <row r="206" spans="1:7" ht="15" customHeight="1">
      <c r="A206" s="87" t="s">
        <v>307</v>
      </c>
      <c r="B206" s="88" t="s">
        <v>308</v>
      </c>
      <c r="C206" s="87" t="s">
        <v>10</v>
      </c>
      <c r="D206" s="87" t="s">
        <v>306</v>
      </c>
      <c r="E206" s="89">
        <v>5.8497364799999998</v>
      </c>
      <c r="F206" s="90">
        <v>19.97</v>
      </c>
      <c r="G206" s="90">
        <v>116.82</v>
      </c>
    </row>
    <row r="207" spans="1:7" ht="18" customHeight="1">
      <c r="A207" s="1"/>
      <c r="B207" s="1"/>
      <c r="C207" s="1"/>
      <c r="D207" s="1"/>
      <c r="E207" s="282" t="s">
        <v>309</v>
      </c>
      <c r="F207" s="248"/>
      <c r="G207" s="91">
        <v>241.71</v>
      </c>
    </row>
    <row r="208" spans="1:7" ht="15" customHeight="1">
      <c r="A208" s="1"/>
      <c r="B208" s="1"/>
      <c r="C208" s="1"/>
      <c r="D208" s="1"/>
      <c r="E208" s="277" t="s">
        <v>314</v>
      </c>
      <c r="F208" s="248"/>
      <c r="G208" s="2">
        <v>306.83999999999997</v>
      </c>
    </row>
    <row r="209" spans="1:7" ht="9.75" customHeight="1">
      <c r="A209" s="1"/>
      <c r="B209" s="1"/>
      <c r="C209" s="1"/>
      <c r="D209" s="1"/>
      <c r="E209" s="278"/>
      <c r="F209" s="279"/>
      <c r="G209" s="279"/>
    </row>
    <row r="210" spans="1:7" ht="19.5" customHeight="1">
      <c r="A210" s="280" t="s">
        <v>445</v>
      </c>
      <c r="B210" s="247"/>
      <c r="C210" s="247"/>
      <c r="D210" s="247"/>
      <c r="E210" s="247"/>
      <c r="F210" s="247"/>
      <c r="G210" s="248"/>
    </row>
    <row r="211" spans="1:7" ht="15" customHeight="1">
      <c r="A211" s="281" t="s">
        <v>288</v>
      </c>
      <c r="B211" s="248"/>
      <c r="C211" s="86" t="s">
        <v>4</v>
      </c>
      <c r="D211" s="86" t="s">
        <v>289</v>
      </c>
      <c r="E211" s="86" t="s">
        <v>290</v>
      </c>
      <c r="F211" s="86" t="s">
        <v>291</v>
      </c>
      <c r="G211" s="86" t="s">
        <v>292</v>
      </c>
    </row>
    <row r="212" spans="1:7" ht="21" customHeight="1">
      <c r="A212" s="87" t="s">
        <v>446</v>
      </c>
      <c r="B212" s="88" t="s">
        <v>447</v>
      </c>
      <c r="C212" s="87" t="s">
        <v>10</v>
      </c>
      <c r="D212" s="87" t="s">
        <v>334</v>
      </c>
      <c r="E212" s="89">
        <v>0.21</v>
      </c>
      <c r="F212" s="90">
        <v>17.18</v>
      </c>
      <c r="G212" s="90">
        <v>3.6</v>
      </c>
    </row>
    <row r="213" spans="1:7" ht="15" customHeight="1">
      <c r="A213" s="87" t="s">
        <v>448</v>
      </c>
      <c r="B213" s="88" t="s">
        <v>449</v>
      </c>
      <c r="C213" s="87" t="s">
        <v>10</v>
      </c>
      <c r="D213" s="87" t="s">
        <v>297</v>
      </c>
      <c r="E213" s="89">
        <v>0.5</v>
      </c>
      <c r="F213" s="90">
        <v>0.68</v>
      </c>
      <c r="G213" s="90">
        <v>0.34</v>
      </c>
    </row>
    <row r="214" spans="1:7" ht="15" customHeight="1">
      <c r="A214" s="1"/>
      <c r="B214" s="1"/>
      <c r="C214" s="1"/>
      <c r="D214" s="1"/>
      <c r="E214" s="282" t="s">
        <v>302</v>
      </c>
      <c r="F214" s="248"/>
      <c r="G214" s="91">
        <v>3.94</v>
      </c>
    </row>
    <row r="215" spans="1:7" ht="15" customHeight="1">
      <c r="A215" s="281" t="s">
        <v>303</v>
      </c>
      <c r="B215" s="248"/>
      <c r="C215" s="86" t="s">
        <v>4</v>
      </c>
      <c r="D215" s="86" t="s">
        <v>289</v>
      </c>
      <c r="E215" s="86" t="s">
        <v>290</v>
      </c>
      <c r="F215" s="86" t="s">
        <v>291</v>
      </c>
      <c r="G215" s="86" t="s">
        <v>292</v>
      </c>
    </row>
    <row r="216" spans="1:7" ht="15" customHeight="1">
      <c r="A216" s="87" t="s">
        <v>348</v>
      </c>
      <c r="B216" s="88" t="s">
        <v>349</v>
      </c>
      <c r="C216" s="87" t="s">
        <v>10</v>
      </c>
      <c r="D216" s="87" t="s">
        <v>306</v>
      </c>
      <c r="E216" s="89">
        <v>0.21134913</v>
      </c>
      <c r="F216" s="90">
        <v>25.37</v>
      </c>
      <c r="G216" s="90">
        <v>5.36</v>
      </c>
    </row>
    <row r="217" spans="1:7" ht="15" customHeight="1">
      <c r="A217" s="87" t="s">
        <v>307</v>
      </c>
      <c r="B217" s="88" t="s">
        <v>308</v>
      </c>
      <c r="C217" s="87" t="s">
        <v>10</v>
      </c>
      <c r="D217" s="87" t="s">
        <v>306</v>
      </c>
      <c r="E217" s="89">
        <v>0.10587164</v>
      </c>
      <c r="F217" s="90">
        <v>19.97</v>
      </c>
      <c r="G217" s="90">
        <v>2.11</v>
      </c>
    </row>
    <row r="218" spans="1:7" ht="18" customHeight="1">
      <c r="A218" s="1"/>
      <c r="B218" s="1"/>
      <c r="C218" s="1"/>
      <c r="D218" s="1"/>
      <c r="E218" s="282" t="s">
        <v>309</v>
      </c>
      <c r="F218" s="248"/>
      <c r="G218" s="91">
        <v>7.47</v>
      </c>
    </row>
    <row r="219" spans="1:7" ht="15" customHeight="1">
      <c r="A219" s="281" t="s">
        <v>310</v>
      </c>
      <c r="B219" s="248"/>
      <c r="C219" s="86" t="s">
        <v>4</v>
      </c>
      <c r="D219" s="86" t="s">
        <v>289</v>
      </c>
      <c r="E219" s="86" t="s">
        <v>290</v>
      </c>
      <c r="F219" s="86" t="s">
        <v>291</v>
      </c>
      <c r="G219" s="86" t="s">
        <v>292</v>
      </c>
    </row>
    <row r="220" spans="1:7" ht="28.5" customHeight="1">
      <c r="A220" s="87" t="s">
        <v>450</v>
      </c>
      <c r="B220" s="88" t="s">
        <v>451</v>
      </c>
      <c r="C220" s="87" t="s">
        <v>10</v>
      </c>
      <c r="D220" s="87" t="s">
        <v>15</v>
      </c>
      <c r="E220" s="89">
        <v>3.067309E-2</v>
      </c>
      <c r="F220" s="90">
        <v>700.28</v>
      </c>
      <c r="G220" s="90">
        <v>21.47</v>
      </c>
    </row>
    <row r="221" spans="1:7" ht="15" customHeight="1">
      <c r="A221" s="1"/>
      <c r="B221" s="1"/>
      <c r="C221" s="1"/>
      <c r="D221" s="1"/>
      <c r="E221" s="282" t="s">
        <v>313</v>
      </c>
      <c r="F221" s="248"/>
      <c r="G221" s="91">
        <v>21.47</v>
      </c>
    </row>
    <row r="222" spans="1:7" ht="15" customHeight="1">
      <c r="A222" s="1"/>
      <c r="B222" s="1"/>
      <c r="C222" s="1"/>
      <c r="D222" s="1"/>
      <c r="E222" s="277" t="s">
        <v>314</v>
      </c>
      <c r="F222" s="248"/>
      <c r="G222" s="2">
        <v>32.880000000000003</v>
      </c>
    </row>
    <row r="223" spans="1:7" ht="9.75" customHeight="1">
      <c r="A223" s="1"/>
      <c r="B223" s="1"/>
      <c r="C223" s="1"/>
      <c r="D223" s="1"/>
      <c r="E223" s="278"/>
      <c r="F223" s="279"/>
      <c r="G223" s="279"/>
    </row>
    <row r="224" spans="1:7" ht="19.5" customHeight="1">
      <c r="A224" s="280" t="s">
        <v>452</v>
      </c>
      <c r="B224" s="247"/>
      <c r="C224" s="247"/>
      <c r="D224" s="247"/>
      <c r="E224" s="247"/>
      <c r="F224" s="247"/>
      <c r="G224" s="248"/>
    </row>
    <row r="225" spans="1:7" ht="15" customHeight="1">
      <c r="A225" s="281" t="s">
        <v>288</v>
      </c>
      <c r="B225" s="248"/>
      <c r="C225" s="86" t="s">
        <v>4</v>
      </c>
      <c r="D225" s="86" t="s">
        <v>289</v>
      </c>
      <c r="E225" s="86" t="s">
        <v>290</v>
      </c>
      <c r="F225" s="86" t="s">
        <v>291</v>
      </c>
      <c r="G225" s="86" t="s">
        <v>292</v>
      </c>
    </row>
    <row r="226" spans="1:7" ht="15" customHeight="1">
      <c r="A226" s="87" t="s">
        <v>453</v>
      </c>
      <c r="B226" s="88" t="s">
        <v>454</v>
      </c>
      <c r="C226" s="87" t="s">
        <v>10</v>
      </c>
      <c r="D226" s="87" t="s">
        <v>297</v>
      </c>
      <c r="E226" s="89">
        <v>9.1300000000000008</v>
      </c>
      <c r="F226" s="90">
        <v>2.52</v>
      </c>
      <c r="G226" s="90">
        <v>23</v>
      </c>
    </row>
    <row r="227" spans="1:7" ht="28.5" customHeight="1">
      <c r="A227" s="87" t="s">
        <v>455</v>
      </c>
      <c r="B227" s="88" t="s">
        <v>456</v>
      </c>
      <c r="C227" s="87" t="s">
        <v>10</v>
      </c>
      <c r="D227" s="87" t="s">
        <v>11</v>
      </c>
      <c r="E227" s="89">
        <v>1.1544000000000001</v>
      </c>
      <c r="F227" s="90">
        <v>79.900000000000006</v>
      </c>
      <c r="G227" s="90">
        <v>92.23</v>
      </c>
    </row>
    <row r="228" spans="1:7" ht="15" customHeight="1">
      <c r="A228" s="87" t="s">
        <v>457</v>
      </c>
      <c r="B228" s="88" t="s">
        <v>458</v>
      </c>
      <c r="C228" s="87" t="s">
        <v>10</v>
      </c>
      <c r="D228" s="87" t="s">
        <v>297</v>
      </c>
      <c r="E228" s="89">
        <v>0.106</v>
      </c>
      <c r="F228" s="90">
        <v>4.8099999999999996</v>
      </c>
      <c r="G228" s="90">
        <v>0.5</v>
      </c>
    </row>
    <row r="229" spans="1:7" ht="15" customHeight="1">
      <c r="A229" s="1"/>
      <c r="B229" s="1"/>
      <c r="C229" s="1"/>
      <c r="D229" s="1"/>
      <c r="E229" s="282" t="s">
        <v>302</v>
      </c>
      <c r="F229" s="248"/>
      <c r="G229" s="91">
        <v>115.73</v>
      </c>
    </row>
    <row r="230" spans="1:7" ht="15" customHeight="1">
      <c r="A230" s="281" t="s">
        <v>303</v>
      </c>
      <c r="B230" s="248"/>
      <c r="C230" s="86" t="s">
        <v>4</v>
      </c>
      <c r="D230" s="86" t="s">
        <v>289</v>
      </c>
      <c r="E230" s="86" t="s">
        <v>290</v>
      </c>
      <c r="F230" s="86" t="s">
        <v>291</v>
      </c>
      <c r="G230" s="86" t="s">
        <v>292</v>
      </c>
    </row>
    <row r="231" spans="1:7" ht="21" customHeight="1">
      <c r="A231" s="87" t="s">
        <v>459</v>
      </c>
      <c r="B231" s="88" t="s">
        <v>460</v>
      </c>
      <c r="C231" s="87" t="s">
        <v>10</v>
      </c>
      <c r="D231" s="87" t="s">
        <v>306</v>
      </c>
      <c r="E231" s="89">
        <v>1.1700136699999999</v>
      </c>
      <c r="F231" s="90">
        <v>25.22</v>
      </c>
      <c r="G231" s="90">
        <v>29.5</v>
      </c>
    </row>
    <row r="232" spans="1:7" ht="15" customHeight="1">
      <c r="A232" s="87" t="s">
        <v>307</v>
      </c>
      <c r="B232" s="88" t="s">
        <v>308</v>
      </c>
      <c r="C232" s="87" t="s">
        <v>10</v>
      </c>
      <c r="D232" s="87" t="s">
        <v>306</v>
      </c>
      <c r="E232" s="89">
        <v>0.25395743999999998</v>
      </c>
      <c r="F232" s="90">
        <v>19.97</v>
      </c>
      <c r="G232" s="90">
        <v>5.07</v>
      </c>
    </row>
    <row r="233" spans="1:7" ht="18" customHeight="1">
      <c r="A233" s="1"/>
      <c r="B233" s="1"/>
      <c r="C233" s="1"/>
      <c r="D233" s="1"/>
      <c r="E233" s="282" t="s">
        <v>309</v>
      </c>
      <c r="F233" s="248"/>
      <c r="G233" s="91">
        <v>34.57</v>
      </c>
    </row>
    <row r="234" spans="1:7" ht="15" customHeight="1">
      <c r="A234" s="1"/>
      <c r="B234" s="1"/>
      <c r="C234" s="1"/>
      <c r="D234" s="1"/>
      <c r="E234" s="277" t="s">
        <v>314</v>
      </c>
      <c r="F234" s="248"/>
      <c r="G234" s="2">
        <v>150.30000000000001</v>
      </c>
    </row>
    <row r="235" spans="1:7" ht="9.75" customHeight="1">
      <c r="A235" s="1"/>
      <c r="B235" s="1"/>
      <c r="C235" s="1"/>
      <c r="D235" s="1"/>
      <c r="E235" s="278"/>
      <c r="F235" s="279"/>
      <c r="G235" s="279"/>
    </row>
    <row r="236" spans="1:7" ht="27" customHeight="1">
      <c r="A236" s="280" t="s">
        <v>461</v>
      </c>
      <c r="B236" s="247"/>
      <c r="C236" s="247"/>
      <c r="D236" s="247"/>
      <c r="E236" s="247"/>
      <c r="F236" s="247"/>
      <c r="G236" s="248"/>
    </row>
    <row r="237" spans="1:7" ht="15" customHeight="1">
      <c r="A237" s="281" t="s">
        <v>316</v>
      </c>
      <c r="B237" s="248"/>
      <c r="C237" s="86" t="s">
        <v>4</v>
      </c>
      <c r="D237" s="86" t="s">
        <v>289</v>
      </c>
      <c r="E237" s="86" t="s">
        <v>290</v>
      </c>
      <c r="F237" s="86" t="s">
        <v>291</v>
      </c>
      <c r="G237" s="86" t="s">
        <v>292</v>
      </c>
    </row>
    <row r="238" spans="1:7" ht="37.5" customHeight="1">
      <c r="A238" s="87" t="s">
        <v>462</v>
      </c>
      <c r="B238" s="88" t="s">
        <v>463</v>
      </c>
      <c r="C238" s="87" t="s">
        <v>10</v>
      </c>
      <c r="D238" s="87" t="s">
        <v>319</v>
      </c>
      <c r="E238" s="89">
        <v>7.4134489999999997E-2</v>
      </c>
      <c r="F238" s="90">
        <v>1.49</v>
      </c>
      <c r="G238" s="90">
        <v>0.11</v>
      </c>
    </row>
    <row r="239" spans="1:7" ht="37.5" customHeight="1">
      <c r="A239" s="87" t="s">
        <v>464</v>
      </c>
      <c r="B239" s="88" t="s">
        <v>465</v>
      </c>
      <c r="C239" s="87" t="s">
        <v>10</v>
      </c>
      <c r="D239" s="87" t="s">
        <v>322</v>
      </c>
      <c r="E239" s="89">
        <v>2.4809169999999998E-2</v>
      </c>
      <c r="F239" s="90">
        <v>4.49</v>
      </c>
      <c r="G239" s="90">
        <v>0.11</v>
      </c>
    </row>
    <row r="240" spans="1:7" ht="28.5" customHeight="1">
      <c r="A240" s="87" t="s">
        <v>466</v>
      </c>
      <c r="B240" s="88" t="s">
        <v>467</v>
      </c>
      <c r="C240" s="87" t="s">
        <v>10</v>
      </c>
      <c r="D240" s="87" t="s">
        <v>319</v>
      </c>
      <c r="E240" s="89">
        <v>0.21136632</v>
      </c>
      <c r="F240" s="90">
        <v>0.54</v>
      </c>
      <c r="G240" s="90">
        <v>0.11</v>
      </c>
    </row>
    <row r="241" spans="1:7" ht="28.5" customHeight="1">
      <c r="A241" s="87" t="s">
        <v>468</v>
      </c>
      <c r="B241" s="88" t="s">
        <v>469</v>
      </c>
      <c r="C241" s="87" t="s">
        <v>10</v>
      </c>
      <c r="D241" s="87" t="s">
        <v>322</v>
      </c>
      <c r="E241" s="89">
        <v>8.8199529999999998E-2</v>
      </c>
      <c r="F241" s="90">
        <v>2.58</v>
      </c>
      <c r="G241" s="90">
        <v>0.22</v>
      </c>
    </row>
    <row r="242" spans="1:7" ht="18" customHeight="1">
      <c r="A242" s="1"/>
      <c r="B242" s="1"/>
      <c r="C242" s="1"/>
      <c r="D242" s="1"/>
      <c r="E242" s="282" t="s">
        <v>323</v>
      </c>
      <c r="F242" s="248"/>
      <c r="G242" s="91">
        <v>0.55000000000000004</v>
      </c>
    </row>
    <row r="243" spans="1:7" ht="15" customHeight="1">
      <c r="A243" s="281" t="s">
        <v>288</v>
      </c>
      <c r="B243" s="248"/>
      <c r="C243" s="86" t="s">
        <v>4</v>
      </c>
      <c r="D243" s="86" t="s">
        <v>289</v>
      </c>
      <c r="E243" s="86" t="s">
        <v>290</v>
      </c>
      <c r="F243" s="86" t="s">
        <v>291</v>
      </c>
      <c r="G243" s="86" t="s">
        <v>292</v>
      </c>
    </row>
    <row r="244" spans="1:7" ht="15" customHeight="1">
      <c r="A244" s="87" t="s">
        <v>470</v>
      </c>
      <c r="B244" s="88" t="s">
        <v>471</v>
      </c>
      <c r="C244" s="87" t="s">
        <v>10</v>
      </c>
      <c r="D244" s="87" t="s">
        <v>334</v>
      </c>
      <c r="E244" s="89">
        <v>1.2500000000000001E-2</v>
      </c>
      <c r="F244" s="90">
        <v>20.350000000000001</v>
      </c>
      <c r="G244" s="90">
        <v>0.25</v>
      </c>
    </row>
    <row r="245" spans="1:7" ht="21" customHeight="1">
      <c r="A245" s="87" t="s">
        <v>472</v>
      </c>
      <c r="B245" s="88" t="s">
        <v>473</v>
      </c>
      <c r="C245" s="87" t="s">
        <v>10</v>
      </c>
      <c r="D245" s="87" t="s">
        <v>297</v>
      </c>
      <c r="E245" s="89">
        <v>10</v>
      </c>
      <c r="F245" s="90">
        <v>3.64</v>
      </c>
      <c r="G245" s="90">
        <v>36.4</v>
      </c>
    </row>
    <row r="246" spans="1:7" ht="28.5" customHeight="1">
      <c r="A246" s="87" t="s">
        <v>474</v>
      </c>
      <c r="B246" s="88" t="s">
        <v>475</v>
      </c>
      <c r="C246" s="87" t="s">
        <v>10</v>
      </c>
      <c r="D246" s="87" t="s">
        <v>297</v>
      </c>
      <c r="E246" s="89">
        <v>20</v>
      </c>
      <c r="F246" s="90">
        <v>0.61</v>
      </c>
      <c r="G246" s="90">
        <v>12.2</v>
      </c>
    </row>
    <row r="247" spans="1:7" ht="21" customHeight="1">
      <c r="A247" s="87" t="s">
        <v>476</v>
      </c>
      <c r="B247" s="88" t="s">
        <v>477</v>
      </c>
      <c r="C247" s="87" t="s">
        <v>10</v>
      </c>
      <c r="D247" s="87" t="s">
        <v>13</v>
      </c>
      <c r="E247" s="89">
        <v>1.67</v>
      </c>
      <c r="F247" s="90">
        <v>1.26</v>
      </c>
      <c r="G247" s="90">
        <v>2.1</v>
      </c>
    </row>
    <row r="248" spans="1:7" ht="15" customHeight="1">
      <c r="A248" s="87" t="s">
        <v>478</v>
      </c>
      <c r="B248" s="88" t="s">
        <v>479</v>
      </c>
      <c r="C248" s="87" t="s">
        <v>10</v>
      </c>
      <c r="D248" s="87" t="s">
        <v>334</v>
      </c>
      <c r="E248" s="89">
        <v>0.04</v>
      </c>
      <c r="F248" s="90">
        <v>9.17</v>
      </c>
      <c r="G248" s="90">
        <v>0.36</v>
      </c>
    </row>
    <row r="249" spans="1:7" ht="15" customHeight="1">
      <c r="A249" s="1"/>
      <c r="B249" s="1"/>
      <c r="C249" s="1"/>
      <c r="D249" s="1"/>
      <c r="E249" s="282" t="s">
        <v>302</v>
      </c>
      <c r="F249" s="248"/>
      <c r="G249" s="91">
        <v>51.31</v>
      </c>
    </row>
    <row r="250" spans="1:7" ht="15" customHeight="1">
      <c r="A250" s="281" t="s">
        <v>303</v>
      </c>
      <c r="B250" s="248"/>
      <c r="C250" s="86" t="s">
        <v>4</v>
      </c>
      <c r="D250" s="86" t="s">
        <v>289</v>
      </c>
      <c r="E250" s="86" t="s">
        <v>290</v>
      </c>
      <c r="F250" s="86" t="s">
        <v>291</v>
      </c>
      <c r="G250" s="86" t="s">
        <v>292</v>
      </c>
    </row>
    <row r="251" spans="1:7" ht="21" customHeight="1">
      <c r="A251" s="87" t="s">
        <v>480</v>
      </c>
      <c r="B251" s="88" t="s">
        <v>481</v>
      </c>
      <c r="C251" s="87" t="s">
        <v>10</v>
      </c>
      <c r="D251" s="87" t="s">
        <v>306</v>
      </c>
      <c r="E251" s="89">
        <v>1.06971876</v>
      </c>
      <c r="F251" s="90">
        <v>25.22</v>
      </c>
      <c r="G251" s="90">
        <v>26.97</v>
      </c>
    </row>
    <row r="252" spans="1:7" ht="15" customHeight="1">
      <c r="A252" s="87" t="s">
        <v>307</v>
      </c>
      <c r="B252" s="88" t="s">
        <v>308</v>
      </c>
      <c r="C252" s="87" t="s">
        <v>10</v>
      </c>
      <c r="D252" s="87" t="s">
        <v>306</v>
      </c>
      <c r="E252" s="89">
        <v>0.48563464000000001</v>
      </c>
      <c r="F252" s="90">
        <v>19.97</v>
      </c>
      <c r="G252" s="90">
        <v>9.69</v>
      </c>
    </row>
    <row r="253" spans="1:7" ht="18" customHeight="1">
      <c r="A253" s="1"/>
      <c r="B253" s="1"/>
      <c r="C253" s="1"/>
      <c r="D253" s="1"/>
      <c r="E253" s="282" t="s">
        <v>309</v>
      </c>
      <c r="F253" s="248"/>
      <c r="G253" s="91">
        <v>36.659999999999997</v>
      </c>
    </row>
    <row r="254" spans="1:7" ht="15" customHeight="1">
      <c r="A254" s="1"/>
      <c r="B254" s="1"/>
      <c r="C254" s="1"/>
      <c r="D254" s="1"/>
      <c r="E254" s="277" t="s">
        <v>314</v>
      </c>
      <c r="F254" s="248"/>
      <c r="G254" s="2">
        <v>88.52</v>
      </c>
    </row>
    <row r="255" spans="1:7" ht="9.75" customHeight="1">
      <c r="A255" s="1"/>
      <c r="B255" s="1"/>
      <c r="C255" s="1"/>
      <c r="D255" s="1"/>
      <c r="E255" s="278"/>
      <c r="F255" s="279"/>
      <c r="G255" s="279"/>
    </row>
    <row r="256" spans="1:7" ht="19.5" customHeight="1">
      <c r="A256" s="280" t="s">
        <v>482</v>
      </c>
      <c r="B256" s="247"/>
      <c r="C256" s="247"/>
      <c r="D256" s="247"/>
      <c r="E256" s="247"/>
      <c r="F256" s="247"/>
      <c r="G256" s="248"/>
    </row>
    <row r="257" spans="1:7" ht="15" customHeight="1">
      <c r="A257" s="281" t="s">
        <v>316</v>
      </c>
      <c r="B257" s="248"/>
      <c r="C257" s="86" t="s">
        <v>4</v>
      </c>
      <c r="D257" s="86" t="s">
        <v>289</v>
      </c>
      <c r="E257" s="86" t="s">
        <v>290</v>
      </c>
      <c r="F257" s="86" t="s">
        <v>291</v>
      </c>
      <c r="G257" s="86" t="s">
        <v>292</v>
      </c>
    </row>
    <row r="258" spans="1:7" ht="37.5" customHeight="1">
      <c r="A258" s="87" t="s">
        <v>483</v>
      </c>
      <c r="B258" s="88" t="s">
        <v>484</v>
      </c>
      <c r="C258" s="87" t="s">
        <v>10</v>
      </c>
      <c r="D258" s="87" t="s">
        <v>319</v>
      </c>
      <c r="E258" s="89">
        <v>4.9966169999999997E-2</v>
      </c>
      <c r="F258" s="90">
        <v>8.77</v>
      </c>
      <c r="G258" s="90">
        <v>0.43</v>
      </c>
    </row>
    <row r="259" spans="1:7" ht="37.5" customHeight="1">
      <c r="A259" s="87" t="s">
        <v>485</v>
      </c>
      <c r="B259" s="88" t="s">
        <v>486</v>
      </c>
      <c r="C259" s="87" t="s">
        <v>10</v>
      </c>
      <c r="D259" s="87" t="s">
        <v>322</v>
      </c>
      <c r="E259" s="89">
        <v>1.1849600000000001E-3</v>
      </c>
      <c r="F259" s="90">
        <v>31.48</v>
      </c>
      <c r="G259" s="90">
        <v>0.03</v>
      </c>
    </row>
    <row r="260" spans="1:7" ht="18" customHeight="1">
      <c r="A260" s="1"/>
      <c r="B260" s="1"/>
      <c r="C260" s="1"/>
      <c r="D260" s="1"/>
      <c r="E260" s="282" t="s">
        <v>323</v>
      </c>
      <c r="F260" s="248"/>
      <c r="G260" s="91">
        <v>0.46</v>
      </c>
    </row>
    <row r="261" spans="1:7" ht="15" customHeight="1">
      <c r="A261" s="281" t="s">
        <v>303</v>
      </c>
      <c r="B261" s="248"/>
      <c r="C261" s="86" t="s">
        <v>4</v>
      </c>
      <c r="D261" s="86" t="s">
        <v>289</v>
      </c>
      <c r="E261" s="86" t="s">
        <v>290</v>
      </c>
      <c r="F261" s="86" t="s">
        <v>291</v>
      </c>
      <c r="G261" s="86" t="s">
        <v>292</v>
      </c>
    </row>
    <row r="262" spans="1:7" ht="15" customHeight="1">
      <c r="A262" s="87" t="s">
        <v>348</v>
      </c>
      <c r="B262" s="88" t="s">
        <v>349</v>
      </c>
      <c r="C262" s="87" t="s">
        <v>10</v>
      </c>
      <c r="D262" s="87" t="s">
        <v>306</v>
      </c>
      <c r="E262" s="89">
        <v>5.1151139999999998E-2</v>
      </c>
      <c r="F262" s="90">
        <v>25.37</v>
      </c>
      <c r="G262" s="90">
        <v>1.29</v>
      </c>
    </row>
    <row r="263" spans="1:7" ht="15" customHeight="1">
      <c r="A263" s="87" t="s">
        <v>307</v>
      </c>
      <c r="B263" s="88" t="s">
        <v>308</v>
      </c>
      <c r="C263" s="87" t="s">
        <v>10</v>
      </c>
      <c r="D263" s="87" t="s">
        <v>306</v>
      </c>
      <c r="E263" s="89">
        <v>1.9156989999999999E-2</v>
      </c>
      <c r="F263" s="90">
        <v>19.97</v>
      </c>
      <c r="G263" s="90">
        <v>0.38</v>
      </c>
    </row>
    <row r="264" spans="1:7" ht="18" customHeight="1">
      <c r="A264" s="1"/>
      <c r="B264" s="1"/>
      <c r="C264" s="1"/>
      <c r="D264" s="1"/>
      <c r="E264" s="282" t="s">
        <v>309</v>
      </c>
      <c r="F264" s="248"/>
      <c r="G264" s="91">
        <v>1.67</v>
      </c>
    </row>
    <row r="265" spans="1:7" ht="15" customHeight="1">
      <c r="A265" s="281" t="s">
        <v>310</v>
      </c>
      <c r="B265" s="248"/>
      <c r="C265" s="86" t="s">
        <v>4</v>
      </c>
      <c r="D265" s="86" t="s">
        <v>289</v>
      </c>
      <c r="E265" s="86" t="s">
        <v>290</v>
      </c>
      <c r="F265" s="86" t="s">
        <v>291</v>
      </c>
      <c r="G265" s="86" t="s">
        <v>292</v>
      </c>
    </row>
    <row r="266" spans="1:7" ht="28.5" customHeight="1">
      <c r="A266" s="87" t="s">
        <v>487</v>
      </c>
      <c r="B266" s="88" t="s">
        <v>488</v>
      </c>
      <c r="C266" s="87" t="s">
        <v>10</v>
      </c>
      <c r="D266" s="87" t="s">
        <v>15</v>
      </c>
      <c r="E266" s="89">
        <v>4.1473899999999999E-3</v>
      </c>
      <c r="F266" s="90">
        <v>628.13</v>
      </c>
      <c r="G266" s="90">
        <v>2.6</v>
      </c>
    </row>
    <row r="267" spans="1:7" ht="15" customHeight="1">
      <c r="A267" s="1"/>
      <c r="B267" s="1"/>
      <c r="C267" s="1"/>
      <c r="D267" s="1"/>
      <c r="E267" s="282" t="s">
        <v>313</v>
      </c>
      <c r="F267" s="248"/>
      <c r="G267" s="91">
        <v>2.6</v>
      </c>
    </row>
    <row r="268" spans="1:7" ht="15" customHeight="1">
      <c r="A268" s="1"/>
      <c r="B268" s="1"/>
      <c r="C268" s="1"/>
      <c r="D268" s="1"/>
      <c r="E268" s="277" t="s">
        <v>314</v>
      </c>
      <c r="F268" s="248"/>
      <c r="G268" s="2">
        <v>4.7300000000000004</v>
      </c>
    </row>
    <row r="269" spans="1:7" ht="9.75" customHeight="1">
      <c r="A269" s="1"/>
      <c r="B269" s="1"/>
      <c r="C269" s="1"/>
      <c r="D269" s="1"/>
      <c r="E269" s="278"/>
      <c r="F269" s="279"/>
      <c r="G269" s="279"/>
    </row>
    <row r="270" spans="1:7" ht="19.5" customHeight="1">
      <c r="A270" s="280" t="s">
        <v>489</v>
      </c>
      <c r="B270" s="247"/>
      <c r="C270" s="247"/>
      <c r="D270" s="247"/>
      <c r="E270" s="247"/>
      <c r="F270" s="247"/>
      <c r="G270" s="248"/>
    </row>
    <row r="271" spans="1:7" ht="15" customHeight="1">
      <c r="A271" s="281" t="s">
        <v>303</v>
      </c>
      <c r="B271" s="248"/>
      <c r="C271" s="86" t="s">
        <v>4</v>
      </c>
      <c r="D271" s="86" t="s">
        <v>289</v>
      </c>
      <c r="E271" s="86" t="s">
        <v>290</v>
      </c>
      <c r="F271" s="86" t="s">
        <v>291</v>
      </c>
      <c r="G271" s="86" t="s">
        <v>292</v>
      </c>
    </row>
    <row r="272" spans="1:7" ht="15" customHeight="1">
      <c r="A272" s="87" t="s">
        <v>348</v>
      </c>
      <c r="B272" s="88" t="s">
        <v>349</v>
      </c>
      <c r="C272" s="87" t="s">
        <v>10</v>
      </c>
      <c r="D272" s="87" t="s">
        <v>306</v>
      </c>
      <c r="E272" s="89">
        <v>0.54312044999999998</v>
      </c>
      <c r="F272" s="90">
        <v>25.37</v>
      </c>
      <c r="G272" s="90">
        <v>13.77</v>
      </c>
    </row>
    <row r="273" spans="1:7" ht="15" customHeight="1">
      <c r="A273" s="87" t="s">
        <v>307</v>
      </c>
      <c r="B273" s="88" t="s">
        <v>308</v>
      </c>
      <c r="C273" s="87" t="s">
        <v>10</v>
      </c>
      <c r="D273" s="87" t="s">
        <v>306</v>
      </c>
      <c r="E273" s="89">
        <v>0.27136314</v>
      </c>
      <c r="F273" s="90">
        <v>19.97</v>
      </c>
      <c r="G273" s="90">
        <v>5.41</v>
      </c>
    </row>
    <row r="274" spans="1:7" ht="18" customHeight="1">
      <c r="A274" s="1"/>
      <c r="B274" s="1"/>
      <c r="C274" s="1"/>
      <c r="D274" s="1"/>
      <c r="E274" s="282" t="s">
        <v>309</v>
      </c>
      <c r="F274" s="248"/>
      <c r="G274" s="91">
        <v>19.18</v>
      </c>
    </row>
    <row r="275" spans="1:7" ht="15" customHeight="1">
      <c r="A275" s="281" t="s">
        <v>310</v>
      </c>
      <c r="B275" s="248"/>
      <c r="C275" s="86" t="s">
        <v>4</v>
      </c>
      <c r="D275" s="86" t="s">
        <v>289</v>
      </c>
      <c r="E275" s="86" t="s">
        <v>290</v>
      </c>
      <c r="F275" s="86" t="s">
        <v>291</v>
      </c>
      <c r="G275" s="86" t="s">
        <v>292</v>
      </c>
    </row>
    <row r="276" spans="1:7" ht="37.5" customHeight="1">
      <c r="A276" s="87" t="s">
        <v>362</v>
      </c>
      <c r="B276" s="88" t="s">
        <v>363</v>
      </c>
      <c r="C276" s="87" t="s">
        <v>10</v>
      </c>
      <c r="D276" s="87" t="s">
        <v>15</v>
      </c>
      <c r="E276" s="89">
        <v>2.992179E-2</v>
      </c>
      <c r="F276" s="90">
        <v>676.74</v>
      </c>
      <c r="G276" s="90">
        <v>20.239999999999998</v>
      </c>
    </row>
    <row r="277" spans="1:7" ht="15" customHeight="1">
      <c r="A277" s="1"/>
      <c r="B277" s="1"/>
      <c r="C277" s="1"/>
      <c r="D277" s="1"/>
      <c r="E277" s="282" t="s">
        <v>313</v>
      </c>
      <c r="F277" s="248"/>
      <c r="G277" s="91">
        <v>20.239999999999998</v>
      </c>
    </row>
    <row r="278" spans="1:7" ht="15" customHeight="1">
      <c r="A278" s="1"/>
      <c r="B278" s="1"/>
      <c r="C278" s="1"/>
      <c r="D278" s="1"/>
      <c r="E278" s="277" t="s">
        <v>314</v>
      </c>
      <c r="F278" s="248"/>
      <c r="G278" s="2">
        <v>39.42</v>
      </c>
    </row>
    <row r="279" spans="1:7" ht="9.75" customHeight="1">
      <c r="A279" s="1"/>
      <c r="B279" s="1"/>
      <c r="C279" s="1"/>
      <c r="D279" s="1"/>
      <c r="E279" s="278"/>
      <c r="F279" s="279"/>
      <c r="G279" s="279"/>
    </row>
    <row r="280" spans="1:7" ht="19.5" customHeight="1">
      <c r="A280" s="280" t="s">
        <v>490</v>
      </c>
      <c r="B280" s="247"/>
      <c r="C280" s="247"/>
      <c r="D280" s="247"/>
      <c r="E280" s="247"/>
      <c r="F280" s="247"/>
      <c r="G280" s="248"/>
    </row>
    <row r="281" spans="1:7" ht="15" customHeight="1">
      <c r="A281" s="281" t="s">
        <v>288</v>
      </c>
      <c r="B281" s="248"/>
      <c r="C281" s="86" t="s">
        <v>4</v>
      </c>
      <c r="D281" s="86" t="s">
        <v>289</v>
      </c>
      <c r="E281" s="86" t="s">
        <v>290</v>
      </c>
      <c r="F281" s="86" t="s">
        <v>291</v>
      </c>
      <c r="G281" s="86" t="s">
        <v>292</v>
      </c>
    </row>
    <row r="282" spans="1:7" ht="15" customHeight="1">
      <c r="A282" s="87" t="s">
        <v>491</v>
      </c>
      <c r="B282" s="88" t="s">
        <v>492</v>
      </c>
      <c r="C282" s="87" t="s">
        <v>10</v>
      </c>
      <c r="D282" s="87" t="s">
        <v>297</v>
      </c>
      <c r="E282" s="89">
        <v>6.85</v>
      </c>
      <c r="F282" s="90">
        <v>0.82</v>
      </c>
      <c r="G282" s="90">
        <v>5.61</v>
      </c>
    </row>
    <row r="283" spans="1:7" ht="15" customHeight="1">
      <c r="A283" s="87" t="s">
        <v>457</v>
      </c>
      <c r="B283" s="88" t="s">
        <v>458</v>
      </c>
      <c r="C283" s="87" t="s">
        <v>10</v>
      </c>
      <c r="D283" s="87" t="s">
        <v>297</v>
      </c>
      <c r="E283" s="89">
        <v>0.14099999999999999</v>
      </c>
      <c r="F283" s="90">
        <v>4.8099999999999996</v>
      </c>
      <c r="G283" s="90">
        <v>0.67</v>
      </c>
    </row>
    <row r="284" spans="1:7" ht="21" customHeight="1">
      <c r="A284" s="87" t="s">
        <v>493</v>
      </c>
      <c r="B284" s="88" t="s">
        <v>494</v>
      </c>
      <c r="C284" s="87" t="s">
        <v>10</v>
      </c>
      <c r="D284" s="87" t="s">
        <v>11</v>
      </c>
      <c r="E284" s="89">
        <v>1.0764</v>
      </c>
      <c r="F284" s="90">
        <v>63.97</v>
      </c>
      <c r="G284" s="90">
        <v>68.849999999999994</v>
      </c>
    </row>
    <row r="285" spans="1:7" ht="15" customHeight="1">
      <c r="A285" s="1"/>
      <c r="B285" s="1"/>
      <c r="C285" s="1"/>
      <c r="D285" s="1"/>
      <c r="E285" s="282" t="s">
        <v>302</v>
      </c>
      <c r="F285" s="248"/>
      <c r="G285" s="91">
        <v>75.13</v>
      </c>
    </row>
    <row r="286" spans="1:7" ht="15" customHeight="1">
      <c r="A286" s="281" t="s">
        <v>303</v>
      </c>
      <c r="B286" s="248"/>
      <c r="C286" s="86" t="s">
        <v>4</v>
      </c>
      <c r="D286" s="86" t="s">
        <v>289</v>
      </c>
      <c r="E286" s="86" t="s">
        <v>290</v>
      </c>
      <c r="F286" s="86" t="s">
        <v>291</v>
      </c>
      <c r="G286" s="86" t="s">
        <v>292</v>
      </c>
    </row>
    <row r="287" spans="1:7" ht="21" customHeight="1">
      <c r="A287" s="87" t="s">
        <v>459</v>
      </c>
      <c r="B287" s="88" t="s">
        <v>460</v>
      </c>
      <c r="C287" s="87" t="s">
        <v>10</v>
      </c>
      <c r="D287" s="87" t="s">
        <v>306</v>
      </c>
      <c r="E287" s="89">
        <v>0.75720228000000001</v>
      </c>
      <c r="F287" s="90">
        <v>25.22</v>
      </c>
      <c r="G287" s="90">
        <v>19.09</v>
      </c>
    </row>
    <row r="288" spans="1:7" ht="15" customHeight="1">
      <c r="A288" s="87" t="s">
        <v>307</v>
      </c>
      <c r="B288" s="88" t="s">
        <v>308</v>
      </c>
      <c r="C288" s="87" t="s">
        <v>10</v>
      </c>
      <c r="D288" s="87" t="s">
        <v>306</v>
      </c>
      <c r="E288" s="89">
        <v>0.32725198</v>
      </c>
      <c r="F288" s="90">
        <v>19.97</v>
      </c>
      <c r="G288" s="90">
        <v>6.53</v>
      </c>
    </row>
    <row r="289" spans="1:7" ht="18" customHeight="1">
      <c r="A289" s="1"/>
      <c r="B289" s="1"/>
      <c r="C289" s="1"/>
      <c r="D289" s="1"/>
      <c r="E289" s="282" t="s">
        <v>309</v>
      </c>
      <c r="F289" s="248"/>
      <c r="G289" s="91">
        <v>25.62</v>
      </c>
    </row>
    <row r="290" spans="1:7" ht="15" customHeight="1">
      <c r="A290" s="1"/>
      <c r="B290" s="1"/>
      <c r="C290" s="1"/>
      <c r="D290" s="1"/>
      <c r="E290" s="277" t="s">
        <v>314</v>
      </c>
      <c r="F290" s="248"/>
      <c r="G290" s="2">
        <v>100.75</v>
      </c>
    </row>
    <row r="291" spans="1:7" ht="9.75" customHeight="1">
      <c r="A291" s="1"/>
      <c r="B291" s="1"/>
      <c r="C291" s="1"/>
      <c r="D291" s="1"/>
      <c r="E291" s="278"/>
      <c r="F291" s="279"/>
      <c r="G291" s="279"/>
    </row>
    <row r="292" spans="1:7" ht="19.5" customHeight="1">
      <c r="A292" s="280" t="s">
        <v>495</v>
      </c>
      <c r="B292" s="247"/>
      <c r="C292" s="247"/>
      <c r="D292" s="247"/>
      <c r="E292" s="247"/>
      <c r="F292" s="247"/>
      <c r="G292" s="248"/>
    </row>
    <row r="293" spans="1:7" ht="15" customHeight="1">
      <c r="A293" s="281" t="s">
        <v>288</v>
      </c>
      <c r="B293" s="248"/>
      <c r="C293" s="86" t="s">
        <v>4</v>
      </c>
      <c r="D293" s="86" t="s">
        <v>289</v>
      </c>
      <c r="E293" s="86" t="s">
        <v>290</v>
      </c>
      <c r="F293" s="86" t="s">
        <v>291</v>
      </c>
      <c r="G293" s="86" t="s">
        <v>292</v>
      </c>
    </row>
    <row r="294" spans="1:7" ht="15" customHeight="1">
      <c r="A294" s="87" t="s">
        <v>478</v>
      </c>
      <c r="B294" s="88" t="s">
        <v>479</v>
      </c>
      <c r="C294" s="87" t="s">
        <v>10</v>
      </c>
      <c r="D294" s="87" t="s">
        <v>334</v>
      </c>
      <c r="E294" s="89">
        <v>0.1666</v>
      </c>
      <c r="F294" s="90">
        <v>9.17</v>
      </c>
      <c r="G294" s="90">
        <v>1.52</v>
      </c>
    </row>
    <row r="295" spans="1:7" ht="15" customHeight="1">
      <c r="A295" s="1"/>
      <c r="B295" s="1"/>
      <c r="C295" s="1"/>
      <c r="D295" s="1"/>
      <c r="E295" s="282" t="s">
        <v>302</v>
      </c>
      <c r="F295" s="248"/>
      <c r="G295" s="91">
        <v>1.52</v>
      </c>
    </row>
    <row r="296" spans="1:7" ht="15" customHeight="1">
      <c r="A296" s="281" t="s">
        <v>303</v>
      </c>
      <c r="B296" s="248"/>
      <c r="C296" s="86" t="s">
        <v>4</v>
      </c>
      <c r="D296" s="86" t="s">
        <v>289</v>
      </c>
      <c r="E296" s="86" t="s">
        <v>290</v>
      </c>
      <c r="F296" s="86" t="s">
        <v>291</v>
      </c>
      <c r="G296" s="86" t="s">
        <v>292</v>
      </c>
    </row>
    <row r="297" spans="1:7" ht="15" customHeight="1">
      <c r="A297" s="87" t="s">
        <v>496</v>
      </c>
      <c r="B297" s="88" t="s">
        <v>497</v>
      </c>
      <c r="C297" s="87" t="s">
        <v>10</v>
      </c>
      <c r="D297" s="87" t="s">
        <v>306</v>
      </c>
      <c r="E297" s="89">
        <v>6.5326759999999998E-2</v>
      </c>
      <c r="F297" s="90">
        <v>26.45</v>
      </c>
      <c r="G297" s="90">
        <v>1.72</v>
      </c>
    </row>
    <row r="298" spans="1:7" ht="15" customHeight="1">
      <c r="A298" s="87" t="s">
        <v>307</v>
      </c>
      <c r="B298" s="88" t="s">
        <v>308</v>
      </c>
      <c r="C298" s="87" t="s">
        <v>10</v>
      </c>
      <c r="D298" s="87" t="s">
        <v>306</v>
      </c>
      <c r="E298" s="89">
        <v>2.1901609999999998E-2</v>
      </c>
      <c r="F298" s="90">
        <v>19.97</v>
      </c>
      <c r="G298" s="90">
        <v>0.43</v>
      </c>
    </row>
    <row r="299" spans="1:7" ht="18" customHeight="1">
      <c r="A299" s="1"/>
      <c r="B299" s="1"/>
      <c r="C299" s="1"/>
      <c r="D299" s="1"/>
      <c r="E299" s="282" t="s">
        <v>309</v>
      </c>
      <c r="F299" s="248"/>
      <c r="G299" s="91">
        <v>2.15</v>
      </c>
    </row>
    <row r="300" spans="1:7" ht="15" customHeight="1">
      <c r="A300" s="1"/>
      <c r="B300" s="1"/>
      <c r="C300" s="1"/>
      <c r="D300" s="1"/>
      <c r="E300" s="277" t="s">
        <v>314</v>
      </c>
      <c r="F300" s="248"/>
      <c r="G300" s="2">
        <v>3.67</v>
      </c>
    </row>
    <row r="301" spans="1:7" ht="9.75" customHeight="1">
      <c r="A301" s="1"/>
      <c r="B301" s="1"/>
      <c r="C301" s="1"/>
      <c r="D301" s="1"/>
      <c r="E301" s="278"/>
      <c r="F301" s="279"/>
      <c r="G301" s="279"/>
    </row>
    <row r="302" spans="1:7" ht="19.5" customHeight="1">
      <c r="A302" s="280" t="s">
        <v>498</v>
      </c>
      <c r="B302" s="247"/>
      <c r="C302" s="247"/>
      <c r="D302" s="247"/>
      <c r="E302" s="247"/>
      <c r="F302" s="247"/>
      <c r="G302" s="248"/>
    </row>
    <row r="303" spans="1:7" ht="15" customHeight="1">
      <c r="A303" s="281" t="s">
        <v>288</v>
      </c>
      <c r="B303" s="248"/>
      <c r="C303" s="86" t="s">
        <v>4</v>
      </c>
      <c r="D303" s="86" t="s">
        <v>289</v>
      </c>
      <c r="E303" s="86" t="s">
        <v>290</v>
      </c>
      <c r="F303" s="86" t="s">
        <v>291</v>
      </c>
      <c r="G303" s="86" t="s">
        <v>292</v>
      </c>
    </row>
    <row r="304" spans="1:7" ht="21" customHeight="1">
      <c r="A304" s="87" t="s">
        <v>499</v>
      </c>
      <c r="B304" s="88" t="s">
        <v>500</v>
      </c>
      <c r="C304" s="87" t="s">
        <v>10</v>
      </c>
      <c r="D304" s="87" t="s">
        <v>33</v>
      </c>
      <c r="E304" s="89">
        <v>8.0199999999999994E-2</v>
      </c>
      <c r="F304" s="90">
        <v>0.75</v>
      </c>
      <c r="G304" s="90">
        <v>0.06</v>
      </c>
    </row>
    <row r="305" spans="1:7" ht="21" customHeight="1">
      <c r="A305" s="87" t="s">
        <v>501</v>
      </c>
      <c r="B305" s="88" t="s">
        <v>502</v>
      </c>
      <c r="C305" s="87" t="s">
        <v>10</v>
      </c>
      <c r="D305" s="87" t="s">
        <v>297</v>
      </c>
      <c r="E305" s="89">
        <v>1.3389</v>
      </c>
      <c r="F305" s="90">
        <v>2.2400000000000002</v>
      </c>
      <c r="G305" s="90">
        <v>2.99</v>
      </c>
    </row>
    <row r="306" spans="1:7" ht="15" customHeight="1">
      <c r="A306" s="1"/>
      <c r="B306" s="1"/>
      <c r="C306" s="1"/>
      <c r="D306" s="1"/>
      <c r="E306" s="282" t="s">
        <v>302</v>
      </c>
      <c r="F306" s="248"/>
      <c r="G306" s="91">
        <v>3.05</v>
      </c>
    </row>
    <row r="307" spans="1:7" ht="15" customHeight="1">
      <c r="A307" s="281" t="s">
        <v>303</v>
      </c>
      <c r="B307" s="248"/>
      <c r="C307" s="86" t="s">
        <v>4</v>
      </c>
      <c r="D307" s="86" t="s">
        <v>289</v>
      </c>
      <c r="E307" s="86" t="s">
        <v>290</v>
      </c>
      <c r="F307" s="86" t="s">
        <v>291</v>
      </c>
      <c r="G307" s="86" t="s">
        <v>292</v>
      </c>
    </row>
    <row r="308" spans="1:7" ht="15" customHeight="1">
      <c r="A308" s="87" t="s">
        <v>496</v>
      </c>
      <c r="B308" s="88" t="s">
        <v>497</v>
      </c>
      <c r="C308" s="87" t="s">
        <v>10</v>
      </c>
      <c r="D308" s="87" t="s">
        <v>306</v>
      </c>
      <c r="E308" s="89">
        <v>0.35195215000000002</v>
      </c>
      <c r="F308" s="90">
        <v>26.45</v>
      </c>
      <c r="G308" s="90">
        <v>9.3000000000000007</v>
      </c>
    </row>
    <row r="309" spans="1:7" ht="15" customHeight="1">
      <c r="A309" s="87" t="s">
        <v>307</v>
      </c>
      <c r="B309" s="88" t="s">
        <v>308</v>
      </c>
      <c r="C309" s="87" t="s">
        <v>10</v>
      </c>
      <c r="D309" s="87" t="s">
        <v>306</v>
      </c>
      <c r="E309" s="89">
        <v>0.11741087</v>
      </c>
      <c r="F309" s="90">
        <v>19.97</v>
      </c>
      <c r="G309" s="90">
        <v>2.34</v>
      </c>
    </row>
    <row r="310" spans="1:7" ht="18" customHeight="1">
      <c r="A310" s="1"/>
      <c r="B310" s="1"/>
      <c r="C310" s="1"/>
      <c r="D310" s="1"/>
      <c r="E310" s="282" t="s">
        <v>309</v>
      </c>
      <c r="F310" s="248"/>
      <c r="G310" s="91">
        <v>11.64</v>
      </c>
    </row>
    <row r="311" spans="1:7" ht="15" customHeight="1">
      <c r="A311" s="1"/>
      <c r="B311" s="1"/>
      <c r="C311" s="1"/>
      <c r="D311" s="1"/>
      <c r="E311" s="277" t="s">
        <v>314</v>
      </c>
      <c r="F311" s="248"/>
      <c r="G311" s="2">
        <v>14.69</v>
      </c>
    </row>
    <row r="312" spans="1:7" ht="9.75" customHeight="1">
      <c r="A312" s="1"/>
      <c r="B312" s="1"/>
      <c r="C312" s="1"/>
      <c r="D312" s="1"/>
      <c r="E312" s="278"/>
      <c r="F312" s="279"/>
      <c r="G312" s="279"/>
    </row>
    <row r="313" spans="1:7" ht="19.5" customHeight="1">
      <c r="A313" s="280" t="s">
        <v>503</v>
      </c>
      <c r="B313" s="247"/>
      <c r="C313" s="247"/>
      <c r="D313" s="247"/>
      <c r="E313" s="247"/>
      <c r="F313" s="247"/>
      <c r="G313" s="248"/>
    </row>
    <row r="314" spans="1:7" ht="15" customHeight="1">
      <c r="A314" s="281" t="s">
        <v>288</v>
      </c>
      <c r="B314" s="248"/>
      <c r="C314" s="86" t="s">
        <v>4</v>
      </c>
      <c r="D314" s="86" t="s">
        <v>289</v>
      </c>
      <c r="E314" s="86" t="s">
        <v>290</v>
      </c>
      <c r="F314" s="86" t="s">
        <v>291</v>
      </c>
      <c r="G314" s="86" t="s">
        <v>292</v>
      </c>
    </row>
    <row r="315" spans="1:7" ht="15" customHeight="1">
      <c r="A315" s="87" t="s">
        <v>332</v>
      </c>
      <c r="B315" s="88" t="s">
        <v>333</v>
      </c>
      <c r="C315" s="87" t="s">
        <v>10</v>
      </c>
      <c r="D315" s="87" t="s">
        <v>334</v>
      </c>
      <c r="E315" s="89">
        <v>0.22850000000000001</v>
      </c>
      <c r="F315" s="90">
        <v>30.26</v>
      </c>
      <c r="G315" s="90">
        <v>6.91</v>
      </c>
    </row>
    <row r="316" spans="1:7" ht="15" customHeight="1">
      <c r="A316" s="1"/>
      <c r="B316" s="1"/>
      <c r="C316" s="1"/>
      <c r="D316" s="1"/>
      <c r="E316" s="282" t="s">
        <v>302</v>
      </c>
      <c r="F316" s="248"/>
      <c r="G316" s="91">
        <v>6.91</v>
      </c>
    </row>
    <row r="317" spans="1:7" ht="15" customHeight="1">
      <c r="A317" s="281" t="s">
        <v>303</v>
      </c>
      <c r="B317" s="248"/>
      <c r="C317" s="86" t="s">
        <v>4</v>
      </c>
      <c r="D317" s="86" t="s">
        <v>289</v>
      </c>
      <c r="E317" s="86" t="s">
        <v>290</v>
      </c>
      <c r="F317" s="86" t="s">
        <v>291</v>
      </c>
      <c r="G317" s="86" t="s">
        <v>292</v>
      </c>
    </row>
    <row r="318" spans="1:7" ht="15" customHeight="1">
      <c r="A318" s="87" t="s">
        <v>496</v>
      </c>
      <c r="B318" s="88" t="s">
        <v>497</v>
      </c>
      <c r="C318" s="87" t="s">
        <v>10</v>
      </c>
      <c r="D318" s="87" t="s">
        <v>306</v>
      </c>
      <c r="E318" s="89">
        <v>0.15953949000000001</v>
      </c>
      <c r="F318" s="90">
        <v>26.45</v>
      </c>
      <c r="G318" s="90">
        <v>4.21</v>
      </c>
    </row>
    <row r="319" spans="1:7" ht="15" customHeight="1">
      <c r="A319" s="87" t="s">
        <v>307</v>
      </c>
      <c r="B319" s="88" t="s">
        <v>308</v>
      </c>
      <c r="C319" s="87" t="s">
        <v>10</v>
      </c>
      <c r="D319" s="87" t="s">
        <v>306</v>
      </c>
      <c r="E319" s="89">
        <v>5.2837780000000001E-2</v>
      </c>
      <c r="F319" s="90">
        <v>19.97</v>
      </c>
      <c r="G319" s="90">
        <v>1.05</v>
      </c>
    </row>
    <row r="320" spans="1:7" ht="18" customHeight="1">
      <c r="A320" s="1"/>
      <c r="B320" s="1"/>
      <c r="C320" s="1"/>
      <c r="D320" s="1"/>
      <c r="E320" s="282" t="s">
        <v>309</v>
      </c>
      <c r="F320" s="248"/>
      <c r="G320" s="91">
        <v>5.26</v>
      </c>
    </row>
    <row r="321" spans="1:7" ht="15" customHeight="1">
      <c r="A321" s="1"/>
      <c r="B321" s="1"/>
      <c r="C321" s="1"/>
      <c r="D321" s="1"/>
      <c r="E321" s="277" t="s">
        <v>314</v>
      </c>
      <c r="F321" s="248"/>
      <c r="G321" s="2">
        <v>12.17</v>
      </c>
    </row>
    <row r="322" spans="1:7" ht="9.75" customHeight="1">
      <c r="A322" s="1"/>
      <c r="B322" s="1"/>
      <c r="C322" s="1"/>
      <c r="D322" s="1"/>
      <c r="E322" s="278"/>
      <c r="F322" s="279"/>
      <c r="G322" s="279"/>
    </row>
    <row r="323" spans="1:7" ht="19.5" customHeight="1">
      <c r="A323" s="280" t="s">
        <v>504</v>
      </c>
      <c r="B323" s="247"/>
      <c r="C323" s="247"/>
      <c r="D323" s="247"/>
      <c r="E323" s="247"/>
      <c r="F323" s="247"/>
      <c r="G323" s="248"/>
    </row>
    <row r="324" spans="1:7" ht="15" customHeight="1">
      <c r="A324" s="281" t="s">
        <v>288</v>
      </c>
      <c r="B324" s="248"/>
      <c r="C324" s="86" t="s">
        <v>4</v>
      </c>
      <c r="D324" s="86" t="s">
        <v>289</v>
      </c>
      <c r="E324" s="86" t="s">
        <v>290</v>
      </c>
      <c r="F324" s="86" t="s">
        <v>291</v>
      </c>
      <c r="G324" s="86" t="s">
        <v>292</v>
      </c>
    </row>
    <row r="325" spans="1:7" ht="15" customHeight="1">
      <c r="A325" s="87" t="s">
        <v>332</v>
      </c>
      <c r="B325" s="88" t="s">
        <v>333</v>
      </c>
      <c r="C325" s="87" t="s">
        <v>10</v>
      </c>
      <c r="D325" s="87" t="s">
        <v>334</v>
      </c>
      <c r="E325" s="89">
        <v>0.22850000000000001</v>
      </c>
      <c r="F325" s="90">
        <v>30.26</v>
      </c>
      <c r="G325" s="90">
        <v>6.91</v>
      </c>
    </row>
    <row r="326" spans="1:7" ht="15" customHeight="1">
      <c r="A326" s="1"/>
      <c r="B326" s="1"/>
      <c r="C326" s="1"/>
      <c r="D326" s="1"/>
      <c r="E326" s="282" t="s">
        <v>302</v>
      </c>
      <c r="F326" s="248"/>
      <c r="G326" s="91">
        <v>6.91</v>
      </c>
    </row>
    <row r="327" spans="1:7" ht="15" customHeight="1">
      <c r="A327" s="281" t="s">
        <v>303</v>
      </c>
      <c r="B327" s="248"/>
      <c r="C327" s="86" t="s">
        <v>4</v>
      </c>
      <c r="D327" s="86" t="s">
        <v>289</v>
      </c>
      <c r="E327" s="86" t="s">
        <v>290</v>
      </c>
      <c r="F327" s="86" t="s">
        <v>291</v>
      </c>
      <c r="G327" s="86" t="s">
        <v>292</v>
      </c>
    </row>
    <row r="328" spans="1:7" ht="15" customHeight="1">
      <c r="A328" s="87" t="s">
        <v>496</v>
      </c>
      <c r="B328" s="88" t="s">
        <v>497</v>
      </c>
      <c r="C328" s="87" t="s">
        <v>10</v>
      </c>
      <c r="D328" s="87" t="s">
        <v>306</v>
      </c>
      <c r="E328" s="89">
        <v>0.22180512999999999</v>
      </c>
      <c r="F328" s="90">
        <v>26.45</v>
      </c>
      <c r="G328" s="90">
        <v>5.86</v>
      </c>
    </row>
    <row r="329" spans="1:7" ht="15" customHeight="1">
      <c r="A329" s="87" t="s">
        <v>307</v>
      </c>
      <c r="B329" s="88" t="s">
        <v>308</v>
      </c>
      <c r="C329" s="87" t="s">
        <v>10</v>
      </c>
      <c r="D329" s="87" t="s">
        <v>306</v>
      </c>
      <c r="E329" s="89">
        <v>7.3967610000000003E-2</v>
      </c>
      <c r="F329" s="90">
        <v>19.97</v>
      </c>
      <c r="G329" s="90">
        <v>1.47</v>
      </c>
    </row>
    <row r="330" spans="1:7" ht="18" customHeight="1">
      <c r="A330" s="1"/>
      <c r="B330" s="1"/>
      <c r="C330" s="1"/>
      <c r="D330" s="1"/>
      <c r="E330" s="282" t="s">
        <v>309</v>
      </c>
      <c r="F330" s="248"/>
      <c r="G330" s="91">
        <v>7.33</v>
      </c>
    </row>
    <row r="331" spans="1:7" ht="15" customHeight="1">
      <c r="A331" s="1"/>
      <c r="B331" s="1"/>
      <c r="C331" s="1"/>
      <c r="D331" s="1"/>
      <c r="E331" s="277" t="s">
        <v>314</v>
      </c>
      <c r="F331" s="248"/>
      <c r="G331" s="2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</mergeCells>
  <pageMargins left="0.5" right="0.5" top="0.5" bottom="0.5" header="0" footer="0"/>
  <pageSetup paperSize="9" scale="8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53125" defaultRowHeight="15" customHeight="1"/>
  <cols>
    <col min="1" max="1" width="9.26953125" customWidth="1"/>
    <col min="2" max="2" width="34.7265625" customWidth="1"/>
    <col min="3" max="3" width="13.7265625" customWidth="1"/>
    <col min="4" max="6" width="11.81640625" customWidth="1"/>
    <col min="7" max="7" width="12.1796875" customWidth="1"/>
    <col min="8" max="8" width="9.7265625" customWidth="1"/>
    <col min="9" max="26" width="8.7265625" customWidth="1"/>
  </cols>
  <sheetData>
    <row r="1" spans="1:8" ht="69.75" customHeight="1">
      <c r="A1" s="284"/>
      <c r="B1" s="262"/>
      <c r="C1" s="262"/>
      <c r="D1" s="262"/>
      <c r="E1" s="262"/>
      <c r="F1" s="262"/>
      <c r="G1" s="262"/>
      <c r="H1" s="1"/>
    </row>
    <row r="2" spans="1:8" ht="15.75" customHeight="1">
      <c r="A2" s="92" t="s">
        <v>1</v>
      </c>
      <c r="B2" s="92" t="s">
        <v>3</v>
      </c>
      <c r="C2" s="92" t="s">
        <v>505</v>
      </c>
      <c r="D2" s="92" t="s">
        <v>506</v>
      </c>
      <c r="E2" s="92" t="s">
        <v>507</v>
      </c>
      <c r="F2" s="92" t="s">
        <v>508</v>
      </c>
      <c r="G2" s="93" t="s">
        <v>509</v>
      </c>
      <c r="H2" s="1"/>
    </row>
    <row r="3" spans="1:8" ht="12" customHeight="1">
      <c r="A3" s="285" t="s">
        <v>7</v>
      </c>
      <c r="B3" s="287" t="s">
        <v>8</v>
      </c>
      <c r="C3" s="288">
        <v>7571.29</v>
      </c>
      <c r="D3" s="94">
        <v>1</v>
      </c>
      <c r="E3" s="95"/>
      <c r="F3" s="95"/>
      <c r="G3" s="96">
        <v>1</v>
      </c>
      <c r="H3" s="1"/>
    </row>
    <row r="4" spans="1:8" ht="12.75" customHeight="1">
      <c r="A4" s="286"/>
      <c r="B4" s="286"/>
      <c r="C4" s="286"/>
      <c r="D4" s="97">
        <v>7571.29</v>
      </c>
      <c r="E4" s="98"/>
      <c r="F4" s="98"/>
      <c r="G4" s="99">
        <v>7571.29</v>
      </c>
      <c r="H4" s="1"/>
    </row>
    <row r="5" spans="1:8" ht="12" customHeight="1">
      <c r="A5" s="285" t="s">
        <v>18</v>
      </c>
      <c r="B5" s="287" t="s">
        <v>19</v>
      </c>
      <c r="C5" s="288">
        <v>10522.33</v>
      </c>
      <c r="D5" s="94">
        <v>1</v>
      </c>
      <c r="E5" s="95"/>
      <c r="F5" s="95"/>
      <c r="G5" s="96">
        <v>1</v>
      </c>
      <c r="H5" s="1"/>
    </row>
    <row r="6" spans="1:8" ht="12.75" customHeight="1">
      <c r="A6" s="286"/>
      <c r="B6" s="286"/>
      <c r="C6" s="286"/>
      <c r="D6" s="97">
        <v>10522.33</v>
      </c>
      <c r="E6" s="98"/>
      <c r="F6" s="98"/>
      <c r="G6" s="99">
        <v>10522.33</v>
      </c>
      <c r="H6" s="1"/>
    </row>
    <row r="7" spans="1:8" ht="12" customHeight="1">
      <c r="A7" s="285" t="s">
        <v>23</v>
      </c>
      <c r="B7" s="287" t="s">
        <v>24</v>
      </c>
      <c r="C7" s="288">
        <v>11488.43</v>
      </c>
      <c r="D7" s="94">
        <v>1</v>
      </c>
      <c r="E7" s="95"/>
      <c r="F7" s="95"/>
      <c r="G7" s="96">
        <v>1</v>
      </c>
      <c r="H7" s="1"/>
    </row>
    <row r="8" spans="1:8" ht="12.75" customHeight="1">
      <c r="A8" s="286"/>
      <c r="B8" s="286"/>
      <c r="C8" s="286"/>
      <c r="D8" s="97">
        <v>11488.43</v>
      </c>
      <c r="E8" s="98"/>
      <c r="F8" s="98"/>
      <c r="G8" s="99">
        <v>11488.43</v>
      </c>
      <c r="H8" s="1"/>
    </row>
    <row r="9" spans="1:8" ht="12" customHeight="1">
      <c r="A9" s="285" t="s">
        <v>30</v>
      </c>
      <c r="B9" s="287" t="s">
        <v>31</v>
      </c>
      <c r="C9" s="288">
        <v>2980.11</v>
      </c>
      <c r="D9" s="95"/>
      <c r="E9" s="94">
        <v>1</v>
      </c>
      <c r="F9" s="95"/>
      <c r="G9" s="96">
        <v>1</v>
      </c>
      <c r="H9" s="1"/>
    </row>
    <row r="10" spans="1:8" ht="12.75" customHeight="1">
      <c r="A10" s="286"/>
      <c r="B10" s="286"/>
      <c r="C10" s="286"/>
      <c r="D10" s="98"/>
      <c r="E10" s="97">
        <v>2980.11</v>
      </c>
      <c r="F10" s="98"/>
      <c r="G10" s="99">
        <v>2980.11</v>
      </c>
      <c r="H10" s="1"/>
    </row>
    <row r="11" spans="1:8" ht="12" customHeight="1">
      <c r="A11" s="285" t="s">
        <v>34</v>
      </c>
      <c r="B11" s="287" t="s">
        <v>35</v>
      </c>
      <c r="C11" s="288">
        <v>3147.13</v>
      </c>
      <c r="D11" s="95"/>
      <c r="E11" s="94">
        <v>1</v>
      </c>
      <c r="F11" s="95"/>
      <c r="G11" s="96">
        <v>1</v>
      </c>
      <c r="H11" s="1"/>
    </row>
    <row r="12" spans="1:8" ht="12.75" customHeight="1">
      <c r="A12" s="286"/>
      <c r="B12" s="286"/>
      <c r="C12" s="286"/>
      <c r="D12" s="98"/>
      <c r="E12" s="97">
        <v>3147.13</v>
      </c>
      <c r="F12" s="98"/>
      <c r="G12" s="99">
        <v>3147.13</v>
      </c>
      <c r="H12" s="1"/>
    </row>
    <row r="13" spans="1:8" ht="12" customHeight="1">
      <c r="A13" s="285" t="s">
        <v>40</v>
      </c>
      <c r="B13" s="287" t="s">
        <v>41</v>
      </c>
      <c r="C13" s="288">
        <v>45980.53</v>
      </c>
      <c r="D13" s="95"/>
      <c r="E13" s="94">
        <v>1</v>
      </c>
      <c r="F13" s="95"/>
      <c r="G13" s="96">
        <v>1</v>
      </c>
      <c r="H13" s="1"/>
    </row>
    <row r="14" spans="1:8" ht="12.75" customHeight="1">
      <c r="A14" s="286"/>
      <c r="B14" s="286"/>
      <c r="C14" s="286"/>
      <c r="D14" s="98"/>
      <c r="E14" s="97">
        <v>45980.53</v>
      </c>
      <c r="F14" s="98"/>
      <c r="G14" s="99">
        <v>45980.53</v>
      </c>
      <c r="H14" s="1"/>
    </row>
    <row r="15" spans="1:8" ht="12" customHeight="1">
      <c r="A15" s="285" t="s">
        <v>45</v>
      </c>
      <c r="B15" s="287" t="s">
        <v>46</v>
      </c>
      <c r="C15" s="288">
        <v>2750.12</v>
      </c>
      <c r="D15" s="95"/>
      <c r="E15" s="95"/>
      <c r="F15" s="94">
        <v>1</v>
      </c>
      <c r="G15" s="96">
        <v>1</v>
      </c>
      <c r="H15" s="1"/>
    </row>
    <row r="16" spans="1:8" ht="12.75" customHeight="1">
      <c r="A16" s="286"/>
      <c r="B16" s="286"/>
      <c r="C16" s="286"/>
      <c r="D16" s="98"/>
      <c r="E16" s="98"/>
      <c r="F16" s="97">
        <v>2750.12</v>
      </c>
      <c r="G16" s="99">
        <v>2750.12</v>
      </c>
      <c r="H16" s="1"/>
    </row>
    <row r="17" spans="1:8" ht="12" customHeight="1">
      <c r="A17" s="285" t="s">
        <v>50</v>
      </c>
      <c r="B17" s="287" t="s">
        <v>51</v>
      </c>
      <c r="C17" s="288">
        <v>14897.97</v>
      </c>
      <c r="D17" s="95"/>
      <c r="E17" s="95"/>
      <c r="F17" s="94">
        <v>1</v>
      </c>
      <c r="G17" s="96">
        <v>1</v>
      </c>
      <c r="H17" s="1"/>
    </row>
    <row r="18" spans="1:8" ht="12.75" customHeight="1">
      <c r="A18" s="286"/>
      <c r="B18" s="286"/>
      <c r="C18" s="286"/>
      <c r="D18" s="98"/>
      <c r="E18" s="98"/>
      <c r="F18" s="97">
        <v>14897.97</v>
      </c>
      <c r="G18" s="99">
        <v>14897.97</v>
      </c>
      <c r="H18" s="1"/>
    </row>
    <row r="19" spans="1:8" ht="12" customHeight="1">
      <c r="A19" s="285" t="s">
        <v>57</v>
      </c>
      <c r="B19" s="287" t="s">
        <v>58</v>
      </c>
      <c r="C19" s="288">
        <v>11593.36</v>
      </c>
      <c r="D19" s="95"/>
      <c r="E19" s="95"/>
      <c r="F19" s="94">
        <v>1</v>
      </c>
      <c r="G19" s="96">
        <v>1</v>
      </c>
      <c r="H19" s="1"/>
    </row>
    <row r="20" spans="1:8" ht="12.75" customHeight="1">
      <c r="A20" s="286"/>
      <c r="B20" s="286"/>
      <c r="C20" s="286"/>
      <c r="D20" s="98"/>
      <c r="E20" s="98"/>
      <c r="F20" s="97">
        <v>11593.36</v>
      </c>
      <c r="G20" s="99">
        <v>11593.36</v>
      </c>
      <c r="H20" s="1"/>
    </row>
    <row r="21" spans="1:8" ht="12" customHeight="1">
      <c r="A21" s="100"/>
      <c r="B21" s="101"/>
      <c r="C21" s="289">
        <v>110931.27</v>
      </c>
      <c r="D21" s="102">
        <v>29582.05</v>
      </c>
      <c r="E21" s="102">
        <v>52107.77</v>
      </c>
      <c r="F21" s="102">
        <v>29241.45</v>
      </c>
      <c r="G21" s="291">
        <v>110931.27</v>
      </c>
      <c r="H21" s="1"/>
    </row>
    <row r="22" spans="1:8" ht="12.75" customHeight="1">
      <c r="A22" s="103"/>
      <c r="B22" s="104"/>
      <c r="C22" s="290"/>
      <c r="D22" s="97">
        <v>29582.05</v>
      </c>
      <c r="E22" s="97">
        <v>81689.820000000007</v>
      </c>
      <c r="F22" s="97">
        <v>110931.27</v>
      </c>
      <c r="G22" s="286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A1:G1"/>
    <mergeCell ref="A3:A4"/>
    <mergeCell ref="B3:B4"/>
    <mergeCell ref="C3:C4"/>
    <mergeCell ref="A5:A6"/>
    <mergeCell ref="B5:B6"/>
    <mergeCell ref="C5:C6"/>
  </mergeCells>
  <pageMargins left="0.5" right="0.5" top="0.5" bottom="0.5" header="0" footer="0"/>
  <pageSetup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53125" defaultRowHeight="15" customHeight="1"/>
  <cols>
    <col min="1" max="1" width="9.26953125" customWidth="1"/>
    <col min="2" max="2" width="60.26953125" customWidth="1"/>
    <col min="3" max="3" width="8.26953125" customWidth="1"/>
    <col min="4" max="4" width="37.453125" customWidth="1"/>
    <col min="5" max="26" width="8.7265625" customWidth="1"/>
  </cols>
  <sheetData>
    <row r="1" spans="1:4" ht="14.5">
      <c r="A1" s="292" t="s">
        <v>510</v>
      </c>
      <c r="B1" s="247"/>
      <c r="C1" s="248"/>
      <c r="D1" s="1"/>
    </row>
    <row r="2" spans="1:4" ht="12" customHeight="1">
      <c r="A2" s="105"/>
      <c r="B2" s="106" t="s">
        <v>0</v>
      </c>
      <c r="C2" s="106"/>
      <c r="D2" s="107"/>
    </row>
    <row r="3" spans="1:4" ht="15" customHeight="1">
      <c r="A3" s="108" t="s">
        <v>511</v>
      </c>
      <c r="B3" s="108" t="s">
        <v>3</v>
      </c>
      <c r="C3" s="108" t="s">
        <v>512</v>
      </c>
      <c r="D3" s="1"/>
    </row>
    <row r="4" spans="1:4" ht="12.75" customHeight="1">
      <c r="A4" s="105"/>
      <c r="B4" s="109" t="s">
        <v>513</v>
      </c>
      <c r="C4" s="105"/>
      <c r="D4" s="1"/>
    </row>
    <row r="5" spans="1:4" ht="12.75" customHeight="1">
      <c r="A5" s="110" t="s">
        <v>514</v>
      </c>
      <c r="B5" s="111" t="s">
        <v>515</v>
      </c>
      <c r="C5" s="112">
        <v>0.8</v>
      </c>
      <c r="D5" s="1"/>
    </row>
    <row r="6" spans="1:4" ht="12.75" customHeight="1">
      <c r="A6" s="110" t="s">
        <v>334</v>
      </c>
      <c r="B6" s="111" t="s">
        <v>516</v>
      </c>
      <c r="C6" s="112">
        <v>6.6</v>
      </c>
      <c r="D6" s="1"/>
    </row>
    <row r="7" spans="1:4" ht="15" customHeight="1">
      <c r="A7" s="105"/>
      <c r="B7" s="113" t="s">
        <v>292</v>
      </c>
      <c r="C7" s="114">
        <v>7.3999999999999995</v>
      </c>
      <c r="D7" s="1"/>
    </row>
    <row r="8" spans="1:4" ht="12.75" customHeight="1">
      <c r="A8" s="105"/>
      <c r="B8" s="109" t="s">
        <v>517</v>
      </c>
      <c r="C8" s="105"/>
      <c r="D8" s="1"/>
    </row>
    <row r="9" spans="1:4" ht="12.75" customHeight="1">
      <c r="A9" s="110" t="s">
        <v>518</v>
      </c>
      <c r="B9" s="111" t="s">
        <v>519</v>
      </c>
      <c r="C9" s="112">
        <v>3</v>
      </c>
      <c r="D9" s="1"/>
    </row>
    <row r="10" spans="1:4" ht="12.75" customHeight="1">
      <c r="A10" s="110" t="s">
        <v>520</v>
      </c>
      <c r="B10" s="111" t="s">
        <v>521</v>
      </c>
      <c r="C10" s="112">
        <v>1.23</v>
      </c>
      <c r="D10" s="1"/>
    </row>
    <row r="11" spans="1:4" ht="12.75" customHeight="1">
      <c r="A11" s="110" t="s">
        <v>522</v>
      </c>
      <c r="B11" s="111" t="s">
        <v>523</v>
      </c>
      <c r="C11" s="112">
        <v>0.97</v>
      </c>
      <c r="D11" s="1"/>
    </row>
    <row r="12" spans="1:4" ht="15" customHeight="1">
      <c r="A12" s="105"/>
      <c r="B12" s="113" t="s">
        <v>292</v>
      </c>
      <c r="C12" s="114">
        <v>5.2</v>
      </c>
      <c r="D12" s="1"/>
    </row>
    <row r="13" spans="1:4" ht="12.75" customHeight="1">
      <c r="A13" s="115" t="s">
        <v>524</v>
      </c>
      <c r="B13" s="109" t="s">
        <v>525</v>
      </c>
      <c r="C13" s="105"/>
      <c r="D13" s="1"/>
    </row>
    <row r="14" spans="1:4" ht="12.75" customHeight="1">
      <c r="A14" s="110"/>
      <c r="B14" s="111" t="s">
        <v>526</v>
      </c>
      <c r="C14" s="112">
        <v>6.15</v>
      </c>
      <c r="D14" s="1"/>
    </row>
    <row r="15" spans="1:4" ht="15" customHeight="1">
      <c r="A15" s="105"/>
      <c r="B15" s="113" t="s">
        <v>292</v>
      </c>
      <c r="C15" s="114">
        <v>6.15</v>
      </c>
      <c r="D15" s="1"/>
    </row>
    <row r="16" spans="1:4" ht="25.5" customHeight="1">
      <c r="A16" s="105"/>
      <c r="B16" s="293" t="s">
        <v>527</v>
      </c>
      <c r="C16" s="248"/>
      <c r="D16" s="1"/>
    </row>
    <row r="17" spans="1:4" ht="43.5" customHeight="1">
      <c r="A17" s="105"/>
      <c r="B17" s="294"/>
      <c r="C17" s="248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9.26953125" customWidth="1"/>
    <col min="2" max="2" width="68.7265625" customWidth="1"/>
    <col min="3" max="3" width="8.81640625" customWidth="1"/>
    <col min="4" max="4" width="2.453125" customWidth="1"/>
    <col min="5" max="5" width="7.7265625" customWidth="1"/>
    <col min="6" max="6" width="3.7265625" customWidth="1"/>
    <col min="7" max="7" width="14.453125" customWidth="1"/>
    <col min="8" max="26" width="8.7265625" customWidth="1"/>
  </cols>
  <sheetData>
    <row r="1" spans="1:7" ht="14.5">
      <c r="A1" s="292" t="s">
        <v>528</v>
      </c>
      <c r="B1" s="247"/>
      <c r="C1" s="247"/>
      <c r="D1" s="247"/>
      <c r="E1" s="247"/>
      <c r="F1" s="248"/>
      <c r="G1" s="1"/>
    </row>
    <row r="2" spans="1:7" ht="12" customHeight="1">
      <c r="A2" s="105"/>
      <c r="B2" s="297" t="s">
        <v>0</v>
      </c>
      <c r="C2" s="247"/>
      <c r="D2" s="247"/>
      <c r="E2" s="248"/>
      <c r="F2" s="105"/>
      <c r="G2" s="1"/>
    </row>
    <row r="3" spans="1:7" ht="15" customHeight="1">
      <c r="A3" s="108" t="s">
        <v>511</v>
      </c>
      <c r="B3" s="108" t="s">
        <v>3</v>
      </c>
      <c r="C3" s="299" t="s">
        <v>529</v>
      </c>
      <c r="D3" s="248"/>
      <c r="E3" s="299" t="s">
        <v>530</v>
      </c>
      <c r="F3" s="248"/>
      <c r="G3" s="1"/>
    </row>
    <row r="4" spans="1:7" ht="12" customHeight="1">
      <c r="A4" s="105"/>
      <c r="B4" s="297" t="s">
        <v>0</v>
      </c>
      <c r="C4" s="248"/>
      <c r="D4" s="105"/>
      <c r="E4" s="105"/>
      <c r="F4" s="105"/>
      <c r="G4" s="1"/>
    </row>
    <row r="5" spans="1:7" ht="12.75" customHeight="1">
      <c r="A5" s="115" t="s">
        <v>531</v>
      </c>
      <c r="B5" s="109" t="s">
        <v>532</v>
      </c>
      <c r="C5" s="105"/>
      <c r="D5" s="105"/>
      <c r="E5" s="105"/>
      <c r="F5" s="105"/>
      <c r="G5" s="1"/>
    </row>
    <row r="6" spans="1:7" ht="12.75" customHeight="1">
      <c r="A6" s="110" t="s">
        <v>533</v>
      </c>
      <c r="B6" s="111" t="s">
        <v>534</v>
      </c>
      <c r="C6" s="295">
        <v>20</v>
      </c>
      <c r="D6" s="248"/>
      <c r="E6" s="300">
        <v>20</v>
      </c>
      <c r="F6" s="248"/>
      <c r="G6" s="1"/>
    </row>
    <row r="7" spans="1:7" ht="12.75" customHeight="1">
      <c r="A7" s="110" t="s">
        <v>535</v>
      </c>
      <c r="B7" s="111" t="s">
        <v>536</v>
      </c>
      <c r="C7" s="295">
        <v>1.5</v>
      </c>
      <c r="D7" s="248"/>
      <c r="E7" s="300">
        <v>1.5</v>
      </c>
      <c r="F7" s="248"/>
      <c r="G7" s="1"/>
    </row>
    <row r="8" spans="1:7" ht="12.75" customHeight="1">
      <c r="A8" s="110" t="s">
        <v>537</v>
      </c>
      <c r="B8" s="111" t="s">
        <v>538</v>
      </c>
      <c r="C8" s="295">
        <v>1</v>
      </c>
      <c r="D8" s="248"/>
      <c r="E8" s="300">
        <v>1</v>
      </c>
      <c r="F8" s="248"/>
      <c r="G8" s="1"/>
    </row>
    <row r="9" spans="1:7" ht="12.75" customHeight="1">
      <c r="A9" s="110" t="s">
        <v>539</v>
      </c>
      <c r="B9" s="111" t="s">
        <v>540</v>
      </c>
      <c r="C9" s="295">
        <v>0.2</v>
      </c>
      <c r="D9" s="248"/>
      <c r="E9" s="300">
        <v>0.2</v>
      </c>
      <c r="F9" s="248"/>
      <c r="G9" s="1"/>
    </row>
    <row r="10" spans="1:7" ht="12.75" customHeight="1">
      <c r="A10" s="110" t="s">
        <v>541</v>
      </c>
      <c r="B10" s="111" t="s">
        <v>542</v>
      </c>
      <c r="C10" s="295">
        <v>0.6</v>
      </c>
      <c r="D10" s="248"/>
      <c r="E10" s="300">
        <v>0.6</v>
      </c>
      <c r="F10" s="248"/>
      <c r="G10" s="1"/>
    </row>
    <row r="11" spans="1:7" ht="12.75" customHeight="1">
      <c r="A11" s="110" t="s">
        <v>543</v>
      </c>
      <c r="B11" s="111" t="s">
        <v>544</v>
      </c>
      <c r="C11" s="295">
        <v>2.5</v>
      </c>
      <c r="D11" s="248"/>
      <c r="E11" s="300">
        <v>2.5</v>
      </c>
      <c r="F11" s="248"/>
      <c r="G11" s="1"/>
    </row>
    <row r="12" spans="1:7" ht="12.75" customHeight="1">
      <c r="A12" s="110" t="s">
        <v>545</v>
      </c>
      <c r="B12" s="111" t="s">
        <v>546</v>
      </c>
      <c r="C12" s="295">
        <v>3</v>
      </c>
      <c r="D12" s="248"/>
      <c r="E12" s="300">
        <v>3</v>
      </c>
      <c r="F12" s="248"/>
      <c r="G12" s="1"/>
    </row>
    <row r="13" spans="1:7" ht="12.75" customHeight="1">
      <c r="A13" s="110" t="s">
        <v>547</v>
      </c>
      <c r="B13" s="111" t="s">
        <v>548</v>
      </c>
      <c r="C13" s="295">
        <v>8</v>
      </c>
      <c r="D13" s="248"/>
      <c r="E13" s="300">
        <v>8</v>
      </c>
      <c r="F13" s="248"/>
      <c r="G13" s="1"/>
    </row>
    <row r="14" spans="1:7" ht="12.75" customHeight="1">
      <c r="A14" s="110" t="s">
        <v>549</v>
      </c>
      <c r="B14" s="111" t="s">
        <v>550</v>
      </c>
      <c r="C14" s="295">
        <v>0</v>
      </c>
      <c r="D14" s="248"/>
      <c r="E14" s="300">
        <v>0</v>
      </c>
      <c r="F14" s="248"/>
      <c r="G14" s="1"/>
    </row>
    <row r="15" spans="1:7" ht="15" customHeight="1">
      <c r="A15" s="105"/>
      <c r="B15" s="113" t="s">
        <v>292</v>
      </c>
      <c r="C15" s="296">
        <v>36.799999999999997</v>
      </c>
      <c r="D15" s="248"/>
      <c r="E15" s="296">
        <v>36.799999999999997</v>
      </c>
      <c r="F15" s="248"/>
      <c r="G15" s="1"/>
    </row>
    <row r="16" spans="1:7" ht="12" customHeight="1">
      <c r="A16" s="105"/>
      <c r="B16" s="297" t="s">
        <v>0</v>
      </c>
      <c r="C16" s="248"/>
      <c r="D16" s="105"/>
      <c r="E16" s="105"/>
      <c r="F16" s="105"/>
      <c r="G16" s="1"/>
    </row>
    <row r="17" spans="1:7" ht="12.75" customHeight="1">
      <c r="A17" s="115" t="s">
        <v>551</v>
      </c>
      <c r="B17" s="109" t="s">
        <v>552</v>
      </c>
      <c r="C17" s="105"/>
      <c r="D17" s="105"/>
      <c r="E17" s="105"/>
      <c r="F17" s="105"/>
      <c r="G17" s="1"/>
    </row>
    <row r="18" spans="1:7" ht="12.75" customHeight="1">
      <c r="A18" s="110" t="s">
        <v>553</v>
      </c>
      <c r="B18" s="111" t="s">
        <v>554</v>
      </c>
      <c r="C18" s="295">
        <v>18.03</v>
      </c>
      <c r="D18" s="248"/>
      <c r="E18" s="300">
        <v>0</v>
      </c>
      <c r="F18" s="248"/>
      <c r="G18" s="1"/>
    </row>
    <row r="19" spans="1:7" ht="12.75" customHeight="1">
      <c r="A19" s="110" t="s">
        <v>555</v>
      </c>
      <c r="B19" s="111" t="s">
        <v>556</v>
      </c>
      <c r="C19" s="295">
        <v>4.3099999999999996</v>
      </c>
      <c r="D19" s="248"/>
      <c r="E19" s="300">
        <v>0</v>
      </c>
      <c r="F19" s="248"/>
      <c r="G19" s="1"/>
    </row>
    <row r="20" spans="1:7" ht="12.75" customHeight="1">
      <c r="A20" s="110" t="s">
        <v>557</v>
      </c>
      <c r="B20" s="111" t="s">
        <v>558</v>
      </c>
      <c r="C20" s="295">
        <v>0.85</v>
      </c>
      <c r="D20" s="248"/>
      <c r="E20" s="300">
        <v>0.64</v>
      </c>
      <c r="F20" s="248"/>
      <c r="G20" s="1"/>
    </row>
    <row r="21" spans="1:7" ht="12.75" customHeight="1">
      <c r="A21" s="110" t="s">
        <v>559</v>
      </c>
      <c r="B21" s="111" t="s">
        <v>560</v>
      </c>
      <c r="C21" s="295">
        <v>11.06</v>
      </c>
      <c r="D21" s="248"/>
      <c r="E21" s="300">
        <v>8.33</v>
      </c>
      <c r="F21" s="248"/>
      <c r="G21" s="1"/>
    </row>
    <row r="22" spans="1:7" ht="12.75" customHeight="1">
      <c r="A22" s="110" t="s">
        <v>561</v>
      </c>
      <c r="B22" s="111" t="s">
        <v>562</v>
      </c>
      <c r="C22" s="295">
        <v>0.06</v>
      </c>
      <c r="D22" s="248"/>
      <c r="E22" s="300">
        <v>0.04</v>
      </c>
      <c r="F22" s="248"/>
      <c r="G22" s="1"/>
    </row>
    <row r="23" spans="1:7" ht="12.75" customHeight="1">
      <c r="A23" s="110" t="s">
        <v>563</v>
      </c>
      <c r="B23" s="111" t="s">
        <v>564</v>
      </c>
      <c r="C23" s="295">
        <v>0.74</v>
      </c>
      <c r="D23" s="248"/>
      <c r="E23" s="300">
        <v>0.56000000000000005</v>
      </c>
      <c r="F23" s="248"/>
      <c r="G23" s="1"/>
    </row>
    <row r="24" spans="1:7" ht="12.75" customHeight="1">
      <c r="A24" s="110" t="s">
        <v>565</v>
      </c>
      <c r="B24" s="111" t="s">
        <v>566</v>
      </c>
      <c r="C24" s="295">
        <v>2.06</v>
      </c>
      <c r="D24" s="248"/>
      <c r="E24" s="300">
        <v>0</v>
      </c>
      <c r="F24" s="248"/>
      <c r="G24" s="1"/>
    </row>
    <row r="25" spans="1:7" ht="12.75" customHeight="1">
      <c r="A25" s="110" t="s">
        <v>567</v>
      </c>
      <c r="B25" s="111" t="s">
        <v>568</v>
      </c>
      <c r="C25" s="295">
        <v>0.1</v>
      </c>
      <c r="D25" s="248"/>
      <c r="E25" s="300">
        <v>0.08</v>
      </c>
      <c r="F25" s="248"/>
      <c r="G25" s="1"/>
    </row>
    <row r="26" spans="1:7" ht="12.75" customHeight="1">
      <c r="A26" s="110" t="s">
        <v>569</v>
      </c>
      <c r="B26" s="111" t="s">
        <v>570</v>
      </c>
      <c r="C26" s="295">
        <v>11.29</v>
      </c>
      <c r="D26" s="248"/>
      <c r="E26" s="300">
        <v>8.51</v>
      </c>
      <c r="F26" s="248"/>
      <c r="G26" s="1"/>
    </row>
    <row r="27" spans="1:7" ht="12.75" customHeight="1">
      <c r="A27" s="110" t="s">
        <v>571</v>
      </c>
      <c r="B27" s="111" t="s">
        <v>572</v>
      </c>
      <c r="C27" s="295">
        <v>0.04</v>
      </c>
      <c r="D27" s="248"/>
      <c r="E27" s="300">
        <v>0.03</v>
      </c>
      <c r="F27" s="248"/>
      <c r="G27" s="1"/>
    </row>
    <row r="28" spans="1:7" ht="15" customHeight="1">
      <c r="A28" s="105"/>
      <c r="B28" s="113" t="s">
        <v>292</v>
      </c>
      <c r="C28" s="296">
        <v>48.540000000000006</v>
      </c>
      <c r="D28" s="248"/>
      <c r="E28" s="296">
        <v>18.190000000000001</v>
      </c>
      <c r="F28" s="248"/>
      <c r="G28" s="1"/>
    </row>
    <row r="29" spans="1:7" ht="12" customHeight="1">
      <c r="A29" s="105"/>
      <c r="B29" s="297" t="s">
        <v>0</v>
      </c>
      <c r="C29" s="248"/>
      <c r="D29" s="105"/>
      <c r="E29" s="105"/>
      <c r="F29" s="105"/>
      <c r="G29" s="1"/>
    </row>
    <row r="30" spans="1:7" ht="12.75" customHeight="1">
      <c r="A30" s="115" t="s">
        <v>573</v>
      </c>
      <c r="B30" s="109" t="s">
        <v>574</v>
      </c>
      <c r="C30" s="105"/>
      <c r="D30" s="105"/>
      <c r="E30" s="105"/>
      <c r="F30" s="105"/>
      <c r="G30" s="1"/>
    </row>
    <row r="31" spans="1:7" ht="12.75" customHeight="1">
      <c r="A31" s="110" t="s">
        <v>575</v>
      </c>
      <c r="B31" s="111" t="s">
        <v>576</v>
      </c>
      <c r="C31" s="295">
        <v>4.57</v>
      </c>
      <c r="D31" s="248"/>
      <c r="E31" s="300">
        <v>3.45</v>
      </c>
      <c r="F31" s="248"/>
      <c r="G31" s="1"/>
    </row>
    <row r="32" spans="1:7" ht="12.75" customHeight="1">
      <c r="A32" s="110" t="s">
        <v>577</v>
      </c>
      <c r="B32" s="111" t="s">
        <v>578</v>
      </c>
      <c r="C32" s="295">
        <v>0.11</v>
      </c>
      <c r="D32" s="248"/>
      <c r="E32" s="300">
        <v>0.08</v>
      </c>
      <c r="F32" s="248"/>
      <c r="G32" s="1"/>
    </row>
    <row r="33" spans="1:7" ht="12.75" customHeight="1">
      <c r="A33" s="110" t="s">
        <v>579</v>
      </c>
      <c r="B33" s="111" t="s">
        <v>580</v>
      </c>
      <c r="C33" s="295">
        <v>3.31</v>
      </c>
      <c r="D33" s="248"/>
      <c r="E33" s="300">
        <v>2.5</v>
      </c>
      <c r="F33" s="248"/>
      <c r="G33" s="1"/>
    </row>
    <row r="34" spans="1:7" ht="12.75" customHeight="1">
      <c r="A34" s="110" t="s">
        <v>581</v>
      </c>
      <c r="B34" s="111" t="s">
        <v>582</v>
      </c>
      <c r="C34" s="295">
        <v>2.61</v>
      </c>
      <c r="D34" s="248"/>
      <c r="E34" s="300">
        <v>1.96</v>
      </c>
      <c r="F34" s="248"/>
      <c r="G34" s="1"/>
    </row>
    <row r="35" spans="1:7" ht="12.75" customHeight="1">
      <c r="A35" s="110" t="s">
        <v>583</v>
      </c>
      <c r="B35" s="111" t="s">
        <v>584</v>
      </c>
      <c r="C35" s="295">
        <v>0.38</v>
      </c>
      <c r="D35" s="248"/>
      <c r="E35" s="300">
        <v>0.28999999999999998</v>
      </c>
      <c r="F35" s="248"/>
      <c r="G35" s="1"/>
    </row>
    <row r="36" spans="1:7" ht="15" customHeight="1">
      <c r="A36" s="105"/>
      <c r="B36" s="113" t="s">
        <v>292</v>
      </c>
      <c r="C36" s="296">
        <v>10.98</v>
      </c>
      <c r="D36" s="248"/>
      <c r="E36" s="296">
        <v>8.2799999999999994</v>
      </c>
      <c r="F36" s="248"/>
      <c r="G36" s="1"/>
    </row>
    <row r="37" spans="1:7" ht="12" customHeight="1">
      <c r="A37" s="105"/>
      <c r="B37" s="297" t="s">
        <v>0</v>
      </c>
      <c r="C37" s="248"/>
      <c r="D37" s="105"/>
      <c r="E37" s="105"/>
      <c r="F37" s="105"/>
      <c r="G37" s="1"/>
    </row>
    <row r="38" spans="1:7" ht="12.75" customHeight="1">
      <c r="A38" s="115" t="s">
        <v>585</v>
      </c>
      <c r="B38" s="109" t="s">
        <v>586</v>
      </c>
      <c r="C38" s="105"/>
      <c r="D38" s="105"/>
      <c r="E38" s="105"/>
      <c r="F38" s="105"/>
      <c r="G38" s="1"/>
    </row>
    <row r="39" spans="1:7" ht="12.75" customHeight="1">
      <c r="A39" s="110" t="s">
        <v>587</v>
      </c>
      <c r="B39" s="111" t="s">
        <v>588</v>
      </c>
      <c r="C39" s="295">
        <v>17.86</v>
      </c>
      <c r="D39" s="248"/>
      <c r="E39" s="300">
        <v>6.69</v>
      </c>
      <c r="F39" s="248"/>
      <c r="G39" s="1"/>
    </row>
    <row r="40" spans="1:7" ht="18" customHeight="1">
      <c r="A40" s="110" t="s">
        <v>589</v>
      </c>
      <c r="B40" s="111" t="s">
        <v>590</v>
      </c>
      <c r="C40" s="295">
        <v>0.41</v>
      </c>
      <c r="D40" s="248"/>
      <c r="E40" s="300">
        <v>0.31</v>
      </c>
      <c r="F40" s="248"/>
      <c r="G40" s="1"/>
    </row>
    <row r="41" spans="1:7" ht="15" customHeight="1">
      <c r="A41" s="105"/>
      <c r="B41" s="113" t="s">
        <v>292</v>
      </c>
      <c r="C41" s="296">
        <v>18.27</v>
      </c>
      <c r="D41" s="248"/>
      <c r="E41" s="296">
        <v>7</v>
      </c>
      <c r="F41" s="248"/>
      <c r="G41" s="1"/>
    </row>
    <row r="42" spans="1:7" ht="15" customHeight="1">
      <c r="A42" s="105"/>
      <c r="B42" s="297" t="s">
        <v>0</v>
      </c>
      <c r="C42" s="247"/>
      <c r="D42" s="248"/>
      <c r="E42" s="105"/>
      <c r="F42" s="105"/>
      <c r="G42" s="1"/>
    </row>
    <row r="43" spans="1:7" ht="19.5" customHeight="1">
      <c r="A43" s="105"/>
      <c r="B43" s="116" t="s">
        <v>591</v>
      </c>
      <c r="C43" s="298">
        <v>114.59</v>
      </c>
      <c r="D43" s="248"/>
      <c r="E43" s="298">
        <v>70.27</v>
      </c>
      <c r="F43" s="248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  <mergeCell ref="E25:F25"/>
    <mergeCell ref="E26:F26"/>
    <mergeCell ref="E36:F36"/>
    <mergeCell ref="E39:F39"/>
    <mergeCell ref="E40:F40"/>
    <mergeCell ref="C22:D22"/>
    <mergeCell ref="C23:D23"/>
    <mergeCell ref="C24:D24"/>
    <mergeCell ref="E20:F20"/>
    <mergeCell ref="E21:F21"/>
    <mergeCell ref="E22:F22"/>
    <mergeCell ref="E23:F23"/>
    <mergeCell ref="E24:F24"/>
    <mergeCell ref="E19:F19"/>
    <mergeCell ref="C18:D18"/>
    <mergeCell ref="C19:D19"/>
    <mergeCell ref="C20:D20"/>
    <mergeCell ref="C21:D21"/>
    <mergeCell ref="E12:F12"/>
    <mergeCell ref="E13:F13"/>
    <mergeCell ref="E14:F14"/>
    <mergeCell ref="E15:F15"/>
    <mergeCell ref="E18:F18"/>
    <mergeCell ref="C12:D12"/>
    <mergeCell ref="C13:D13"/>
    <mergeCell ref="C14:D14"/>
    <mergeCell ref="C15:D15"/>
    <mergeCell ref="B16:C16"/>
    <mergeCell ref="C9:D9"/>
    <mergeCell ref="E9:F9"/>
    <mergeCell ref="E10:F10"/>
    <mergeCell ref="C10:D10"/>
    <mergeCell ref="C11:D11"/>
    <mergeCell ref="E11:F11"/>
    <mergeCell ref="C6:D6"/>
    <mergeCell ref="E6:F6"/>
    <mergeCell ref="C7:D7"/>
    <mergeCell ref="E7:F7"/>
    <mergeCell ref="C8:D8"/>
    <mergeCell ref="E8:F8"/>
    <mergeCell ref="A1:F1"/>
    <mergeCell ref="B2:E2"/>
    <mergeCell ref="C3:D3"/>
    <mergeCell ref="E3:F3"/>
    <mergeCell ref="B4:C4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C25:D25"/>
    <mergeCell ref="C26:D26"/>
    <mergeCell ref="C27:D27"/>
    <mergeCell ref="C28:D28"/>
    <mergeCell ref="B29:C29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MD02</vt:lpstr>
      <vt:lpstr>Memorial de Calculo</vt:lpstr>
      <vt:lpstr>Comparativo</vt:lpstr>
      <vt:lpstr>COMPOSICOES</vt:lpstr>
      <vt:lpstr>CRONOGRAMA</vt:lpstr>
      <vt:lpstr>BDI</vt:lpstr>
      <vt:lpstr>ENCARGOS SOCIAIS</vt:lpstr>
      <vt:lpstr>JR_PAGE_ANCHOR_2_1</vt:lpstr>
      <vt:lpstr>JR_PAGE_ANCHOR_3_1</vt:lpstr>
      <vt:lpstr>JR_PAGE_ANCHOR_4_1</vt:lpstr>
      <vt:lpstr>JR_PAGE_ANCHOR_5_1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Kilber</cp:lastModifiedBy>
  <cp:lastPrinted>2025-09-29T12:41:07Z</cp:lastPrinted>
  <dcterms:modified xsi:type="dcterms:W3CDTF">2025-09-30T14:49:42Z</dcterms:modified>
</cp:coreProperties>
</file>